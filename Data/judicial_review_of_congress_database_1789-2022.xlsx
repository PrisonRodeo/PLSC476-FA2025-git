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cuz10/Dropbox (Personal)/PLSC 476/PLSC476-FA2025-git/Data/"/>
    </mc:Choice>
  </mc:AlternateContent>
  <xr:revisionPtr revIDLastSave="0" documentId="8_{4135EAFB-0E70-794A-A1D5-5C60E82F9903}" xr6:coauthVersionLast="47" xr6:coauthVersionMax="47" xr10:uidLastSave="{00000000-0000-0000-0000-000000000000}"/>
  <bookViews>
    <workbookView xWindow="1000" yWindow="760" windowWidth="27860" windowHeight="9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24" i="1" l="1"/>
  <c r="M1323" i="1"/>
  <c r="M1322" i="1"/>
  <c r="M1319" i="1"/>
  <c r="M1320" i="1"/>
  <c r="M1321" i="1"/>
  <c r="M1315" i="1"/>
  <c r="M1317" i="1"/>
  <c r="M1314" i="1"/>
  <c r="M1313" i="1"/>
  <c r="M1318" i="1"/>
  <c r="M1316" i="1"/>
  <c r="M1310" i="1"/>
  <c r="M1312" i="1"/>
  <c r="M1311" i="1"/>
  <c r="M1309" i="1"/>
  <c r="M459" i="1" l="1"/>
  <c r="M286" i="1" l="1"/>
  <c r="M261" i="1"/>
  <c r="M127" i="1"/>
  <c r="M251" i="1"/>
  <c r="M84" i="1"/>
  <c r="M48" i="1" l="1"/>
  <c r="M1306" i="1" l="1"/>
  <c r="M1305" i="1"/>
  <c r="M1304" i="1"/>
  <c r="M1303" i="1"/>
  <c r="M1308" i="1"/>
  <c r="M1307" i="1"/>
  <c r="M1301" i="1" l="1"/>
  <c r="M1300" i="1"/>
  <c r="M1296" i="1"/>
  <c r="M1295" i="1"/>
  <c r="M1293" i="1"/>
  <c r="M1291" i="1"/>
  <c r="M1290" i="1"/>
  <c r="M1286" i="1"/>
  <c r="M1285" i="1"/>
  <c r="M1284" i="1"/>
  <c r="M1282" i="1"/>
  <c r="M1283" i="1"/>
  <c r="M1281" i="1"/>
  <c r="M1280" i="1"/>
  <c r="M1278" i="1"/>
  <c r="M1273" i="1"/>
  <c r="M1277" i="1"/>
  <c r="M1271" i="1"/>
  <c r="M1270" i="1"/>
  <c r="M1269" i="1"/>
  <c r="M1267" i="1"/>
  <c r="M1255" i="1"/>
  <c r="M1258" i="1"/>
  <c r="M1256" i="1"/>
  <c r="M1257" i="1"/>
  <c r="M1254" i="1"/>
  <c r="M1248" i="1"/>
  <c r="M1247" i="1"/>
  <c r="M1234" i="1"/>
  <c r="M1236" i="1"/>
  <c r="M1238" i="1"/>
  <c r="M1232" i="1"/>
  <c r="M1229" i="1"/>
  <c r="M1227" i="1"/>
  <c r="M1224" i="1"/>
  <c r="M1219" i="1"/>
  <c r="M1222" i="1"/>
  <c r="M1226" i="1"/>
  <c r="M1220" i="1"/>
  <c r="M1223" i="1"/>
  <c r="M1214" i="1"/>
  <c r="M1212" i="1"/>
  <c r="M1211" i="1"/>
  <c r="M1215" i="1"/>
  <c r="M1217" i="1"/>
  <c r="M1205" i="1"/>
  <c r="M1206" i="1"/>
  <c r="M1207" i="1"/>
  <c r="M1208" i="1"/>
  <c r="M1209" i="1"/>
  <c r="M1196" i="1"/>
  <c r="M1199" i="1"/>
  <c r="M1195" i="1"/>
  <c r="M1201" i="1"/>
  <c r="M1200" i="1"/>
  <c r="M1189" i="1"/>
  <c r="M1190" i="1"/>
  <c r="M1188" i="1"/>
  <c r="M1184" i="1"/>
  <c r="M1178" i="1"/>
  <c r="M1175" i="1"/>
  <c r="M1182" i="1"/>
  <c r="M1180" i="1"/>
  <c r="M1168" i="1"/>
  <c r="M1171" i="1"/>
  <c r="M1172" i="1"/>
  <c r="M1170" i="1"/>
  <c r="M1169" i="1"/>
  <c r="M1167" i="1"/>
  <c r="M1166" i="1"/>
  <c r="M1153" i="1"/>
  <c r="M1152" i="1"/>
  <c r="M1144" i="1"/>
  <c r="M1145" i="1"/>
  <c r="M1143" i="1"/>
  <c r="M1135" i="1"/>
  <c r="M1131" i="1"/>
  <c r="M1116" i="1"/>
  <c r="M1121" i="1"/>
  <c r="M1113" i="1"/>
  <c r="M1126" i="1"/>
  <c r="M1125" i="1"/>
  <c r="M1118" i="1"/>
  <c r="M1114" i="1"/>
  <c r="M1108" i="1"/>
  <c r="M1104" i="1"/>
  <c r="M1093" i="1"/>
  <c r="M1095" i="1"/>
  <c r="M1092" i="1"/>
  <c r="M1089" i="1"/>
  <c r="M1087" i="1"/>
  <c r="M1074" i="1"/>
  <c r="M1070" i="1"/>
  <c r="M1077" i="1"/>
  <c r="M1066" i="1"/>
  <c r="M1065" i="1"/>
  <c r="M1044" i="1"/>
  <c r="M1055" i="1"/>
  <c r="M1054" i="1"/>
  <c r="M1053" i="1"/>
  <c r="M1056" i="1"/>
  <c r="M1050" i="1"/>
  <c r="M1042" i="1"/>
  <c r="M1034" i="1"/>
  <c r="M1040" i="1"/>
  <c r="M1020" i="1"/>
  <c r="M1003" i="1"/>
  <c r="M1017" i="1"/>
  <c r="M993" i="1"/>
  <c r="M1000" i="1"/>
  <c r="M999" i="1"/>
  <c r="M988" i="1"/>
  <c r="M981" i="1"/>
  <c r="M978" i="1"/>
  <c r="M967" i="1"/>
  <c r="M977" i="1"/>
  <c r="M969" i="1"/>
  <c r="M957" i="1"/>
  <c r="M949" i="1"/>
  <c r="M941" i="1"/>
  <c r="M946" i="1"/>
  <c r="M945" i="1"/>
  <c r="M935" i="1"/>
  <c r="M930" i="1"/>
  <c r="M926" i="1"/>
  <c r="M932" i="1"/>
  <c r="M925" i="1"/>
  <c r="M922" i="1"/>
  <c r="M915" i="1"/>
  <c r="M920" i="1"/>
  <c r="M908" i="1"/>
  <c r="M905" i="1"/>
  <c r="M910" i="1"/>
  <c r="M891" i="1"/>
  <c r="M899" i="1"/>
  <c r="M898" i="1"/>
  <c r="M887" i="1"/>
  <c r="M883" i="1"/>
  <c r="M881" i="1"/>
  <c r="M884" i="1"/>
  <c r="M885" i="1"/>
  <c r="M873" i="1"/>
  <c r="M872" i="1"/>
  <c r="M875" i="1"/>
  <c r="M878" i="1"/>
  <c r="M863" i="1"/>
  <c r="M861" i="1"/>
  <c r="M862" i="1"/>
  <c r="M866" i="1"/>
  <c r="M864" i="1"/>
  <c r="M860" i="1"/>
  <c r="M858" i="1"/>
  <c r="M849" i="1"/>
  <c r="M846" i="1"/>
  <c r="M845" i="1"/>
  <c r="M844" i="1"/>
  <c r="M847" i="1"/>
  <c r="M832" i="1"/>
  <c r="M834" i="1"/>
  <c r="M826" i="1"/>
  <c r="M824" i="1"/>
  <c r="M822" i="1"/>
  <c r="M810" i="1"/>
  <c r="M817" i="1"/>
  <c r="M811" i="1"/>
  <c r="M803" i="1"/>
  <c r="M801" i="1"/>
  <c r="M802" i="1"/>
  <c r="M793" i="1"/>
  <c r="M788" i="1"/>
  <c r="M789" i="1"/>
  <c r="M783" i="1"/>
  <c r="M782" i="1"/>
  <c r="M777" i="1"/>
  <c r="M781" i="1"/>
  <c r="M772" i="1"/>
  <c r="M770" i="1"/>
  <c r="M768" i="1"/>
  <c r="M765" i="1"/>
  <c r="M763" i="1"/>
  <c r="M756" i="1"/>
  <c r="M753" i="1"/>
  <c r="M745" i="1"/>
  <c r="M743" i="1"/>
  <c r="M738" i="1"/>
  <c r="M732" i="1"/>
  <c r="M731" i="1"/>
  <c r="M734" i="1"/>
  <c r="M725" i="1"/>
  <c r="M688" i="1"/>
  <c r="M687" i="1"/>
  <c r="M681" i="1"/>
  <c r="M684" i="1"/>
  <c r="M677" i="1"/>
  <c r="M667" i="1"/>
  <c r="M670" i="1"/>
  <c r="M657" i="1"/>
  <c r="M658" i="1"/>
  <c r="M601" i="1"/>
  <c r="M552" i="1"/>
  <c r="M558" i="1"/>
  <c r="M559" i="1"/>
  <c r="M547" i="1"/>
  <c r="M543" i="1"/>
  <c r="M538" i="1"/>
  <c r="M549" i="1"/>
  <c r="M529" i="1"/>
  <c r="M527" i="1"/>
  <c r="M516" i="1"/>
  <c r="M511" i="1"/>
  <c r="M501" i="1"/>
  <c r="M509" i="1"/>
  <c r="M507" i="1"/>
  <c r="M502" i="1"/>
  <c r="M497" i="1"/>
  <c r="M487" i="1"/>
  <c r="M491" i="1"/>
  <c r="M496" i="1"/>
  <c r="M484" i="1"/>
  <c r="M473" i="1"/>
  <c r="M442" i="1"/>
  <c r="M415" i="1"/>
  <c r="M404" i="1"/>
  <c r="M374" i="1"/>
  <c r="M353" i="1"/>
  <c r="M332" i="1"/>
  <c r="M333" i="1"/>
  <c r="M325" i="1"/>
  <c r="M318" i="1"/>
  <c r="M309" i="1"/>
  <c r="M291" i="1"/>
  <c r="M300" i="1"/>
  <c r="M279" i="1"/>
  <c r="M278" i="1"/>
  <c r="M271" i="1"/>
  <c r="M272" i="1"/>
  <c r="M264" i="1"/>
  <c r="M259" i="1"/>
  <c r="M258" i="1"/>
  <c r="M243" i="1"/>
  <c r="M230" i="1"/>
  <c r="M221" i="1"/>
  <c r="M222" i="1"/>
  <c r="M204" i="1"/>
  <c r="M200" i="1"/>
  <c r="M198" i="1"/>
  <c r="M192" i="1"/>
  <c r="M189" i="1"/>
  <c r="M168" i="1"/>
  <c r="M164" i="1"/>
  <c r="M152" i="1"/>
  <c r="M137" i="1"/>
  <c r="M122" i="1"/>
  <c r="M113" i="1"/>
  <c r="M111" i="1"/>
  <c r="M115" i="1"/>
  <c r="M110" i="1"/>
  <c r="M107" i="1"/>
  <c r="M96" i="1"/>
  <c r="M92" i="1"/>
  <c r="M91" i="1"/>
  <c r="M87" i="1"/>
  <c r="M80" i="1"/>
  <c r="M82" i="1"/>
  <c r="M79" i="1"/>
  <c r="M83" i="1"/>
  <c r="M77" i="1"/>
  <c r="M72" i="1"/>
  <c r="M63" i="1"/>
  <c r="M61" i="1"/>
  <c r="M59" i="1"/>
  <c r="M58" i="1"/>
  <c r="M52" i="1"/>
  <c r="M50" i="1"/>
  <c r="M47" i="1"/>
  <c r="M41" i="1"/>
  <c r="M33" i="1"/>
  <c r="M32" i="1"/>
  <c r="M30" i="1"/>
  <c r="M28" i="1"/>
  <c r="M27" i="1"/>
  <c r="M25" i="1"/>
  <c r="M13" i="1"/>
  <c r="M11" i="1"/>
  <c r="M7" i="1"/>
  <c r="M6" i="1"/>
  <c r="M1302" i="1"/>
  <c r="M1299" i="1"/>
  <c r="M1298" i="1"/>
  <c r="M1292" i="1"/>
  <c r="M1294" i="1"/>
  <c r="M1288" i="1"/>
  <c r="M1279" i="1"/>
  <c r="M1274" i="1"/>
  <c r="M1276" i="1"/>
  <c r="M1272" i="1"/>
  <c r="M1275" i="1"/>
  <c r="M1268" i="1"/>
  <c r="M1265" i="1"/>
  <c r="M1266" i="1"/>
  <c r="M1262" i="1"/>
  <c r="M1264" i="1"/>
  <c r="M1263" i="1"/>
  <c r="M1259" i="1"/>
  <c r="M1261" i="1"/>
  <c r="M1260" i="1"/>
  <c r="M1250" i="1"/>
  <c r="M1249" i="1"/>
  <c r="M1252" i="1"/>
  <c r="M1251" i="1"/>
  <c r="M1253" i="1"/>
  <c r="M1246" i="1"/>
  <c r="M1240" i="1"/>
  <c r="M1244" i="1"/>
  <c r="M1242" i="1"/>
  <c r="M1245" i="1"/>
  <c r="M1241" i="1"/>
  <c r="M1243" i="1"/>
  <c r="M1237" i="1"/>
  <c r="M1233" i="1"/>
  <c r="M1239" i="1"/>
  <c r="M1230" i="1"/>
  <c r="M1231" i="1"/>
  <c r="M1235" i="1"/>
  <c r="M1221" i="1"/>
  <c r="M1228" i="1"/>
  <c r="M1225" i="1"/>
  <c r="M1210" i="1"/>
  <c r="M1218" i="1"/>
  <c r="M1216" i="1"/>
  <c r="M1213" i="1"/>
  <c r="M1204" i="1"/>
  <c r="M1203" i="1"/>
  <c r="M1202" i="1"/>
  <c r="M1197" i="1"/>
  <c r="M1198" i="1"/>
  <c r="M1193" i="1"/>
  <c r="M1194" i="1"/>
  <c r="M1183" i="1"/>
  <c r="M1185" i="1"/>
  <c r="M1191" i="1"/>
  <c r="M1192" i="1"/>
  <c r="M1187" i="1"/>
  <c r="M1186" i="1"/>
  <c r="M1174" i="1"/>
  <c r="M1179" i="1"/>
  <c r="M1176" i="1"/>
  <c r="M1177" i="1"/>
  <c r="M1181" i="1"/>
  <c r="M1173" i="1"/>
  <c r="M1160" i="1"/>
  <c r="M1164" i="1"/>
  <c r="M1161" i="1"/>
  <c r="M1165" i="1"/>
  <c r="M1162" i="1"/>
  <c r="M1163" i="1"/>
  <c r="M1158" i="1"/>
  <c r="M1154" i="1"/>
  <c r="M1156" i="1"/>
  <c r="M1157" i="1"/>
  <c r="M1159" i="1"/>
  <c r="M1148" i="1"/>
  <c r="M1150" i="1"/>
  <c r="M1155" i="1"/>
  <c r="M1149" i="1"/>
  <c r="M1151" i="1"/>
  <c r="M1140" i="1"/>
  <c r="M1141" i="1"/>
  <c r="M1147" i="1"/>
  <c r="M1146" i="1"/>
  <c r="M1142" i="1"/>
  <c r="M1128" i="1"/>
  <c r="M1133" i="1"/>
  <c r="M1132" i="1"/>
  <c r="M1138" i="1"/>
  <c r="M1130" i="1"/>
  <c r="M1136" i="1"/>
  <c r="M1137" i="1"/>
  <c r="M1139" i="1"/>
  <c r="M1129" i="1"/>
  <c r="M1134" i="1"/>
  <c r="M1127" i="1"/>
  <c r="M1122" i="1"/>
  <c r="M1115" i="1"/>
  <c r="M1119" i="1"/>
  <c r="M1112" i="1"/>
  <c r="M1120" i="1"/>
  <c r="M1117" i="1"/>
  <c r="M1123" i="1"/>
  <c r="M1107" i="1"/>
  <c r="M1111" i="1"/>
  <c r="M1106" i="1"/>
  <c r="M1105" i="1"/>
  <c r="M1109" i="1"/>
  <c r="M1110" i="1"/>
  <c r="M1096" i="1"/>
  <c r="M1091" i="1"/>
  <c r="M1097" i="1"/>
  <c r="M1098" i="1"/>
  <c r="M1101" i="1"/>
  <c r="M1102" i="1"/>
  <c r="M1099" i="1"/>
  <c r="M1094" i="1"/>
  <c r="M1090" i="1"/>
  <c r="M1100" i="1"/>
  <c r="M1103" i="1"/>
  <c r="M1082" i="1"/>
  <c r="M1085" i="1"/>
  <c r="M1086" i="1"/>
  <c r="M1080" i="1"/>
  <c r="M1079" i="1"/>
  <c r="M1088" i="1"/>
  <c r="M1081" i="1"/>
  <c r="M1083" i="1"/>
  <c r="M1084" i="1"/>
  <c r="M1076" i="1"/>
  <c r="M1073" i="1"/>
  <c r="M1075" i="1"/>
  <c r="M1071" i="1"/>
  <c r="M1078" i="1"/>
  <c r="M1069" i="1"/>
  <c r="M1072" i="1"/>
  <c r="M1068" i="1"/>
  <c r="M1062" i="1"/>
  <c r="M1067" i="1"/>
  <c r="M1061" i="1"/>
  <c r="M1063" i="1"/>
  <c r="M1064" i="1"/>
  <c r="M1060" i="1"/>
  <c r="M1059" i="1"/>
  <c r="M1057" i="1"/>
  <c r="M1058" i="1"/>
  <c r="M1046" i="1"/>
  <c r="M1051" i="1"/>
  <c r="M1052" i="1"/>
  <c r="M1047" i="1"/>
  <c r="M1043" i="1"/>
  <c r="M1045" i="1"/>
  <c r="M1035" i="1"/>
  <c r="M1033" i="1"/>
  <c r="M1036" i="1"/>
  <c r="M1039" i="1"/>
  <c r="M1037" i="1"/>
  <c r="M1038" i="1"/>
  <c r="M1041" i="1"/>
  <c r="M1021" i="1"/>
  <c r="M1027" i="1"/>
  <c r="M1022" i="1"/>
  <c r="M1031" i="1"/>
  <c r="M1024" i="1"/>
  <c r="M1025" i="1"/>
  <c r="M1029" i="1"/>
  <c r="M1026" i="1"/>
  <c r="M1032" i="1"/>
  <c r="M1030" i="1"/>
  <c r="M1028" i="1"/>
  <c r="M1023" i="1"/>
  <c r="M1002" i="1"/>
  <c r="M1013" i="1"/>
  <c r="M1015" i="1"/>
  <c r="M1010" i="1"/>
  <c r="M1018" i="1"/>
  <c r="M1019" i="1"/>
  <c r="M1011" i="1"/>
  <c r="M1009" i="1"/>
  <c r="M1007" i="1"/>
  <c r="M1012" i="1"/>
  <c r="M1004" i="1"/>
  <c r="M1008" i="1"/>
  <c r="M1014" i="1"/>
  <c r="M1016" i="1"/>
  <c r="M1006" i="1"/>
  <c r="M1005" i="1"/>
  <c r="M994" i="1"/>
  <c r="M997" i="1"/>
  <c r="M996" i="1"/>
  <c r="M998" i="1"/>
  <c r="M995" i="1"/>
  <c r="M1001" i="1"/>
  <c r="M987" i="1"/>
  <c r="M991" i="1"/>
  <c r="M989" i="1"/>
  <c r="M990" i="1"/>
  <c r="M986" i="1"/>
  <c r="M985" i="1"/>
  <c r="M992" i="1"/>
  <c r="M980" i="1"/>
  <c r="M974" i="1"/>
  <c r="M968" i="1"/>
  <c r="M971" i="1"/>
  <c r="M979" i="1"/>
  <c r="M983" i="1"/>
  <c r="M966" i="1"/>
  <c r="M976" i="1"/>
  <c r="M975" i="1"/>
  <c r="M984" i="1"/>
  <c r="M982" i="1"/>
  <c r="M972" i="1"/>
  <c r="M973" i="1"/>
  <c r="M961" i="1"/>
  <c r="M948" i="1"/>
  <c r="M952" i="1"/>
  <c r="M962" i="1"/>
  <c r="M953" i="1"/>
  <c r="M958" i="1"/>
  <c r="M965" i="1"/>
  <c r="M951" i="1"/>
  <c r="M960" i="1"/>
  <c r="M950" i="1"/>
  <c r="M956" i="1"/>
  <c r="M963" i="1"/>
  <c r="M954" i="1"/>
  <c r="M964" i="1"/>
  <c r="M959" i="1"/>
  <c r="M955" i="1"/>
  <c r="M944" i="1"/>
  <c r="M938" i="1"/>
  <c r="M947" i="1"/>
  <c r="M937" i="1"/>
  <c r="M940" i="1"/>
  <c r="M939" i="1"/>
  <c r="M936" i="1"/>
  <c r="M943" i="1"/>
  <c r="M942" i="1"/>
  <c r="M933" i="1"/>
  <c r="M931" i="1"/>
  <c r="M924" i="1"/>
  <c r="M927" i="1"/>
  <c r="M934" i="1"/>
  <c r="M929" i="1"/>
  <c r="M928" i="1"/>
  <c r="M919" i="1"/>
  <c r="M911" i="1"/>
  <c r="M918" i="1"/>
  <c r="M923" i="1"/>
  <c r="M914" i="1"/>
  <c r="M913" i="1"/>
  <c r="M912" i="1"/>
  <c r="M917" i="1"/>
  <c r="M916" i="1"/>
  <c r="M909" i="1"/>
  <c r="M906" i="1"/>
  <c r="M903" i="1"/>
  <c r="M907" i="1"/>
  <c r="M904" i="1"/>
  <c r="M902" i="1"/>
  <c r="M897" i="1"/>
  <c r="M895" i="1"/>
  <c r="M894" i="1"/>
  <c r="M890" i="1"/>
  <c r="M892" i="1"/>
  <c r="M896" i="1"/>
  <c r="M901" i="1"/>
  <c r="M888" i="1"/>
  <c r="M893" i="1"/>
  <c r="M900" i="1"/>
  <c r="M889" i="1"/>
  <c r="M886" i="1"/>
  <c r="M882" i="1"/>
  <c r="M871" i="1"/>
  <c r="M876" i="1"/>
  <c r="M877" i="1"/>
  <c r="M880" i="1"/>
  <c r="M874" i="1"/>
  <c r="M879" i="1"/>
  <c r="M867" i="1"/>
  <c r="M865" i="1"/>
  <c r="M868" i="1"/>
  <c r="M869" i="1"/>
  <c r="M870" i="1"/>
  <c r="M856" i="1"/>
  <c r="M859" i="1"/>
  <c r="M857" i="1"/>
  <c r="M852" i="1"/>
  <c r="M850" i="1"/>
  <c r="M854" i="1"/>
  <c r="M848" i="1"/>
  <c r="M851" i="1"/>
  <c r="M855" i="1"/>
  <c r="M853" i="1"/>
  <c r="M842" i="1"/>
  <c r="M838" i="1"/>
  <c r="M841" i="1"/>
  <c r="M843" i="1"/>
  <c r="M839" i="1"/>
  <c r="M840" i="1"/>
  <c r="M831" i="1"/>
  <c r="M835" i="1"/>
  <c r="M830" i="1"/>
  <c r="M833" i="1"/>
  <c r="M837" i="1"/>
  <c r="M836" i="1"/>
  <c r="M827" i="1"/>
  <c r="M828" i="1"/>
  <c r="M829" i="1"/>
  <c r="M823" i="1"/>
  <c r="M820" i="1"/>
  <c r="M825" i="1"/>
  <c r="M821" i="1"/>
  <c r="M812" i="1"/>
  <c r="M814" i="1"/>
  <c r="M816" i="1"/>
  <c r="M819" i="1"/>
  <c r="M818" i="1"/>
  <c r="M813" i="1"/>
  <c r="M804" i="1"/>
  <c r="M805" i="1"/>
  <c r="M808" i="1"/>
  <c r="M806" i="1"/>
  <c r="M809" i="1"/>
  <c r="M807" i="1"/>
  <c r="M800" i="1"/>
  <c r="M798" i="1"/>
  <c r="M797" i="1"/>
  <c r="M796" i="1"/>
  <c r="M794" i="1"/>
  <c r="M799" i="1"/>
  <c r="M795" i="1"/>
  <c r="M785" i="1"/>
  <c r="M787" i="1"/>
  <c r="M790" i="1"/>
  <c r="M786" i="1"/>
  <c r="M791" i="1"/>
  <c r="M792" i="1"/>
  <c r="M778" i="1"/>
  <c r="M784" i="1"/>
  <c r="M780" i="1"/>
  <c r="M779" i="1"/>
  <c r="M773" i="1"/>
  <c r="M774" i="1"/>
  <c r="M769" i="1"/>
  <c r="M775" i="1"/>
  <c r="M776" i="1"/>
  <c r="M771" i="1"/>
  <c r="M761" i="1"/>
  <c r="M766" i="1"/>
  <c r="M762" i="1"/>
  <c r="M767" i="1"/>
  <c r="M758" i="1"/>
  <c r="M759" i="1"/>
  <c r="M757" i="1"/>
  <c r="M760" i="1"/>
  <c r="M755" i="1"/>
  <c r="M754" i="1"/>
  <c r="M751" i="1"/>
  <c r="M748" i="1"/>
  <c r="M747" i="1"/>
  <c r="M752" i="1"/>
  <c r="M749" i="1"/>
  <c r="M746" i="1"/>
  <c r="M744" i="1"/>
  <c r="M742" i="1"/>
  <c r="M741" i="1"/>
  <c r="M739" i="1"/>
  <c r="M740" i="1"/>
  <c r="M736" i="1"/>
  <c r="M730" i="1"/>
  <c r="M737" i="1"/>
  <c r="M735" i="1"/>
  <c r="M733" i="1"/>
  <c r="M729" i="1"/>
  <c r="M728" i="1"/>
  <c r="M724" i="1"/>
  <c r="M722" i="1"/>
  <c r="M723" i="1"/>
  <c r="M727" i="1"/>
  <c r="M726" i="1"/>
  <c r="M721" i="1"/>
  <c r="M718" i="1"/>
  <c r="M716" i="1"/>
  <c r="M719" i="1"/>
  <c r="M717" i="1"/>
  <c r="M707" i="1"/>
  <c r="M709" i="1"/>
  <c r="M712" i="1"/>
  <c r="M714" i="1"/>
  <c r="M711" i="1"/>
  <c r="M710" i="1"/>
  <c r="M704" i="1"/>
  <c r="M705" i="1"/>
  <c r="M702" i="1"/>
  <c r="M699" i="1"/>
  <c r="M706" i="1"/>
  <c r="M698" i="1"/>
  <c r="M695" i="1"/>
  <c r="M692" i="1"/>
  <c r="M685" i="1"/>
  <c r="M679" i="1"/>
  <c r="M682" i="1"/>
  <c r="M691" i="1"/>
  <c r="M680" i="1"/>
  <c r="M694" i="1"/>
  <c r="M696" i="1"/>
  <c r="M693" i="1"/>
  <c r="M697" i="1"/>
  <c r="M673" i="1"/>
  <c r="M674" i="1"/>
  <c r="M675" i="1"/>
  <c r="M676" i="1"/>
  <c r="M665" i="1"/>
  <c r="M666" i="1"/>
  <c r="M661" i="1"/>
  <c r="M671" i="1"/>
  <c r="M660" i="1"/>
  <c r="M669" i="1"/>
  <c r="M648" i="1"/>
  <c r="M649" i="1"/>
  <c r="M651" i="1"/>
  <c r="M655" i="1"/>
  <c r="M650" i="1"/>
  <c r="M646" i="1"/>
  <c r="M647" i="1"/>
  <c r="M645" i="1"/>
  <c r="M653" i="1"/>
  <c r="M639" i="1"/>
  <c r="M638" i="1"/>
  <c r="M642" i="1"/>
  <c r="M643" i="1"/>
  <c r="M625" i="1"/>
  <c r="M633" i="1"/>
  <c r="M630" i="1"/>
  <c r="M626" i="1"/>
  <c r="M632" i="1"/>
  <c r="M628" i="1"/>
  <c r="M634" i="1"/>
  <c r="M636" i="1"/>
  <c r="M635" i="1"/>
  <c r="M629" i="1"/>
  <c r="M637" i="1"/>
  <c r="M621" i="1"/>
  <c r="M623" i="1"/>
  <c r="M618" i="1"/>
  <c r="M619" i="1"/>
  <c r="M624" i="1"/>
  <c r="M620" i="1"/>
  <c r="M614" i="1"/>
  <c r="M611" i="1"/>
  <c r="M607" i="1"/>
  <c r="M606" i="1"/>
  <c r="M605" i="1"/>
  <c r="M613" i="1"/>
  <c r="M602" i="1"/>
  <c r="M616" i="1"/>
  <c r="M612" i="1"/>
  <c r="M609" i="1"/>
  <c r="M604" i="1"/>
  <c r="M610" i="1"/>
  <c r="M608" i="1"/>
  <c r="M603" i="1"/>
  <c r="M600" i="1"/>
  <c r="M580" i="1"/>
  <c r="M588" i="1"/>
  <c r="M587" i="1"/>
  <c r="M591" i="1"/>
  <c r="M585" i="1"/>
  <c r="M581" i="1"/>
  <c r="M598" i="1"/>
  <c r="M594" i="1"/>
  <c r="M599" i="1"/>
  <c r="M582" i="1"/>
  <c r="M590" i="1"/>
  <c r="M583" i="1"/>
  <c r="M584" i="1"/>
  <c r="M592" i="1"/>
  <c r="M586" i="1"/>
  <c r="M597" i="1"/>
  <c r="M596" i="1"/>
  <c r="M570" i="1"/>
  <c r="M566" i="1"/>
  <c r="M577" i="1"/>
  <c r="M571" i="1"/>
  <c r="M564" i="1"/>
  <c r="M573" i="1"/>
  <c r="M579" i="1"/>
  <c r="M565" i="1"/>
  <c r="M563" i="1"/>
  <c r="M569" i="1"/>
  <c r="M567" i="1"/>
  <c r="M556" i="1"/>
  <c r="M557" i="1"/>
  <c r="M562" i="1"/>
  <c r="M554" i="1"/>
  <c r="M555" i="1"/>
  <c r="M546" i="1"/>
  <c r="M550" i="1"/>
  <c r="M532" i="1"/>
  <c r="M537" i="1"/>
  <c r="M533" i="1"/>
  <c r="M536" i="1"/>
  <c r="M528" i="1"/>
  <c r="M519" i="1"/>
  <c r="M520" i="1"/>
  <c r="M518" i="1"/>
  <c r="M524" i="1"/>
  <c r="M522" i="1"/>
  <c r="M521" i="1"/>
  <c r="M526" i="1"/>
  <c r="M517" i="1"/>
  <c r="M523" i="1"/>
  <c r="M515" i="1"/>
  <c r="M513" i="1"/>
  <c r="M510" i="1"/>
  <c r="M508" i="1"/>
  <c r="M514" i="1"/>
  <c r="M512" i="1"/>
  <c r="M506" i="1"/>
  <c r="M503" i="1"/>
  <c r="M500" i="1"/>
  <c r="M499" i="1"/>
  <c r="M505" i="1"/>
  <c r="M485" i="1"/>
  <c r="M488" i="1"/>
  <c r="M493" i="1"/>
  <c r="M495" i="1"/>
  <c r="M492" i="1"/>
  <c r="M489" i="1"/>
  <c r="M494" i="1"/>
  <c r="M490" i="1"/>
  <c r="M486" i="1"/>
  <c r="M477" i="1"/>
  <c r="M482" i="1"/>
  <c r="M483" i="1"/>
  <c r="M480" i="1"/>
  <c r="M481" i="1"/>
  <c r="M478" i="1"/>
  <c r="M475" i="1"/>
  <c r="M411" i="1"/>
  <c r="M396" i="1"/>
  <c r="M382" i="1"/>
  <c r="M376" i="1"/>
  <c r="M357" i="1"/>
  <c r="M363" i="1"/>
  <c r="M361" i="1"/>
  <c r="M365" i="1"/>
  <c r="M356" i="1"/>
  <c r="M359" i="1"/>
  <c r="M358" i="1"/>
  <c r="M362" i="1"/>
  <c r="M364" i="1"/>
  <c r="M352" i="1"/>
  <c r="M350" i="1"/>
  <c r="M355" i="1"/>
  <c r="M354" i="1"/>
  <c r="M351" i="1"/>
  <c r="M348" i="1"/>
  <c r="M345" i="1"/>
  <c r="M347" i="1"/>
  <c r="M346" i="1"/>
  <c r="M343" i="1"/>
  <c r="M342" i="1"/>
  <c r="M339" i="1"/>
  <c r="M337" i="1"/>
  <c r="M338" i="1"/>
  <c r="M340" i="1"/>
  <c r="M336" i="1"/>
  <c r="M335" i="1"/>
  <c r="M331" i="1"/>
  <c r="M334" i="1"/>
  <c r="M328" i="1"/>
  <c r="M323" i="1"/>
  <c r="M324" i="1"/>
  <c r="M327" i="1"/>
  <c r="M322" i="1"/>
  <c r="M317" i="1"/>
  <c r="M321" i="1"/>
  <c r="M316" i="1"/>
  <c r="M312" i="1"/>
  <c r="M320" i="1"/>
  <c r="M313" i="1"/>
  <c r="M311" i="1"/>
  <c r="M305" i="1"/>
  <c r="M306" i="1"/>
  <c r="M304" i="1"/>
  <c r="M310" i="1"/>
  <c r="M307" i="1"/>
  <c r="M296" i="1"/>
  <c r="M302" i="1"/>
  <c r="M298" i="1"/>
  <c r="M292" i="1"/>
  <c r="M303" i="1"/>
  <c r="M297" i="1"/>
  <c r="M293" i="1"/>
  <c r="M299" i="1"/>
  <c r="M301" i="1"/>
  <c r="M289" i="1"/>
  <c r="M285" i="1"/>
  <c r="M288" i="1"/>
  <c r="M280" i="1"/>
  <c r="M282" i="1"/>
  <c r="M277" i="1"/>
  <c r="M283" i="1"/>
  <c r="M281" i="1"/>
  <c r="M274" i="1"/>
  <c r="M276" i="1"/>
  <c r="M273" i="1"/>
  <c r="M265" i="1"/>
  <c r="M267" i="1"/>
  <c r="M270" i="1"/>
  <c r="M266" i="1"/>
  <c r="M269" i="1"/>
  <c r="M262" i="1"/>
  <c r="M260" i="1"/>
  <c r="M257" i="1"/>
  <c r="M253" i="1"/>
  <c r="M246" i="1"/>
  <c r="M247" i="1"/>
  <c r="M255" i="1"/>
  <c r="M250" i="1"/>
  <c r="M256" i="1"/>
  <c r="M252" i="1"/>
  <c r="M248" i="1"/>
  <c r="M249" i="1"/>
  <c r="M254" i="1"/>
  <c r="M245" i="1"/>
  <c r="M244" i="1"/>
  <c r="M241" i="1"/>
  <c r="M240" i="1"/>
  <c r="M234" i="1"/>
  <c r="M235" i="1"/>
  <c r="M237" i="1"/>
  <c r="M236" i="1"/>
  <c r="M231" i="1"/>
  <c r="M228" i="1"/>
  <c r="M229" i="1"/>
  <c r="M232" i="1"/>
  <c r="M233" i="1"/>
  <c r="M226" i="1"/>
  <c r="M217" i="1"/>
  <c r="M220" i="1"/>
  <c r="M218" i="1"/>
  <c r="M225" i="1"/>
  <c r="M219" i="1"/>
  <c r="M224" i="1"/>
  <c r="M223" i="1"/>
  <c r="M213" i="1"/>
  <c r="M214" i="1"/>
  <c r="M210" i="1"/>
  <c r="M206" i="1"/>
  <c r="M208" i="1"/>
  <c r="M209" i="1"/>
  <c r="M211" i="1"/>
  <c r="M212" i="1"/>
  <c r="M207" i="1"/>
  <c r="M205" i="1"/>
  <c r="M201" i="1"/>
  <c r="M203" i="1"/>
  <c r="M197" i="1"/>
  <c r="M195" i="1"/>
  <c r="M193" i="1"/>
  <c r="M194" i="1"/>
  <c r="M191" i="1"/>
  <c r="M190" i="1"/>
  <c r="M187" i="1"/>
  <c r="M185" i="1"/>
  <c r="M178" i="1"/>
  <c r="M180" i="1"/>
  <c r="M175" i="1"/>
  <c r="M172" i="1"/>
  <c r="M173" i="1"/>
  <c r="M176" i="1"/>
  <c r="M167" i="1"/>
  <c r="M157" i="1"/>
  <c r="M154" i="1"/>
  <c r="M146" i="1"/>
  <c r="M147" i="1"/>
  <c r="M134" i="1"/>
  <c r="M130" i="1"/>
  <c r="M124" i="1"/>
  <c r="M123" i="1"/>
  <c r="M128" i="1"/>
  <c r="M120" i="1"/>
  <c r="M118" i="1"/>
  <c r="M117" i="1"/>
  <c r="M119" i="1"/>
  <c r="M112" i="1"/>
  <c r="M114" i="1"/>
  <c r="M108" i="1"/>
  <c r="M109" i="1"/>
  <c r="M104" i="1"/>
  <c r="M106" i="1"/>
  <c r="M102" i="1"/>
  <c r="M103" i="1"/>
  <c r="M101" i="1"/>
  <c r="M100" i="1"/>
  <c r="M99" i="1"/>
  <c r="M97" i="1"/>
  <c r="M98" i="1"/>
  <c r="M95" i="1"/>
  <c r="M93" i="1"/>
  <c r="M94" i="1"/>
  <c r="M86" i="1"/>
  <c r="M88" i="1"/>
  <c r="M90" i="1"/>
  <c r="M85" i="1"/>
  <c r="M81" i="1"/>
  <c r="M75" i="1"/>
  <c r="M74" i="1"/>
  <c r="M73" i="1"/>
  <c r="M69" i="1"/>
  <c r="M71" i="1"/>
  <c r="M70" i="1"/>
  <c r="M67" i="1"/>
  <c r="M66" i="1"/>
  <c r="M62" i="1"/>
  <c r="M60" i="1"/>
  <c r="M57" i="1"/>
  <c r="M56" i="1"/>
  <c r="M54" i="1"/>
  <c r="M55" i="1"/>
  <c r="M53" i="1"/>
  <c r="M51" i="1"/>
  <c r="M49" i="1"/>
  <c r="M46" i="1"/>
  <c r="M45" i="1"/>
  <c r="M44" i="1"/>
  <c r="M43" i="1"/>
  <c r="M40" i="1"/>
  <c r="M42" i="1"/>
  <c r="M39" i="1"/>
  <c r="M38" i="1"/>
  <c r="M37" i="1"/>
  <c r="M36" i="1"/>
  <c r="M34" i="1"/>
  <c r="M35" i="1"/>
  <c r="M31" i="1"/>
  <c r="M29" i="1"/>
  <c r="M26" i="1"/>
  <c r="M24" i="1"/>
  <c r="M22" i="1"/>
  <c r="M23" i="1"/>
  <c r="M21" i="1"/>
  <c r="M20" i="1"/>
  <c r="M19" i="1"/>
  <c r="M17" i="1"/>
  <c r="M18" i="1"/>
  <c r="M16" i="1"/>
  <c r="M15" i="1"/>
  <c r="M14" i="1"/>
  <c r="M10" i="1"/>
  <c r="M9" i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E. Whittington</author>
  </authors>
  <commentList>
    <comment ref="S27" authorId="0" shapeId="0" xr:uid="{00000000-0006-0000-0000-000001000000}">
      <text>
        <r>
          <rPr>
            <b/>
            <sz val="8"/>
            <color rgb="FF000000"/>
            <rFont val="Tahoma"/>
            <family val="2"/>
          </rPr>
          <t>Keith E. Whittington: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AG ordered to argue but did not participate due to illness</t>
        </r>
      </text>
    </comment>
  </commentList>
</comments>
</file>

<file path=xl/sharedStrings.xml><?xml version="1.0" encoding="utf-8"?>
<sst xmlns="http://schemas.openxmlformats.org/spreadsheetml/2006/main" count="8930" uniqueCount="5175">
  <si>
    <t>CASE</t>
  </si>
  <si>
    <t>CITATION</t>
  </si>
  <si>
    <t>DATE</t>
  </si>
  <si>
    <t>YEAR</t>
  </si>
  <si>
    <t>DECADE</t>
  </si>
  <si>
    <t>DECISION</t>
  </si>
  <si>
    <t>DECISION2</t>
  </si>
  <si>
    <t>EFFECT</t>
  </si>
  <si>
    <t>STAT NAME</t>
  </si>
  <si>
    <t>STAT CITE</t>
  </si>
  <si>
    <t>PL #</t>
  </si>
  <si>
    <t>S-DATE</t>
  </si>
  <si>
    <t>TIME TO DECISION</t>
  </si>
  <si>
    <t>CONGRESS</t>
  </si>
  <si>
    <t>AREA1</t>
  </si>
  <si>
    <t>AREA2</t>
  </si>
  <si>
    <t>LNDMRK</t>
  </si>
  <si>
    <t>LNDDTL</t>
  </si>
  <si>
    <t>ATT GEN</t>
  </si>
  <si>
    <t>CERT</t>
  </si>
  <si>
    <t>REVERSD</t>
  </si>
  <si>
    <t>CRS</t>
  </si>
  <si>
    <t>GVT PRTY</t>
  </si>
  <si>
    <t>DISSENT</t>
  </si>
  <si>
    <t>Penhallow v. Doane's Adm'rs</t>
  </si>
  <si>
    <t>003 U.S. 054</t>
  </si>
  <si>
    <t>2/24/1795</t>
  </si>
  <si>
    <t>upheld</t>
  </si>
  <si>
    <t>Court of Appeals Resolution</t>
  </si>
  <si>
    <t>5/24/1780</t>
  </si>
  <si>
    <t>Hylton v. United States</t>
  </si>
  <si>
    <t>003 U.S. 171</t>
  </si>
  <si>
    <t>3/8/1796</t>
  </si>
  <si>
    <t>Carriage Tax Act</t>
  </si>
  <si>
    <t>1 Stat. 373</t>
  </si>
  <si>
    <t>2-33</t>
  </si>
  <si>
    <t>6/5/1794</t>
  </si>
  <si>
    <t>United States v. La Vengeance</t>
  </si>
  <si>
    <t>003 U.S. 297</t>
  </si>
  <si>
    <t>8/11/1796</t>
  </si>
  <si>
    <t>Arms Exportation Act</t>
  </si>
  <si>
    <t>1 Stat. 369</t>
  </si>
  <si>
    <t>2-24</t>
  </si>
  <si>
    <t>5/22/1794</t>
  </si>
  <si>
    <t>Stuart v. Laird</t>
  </si>
  <si>
    <t>005 U.S. 299</t>
  </si>
  <si>
    <t>3/2/1803</t>
  </si>
  <si>
    <t>Repeal Act of 1801</t>
  </si>
  <si>
    <t>2 Stat. 132</t>
  </si>
  <si>
    <t>7-6</t>
  </si>
  <si>
    <t>3/8/1802</t>
  </si>
  <si>
    <t>United States v. Fisher</t>
  </si>
  <si>
    <t>006 U.S. 358</t>
  </si>
  <si>
    <t>2/21/1805</t>
  </si>
  <si>
    <t>Effectual Settlement of Accounts Act</t>
  </si>
  <si>
    <t>1 Stat. 512</t>
  </si>
  <si>
    <t>4-19</t>
  </si>
  <si>
    <t>3/3/1797</t>
  </si>
  <si>
    <t>Ex Parte Bollman</t>
  </si>
  <si>
    <t>008 U.S. 075</t>
  </si>
  <si>
    <t>2/20/1807</t>
  </si>
  <si>
    <t>Judiciary Act of 1789</t>
  </si>
  <si>
    <t>1 Stat. 73</t>
  </si>
  <si>
    <t>1-20</t>
  </si>
  <si>
    <t>9/24/1789</t>
  </si>
  <si>
    <t>United States v. Schooner Betsey and Charlotte, and her Cargo</t>
  </si>
  <si>
    <t>008 U.S. 443</t>
  </si>
  <si>
    <t>3/16/1807</t>
  </si>
  <si>
    <t>St. Domingo Trade Suspension Act</t>
  </si>
  <si>
    <t>2 Stat. 351</t>
  </si>
  <si>
    <t>9-9</t>
  </si>
  <si>
    <t>2/28/1806</t>
  </si>
  <si>
    <t>Cargo of the Brig Aurora v. United States</t>
  </si>
  <si>
    <t>011 U.S. 382</t>
  </si>
  <si>
    <t>2/23/1813</t>
  </si>
  <si>
    <t>Non-Intercourse Act</t>
  </si>
  <si>
    <t>5/1/1810</t>
  </si>
  <si>
    <t>Martin v. Hunter's Lessee</t>
  </si>
  <si>
    <t>014 U.S. 304</t>
  </si>
  <si>
    <t>3/20/1816</t>
  </si>
  <si>
    <t>McCulloch v. Maryland</t>
  </si>
  <si>
    <t>017 U.S. 316</t>
  </si>
  <si>
    <t>3/6/1819</t>
  </si>
  <si>
    <t>Incorporation of the Bank of the United States</t>
  </si>
  <si>
    <t>4/10/1816</t>
  </si>
  <si>
    <t>Loughborough v. Blake</t>
  </si>
  <si>
    <t>018 U.S. 317</t>
  </si>
  <si>
    <t>3/10/1820</t>
  </si>
  <si>
    <t>District of Columbia Direct Tax</t>
  </si>
  <si>
    <t>2/27/1815</t>
  </si>
  <si>
    <t>United States v. Smith</t>
  </si>
  <si>
    <t>018 U.S. 153</t>
  </si>
  <si>
    <t>2/25/1820</t>
  </si>
  <si>
    <t>Protection Against Piracy Act</t>
  </si>
  <si>
    <t>3/3/1819</t>
  </si>
  <si>
    <t>Cohens v. Virginia</t>
  </si>
  <si>
    <t>019 U.S. 264</t>
  </si>
  <si>
    <t>3/5/1821</t>
  </si>
  <si>
    <t>Gibbons v. Ogden</t>
  </si>
  <si>
    <t>022 U.S. 1</t>
  </si>
  <si>
    <t>3/2/1824</t>
  </si>
  <si>
    <t>Licensing Act</t>
  </si>
  <si>
    <t>1 Stat. 305</t>
  </si>
  <si>
    <t>2-8</t>
  </si>
  <si>
    <t>2/18/1793</t>
  </si>
  <si>
    <t>Osborn v. President, Directors &amp; Co. of Bank</t>
  </si>
  <si>
    <t>022 U.S. 738</t>
  </si>
  <si>
    <t>3/19/1824</t>
  </si>
  <si>
    <t>Bank of the United States v. Halstead</t>
  </si>
  <si>
    <t>023 U.S. 51</t>
  </si>
  <si>
    <t>3/2/1825</t>
  </si>
  <si>
    <t>Process Act of 1792</t>
  </si>
  <si>
    <t>1 Stat. 275</t>
  </si>
  <si>
    <t>2-36</t>
  </si>
  <si>
    <t>5/8/1792</t>
  </si>
  <si>
    <t>Wayman v. Southard</t>
  </si>
  <si>
    <t>023 U.S. 1</t>
  </si>
  <si>
    <t>3/1/1825</t>
  </si>
  <si>
    <t>American Ins. Co. v. 356 Bales of Cotton</t>
  </si>
  <si>
    <t>026 U.S. 511</t>
  </si>
  <si>
    <t>3/15/1828</t>
  </si>
  <si>
    <t>Florida Territory Act</t>
  </si>
  <si>
    <t>3/3/1823</t>
  </si>
  <si>
    <t>Foster and Elam v. Neilson</t>
  </si>
  <si>
    <t>027 U.S. 253</t>
  </si>
  <si>
    <t>3/9/1829</t>
  </si>
  <si>
    <t>Louisiana Territory Act</t>
  </si>
  <si>
    <t>2 Stat. 283</t>
  </si>
  <si>
    <t>8-31</t>
  </si>
  <si>
    <t>3/26/1804</t>
  </si>
  <si>
    <t>Worcester v. Georgia</t>
  </si>
  <si>
    <t>031 U.S. 515</t>
  </si>
  <si>
    <t>3/3/1832</t>
  </si>
  <si>
    <t>Indian Trade Act</t>
  </si>
  <si>
    <t>2 Stat. 139</t>
  </si>
  <si>
    <t>7-10</t>
  </si>
  <si>
    <t>3/30/1802</t>
  </si>
  <si>
    <t>Sampeyreac v. United States</t>
  </si>
  <si>
    <t>032 U.S. 222</t>
  </si>
  <si>
    <t>3/6/1833</t>
  </si>
  <si>
    <t>Louisiana Public Land Act</t>
  </si>
  <si>
    <t>5/5/1830</t>
  </si>
  <si>
    <t>Garcia v. Lee</t>
  </si>
  <si>
    <t>037 U.S. 511</t>
  </si>
  <si>
    <t>3/12/1838</t>
  </si>
  <si>
    <t>United States v. Coombs</t>
  </si>
  <si>
    <t>037 U.S. 072</t>
  </si>
  <si>
    <t>1/27/1838</t>
  </si>
  <si>
    <t>3/3/1825</t>
  </si>
  <si>
    <t>United States v. Gratiot</t>
  </si>
  <si>
    <t>039 U.S. 526</t>
  </si>
  <si>
    <t>3/9/1840</t>
  </si>
  <si>
    <t>Disposal of Public Land Act</t>
  </si>
  <si>
    <t>3 Stat. 448</t>
  </si>
  <si>
    <t>9-36</t>
  </si>
  <si>
    <t>3/3/1807</t>
  </si>
  <si>
    <t>Prigg v. Pennsylvania</t>
  </si>
  <si>
    <t>041 U.S. 539</t>
  </si>
  <si>
    <t>3/1/1842</t>
  </si>
  <si>
    <t>Fugitive Slave Act of 1793</t>
  </si>
  <si>
    <t>1 Stat. 302</t>
  </si>
  <si>
    <t>2-7</t>
  </si>
  <si>
    <t>2/12/1793</t>
  </si>
  <si>
    <t>Nelson v. Carland</t>
  </si>
  <si>
    <t>042 U.S. 265</t>
  </si>
  <si>
    <t>2/7/1843</t>
  </si>
  <si>
    <t>Bankruptcy Act of 1841</t>
  </si>
  <si>
    <t>8/19/1841</t>
  </si>
  <si>
    <t>Pollard v. Files</t>
  </si>
  <si>
    <t>43 U.S. 591</t>
  </si>
  <si>
    <t>3/16/1844</t>
  </si>
  <si>
    <t>Act for Relief of William Pollard's Heirs</t>
  </si>
  <si>
    <t>7/2/1836</t>
  </si>
  <si>
    <t>Cary v. Curtis</t>
  </si>
  <si>
    <t>044 U.S. 236</t>
  </si>
  <si>
    <t>1/21/1845</t>
  </si>
  <si>
    <t>Appropriations Act of 1839</t>
  </si>
  <si>
    <t>3/3/1839</t>
  </si>
  <si>
    <t>Searight v. Stokes</t>
  </si>
  <si>
    <t>044 U.S. 151</t>
  </si>
  <si>
    <t>2/4/1845</t>
  </si>
  <si>
    <t>4 Stat. 772</t>
  </si>
  <si>
    <t>3/3/1835</t>
  </si>
  <si>
    <t>Jones v. Van Zandt</t>
  </si>
  <si>
    <t>046 U.S. 215</t>
  </si>
  <si>
    <t>3/5/1847</t>
  </si>
  <si>
    <t>Waring, et al. v. Clarke</t>
  </si>
  <si>
    <t>046 U.S. 441</t>
  </si>
  <si>
    <t>3/2/1847</t>
  </si>
  <si>
    <t>New Jersey Steam Navigation C. v. Merchants' Bank of Boston</t>
  </si>
  <si>
    <t>047 U.S. 344</t>
  </si>
  <si>
    <t>3/7/1848</t>
  </si>
  <si>
    <t>Sheldon v. Sill</t>
  </si>
  <si>
    <t>049 U.S. 441</t>
  </si>
  <si>
    <t>2/21/1850</t>
  </si>
  <si>
    <t>9/24/1793</t>
  </si>
  <si>
    <t>United States v. Marigold</t>
  </si>
  <si>
    <t>050 U.S. 560</t>
  </si>
  <si>
    <t>5/13/1850</t>
  </si>
  <si>
    <t>Act to Punish Certain Crimes</t>
  </si>
  <si>
    <t>Propeller Genesee Chief v. Fitzhugh</t>
  </si>
  <si>
    <t>053 U.S. 443</t>
  </si>
  <si>
    <t>2/20/1852</t>
  </si>
  <si>
    <t>Act Extending Jurisdiction of the District Courts</t>
  </si>
  <si>
    <t>2/26/1845</t>
  </si>
  <si>
    <t>Haydel v. Dufresne</t>
  </si>
  <si>
    <t>058 U.S. 023</t>
  </si>
  <si>
    <t>2/8/1855</t>
  </si>
  <si>
    <t>Louisiana Land Claims Act of 1811</t>
  </si>
  <si>
    <t>2/15/1811</t>
  </si>
  <si>
    <t>United States v. Ritchie</t>
  </si>
  <si>
    <t>058 U.S. 525</t>
  </si>
  <si>
    <t>3/10/1855</t>
  </si>
  <si>
    <t>California Land Claims Act</t>
  </si>
  <si>
    <t>3/3/1851</t>
  </si>
  <si>
    <t>West v. Cochran</t>
  </si>
  <si>
    <t>058 U.S. 403</t>
  </si>
  <si>
    <t>2/6/1855</t>
  </si>
  <si>
    <t>Louisiana Land Claims Act of 1807</t>
  </si>
  <si>
    <t>3 Stat. 440</t>
  </si>
  <si>
    <t>9-26</t>
  </si>
  <si>
    <t>Den ex dem. Murray and Kayser v. Hoboken Land &amp; Improvement Co.</t>
  </si>
  <si>
    <t>059 U.S. 272</t>
  </si>
  <si>
    <t>2/19/1856</t>
  </si>
  <si>
    <t>Treasury Department Reorganization Act</t>
  </si>
  <si>
    <t>5/15/1820</t>
  </si>
  <si>
    <t>Pennsylvania v. Wheeling &amp; Belmont Bridge Co.</t>
  </si>
  <si>
    <t>059 U.S. 421</t>
  </si>
  <si>
    <t>4/21/1856</t>
  </si>
  <si>
    <t>Post Office Appropriation of 1852</t>
  </si>
  <si>
    <t>8/31/1852</t>
  </si>
  <si>
    <t>Dynes v. Hoover</t>
  </si>
  <si>
    <t>061 U.S. 65</t>
  </si>
  <si>
    <t>2/1/1858</t>
  </si>
  <si>
    <t>Government of the Navy Act</t>
  </si>
  <si>
    <t>2 Stat. 45</t>
  </si>
  <si>
    <t>6-28</t>
  </si>
  <si>
    <t>4/23/1800</t>
  </si>
  <si>
    <t>Ableman v. Booth</t>
  </si>
  <si>
    <t>062 U.S. 506</t>
  </si>
  <si>
    <t>3/7/1859</t>
  </si>
  <si>
    <t>Fugitive Slave Act of 1850</t>
  </si>
  <si>
    <t>9/18/1850</t>
  </si>
  <si>
    <t>Freeborn v. Smith</t>
  </si>
  <si>
    <t>069 U.S. 160</t>
  </si>
  <si>
    <t>3/10/1865</t>
  </si>
  <si>
    <t>Nevada Courts Act</t>
  </si>
  <si>
    <t>2/27/1865</t>
  </si>
  <si>
    <t>United States v. Holliday</t>
  </si>
  <si>
    <t>070 U.S. 407</t>
  </si>
  <si>
    <t>3/5/1866</t>
  </si>
  <si>
    <t>Indian Trade Amendment Act</t>
  </si>
  <si>
    <t>2/13/1862</t>
  </si>
  <si>
    <t>Van Allen v. Assessors</t>
  </si>
  <si>
    <t>070 U.S. 573</t>
  </si>
  <si>
    <t>3/26/1866</t>
  </si>
  <si>
    <t>National Currency Act of 1864</t>
  </si>
  <si>
    <t>6/3/1864</t>
  </si>
  <si>
    <t>Hadden v. Collector</t>
  </si>
  <si>
    <t>072 U.S. 107</t>
  </si>
  <si>
    <t>2/13/1867</t>
  </si>
  <si>
    <t>Tariff Act of 1862 (Morrill Tariff)</t>
  </si>
  <si>
    <t>7/14/1862</t>
  </si>
  <si>
    <t>License Tax Cases</t>
  </si>
  <si>
    <t>072 U.S. 462</t>
  </si>
  <si>
    <t>1/28/1867</t>
  </si>
  <si>
    <t>Internal Revenue Act of 1864</t>
  </si>
  <si>
    <t>6/30/1864</t>
  </si>
  <si>
    <t>Moses Taylor</t>
  </si>
  <si>
    <t>071 U.S. 411</t>
  </si>
  <si>
    <t>2/4/1867</t>
  </si>
  <si>
    <t>Mayer v. Cooper</t>
  </si>
  <si>
    <t>073 U.S. 247</t>
  </si>
  <si>
    <t>3/16/1868</t>
  </si>
  <si>
    <t>Habeas Corpus Act of 1863</t>
  </si>
  <si>
    <t>3/3/1863</t>
  </si>
  <si>
    <t>White's Bank v. Smith</t>
  </si>
  <si>
    <t>074 U.S. 646</t>
  </si>
  <si>
    <t>3/29/1868</t>
  </si>
  <si>
    <t>Recording Act</t>
  </si>
  <si>
    <t>7/29/1850</t>
  </si>
  <si>
    <t>Ex Parte McCardle</t>
  </si>
  <si>
    <t>074 U.S. 506</t>
  </si>
  <si>
    <t>4/12/1869</t>
  </si>
  <si>
    <t>Repeal of the Habeas Corpus Act of 1867</t>
  </si>
  <si>
    <t>3/27/1868</t>
  </si>
  <si>
    <t>Pacific Insurance Co. v. Soule</t>
  </si>
  <si>
    <t>074 U.S. 433</t>
  </si>
  <si>
    <t>2/1/1869</t>
  </si>
  <si>
    <t>Veazie Bank v. Fenno</t>
  </si>
  <si>
    <t>075 U.S. 533</t>
  </si>
  <si>
    <t>12/13/1869</t>
  </si>
  <si>
    <t>Internal Revenue Act of 1866</t>
  </si>
  <si>
    <t>7/13/1866</t>
  </si>
  <si>
    <t>Clinton Bridge</t>
  </si>
  <si>
    <t>077 U.S. 454</t>
  </si>
  <si>
    <t>12/19/1870</t>
  </si>
  <si>
    <t>Clinton Bridge Act</t>
  </si>
  <si>
    <t>Frisbie v. Whitney</t>
  </si>
  <si>
    <t>076 U.S. 187</t>
  </si>
  <si>
    <t>3/21/1870</t>
  </si>
  <si>
    <t>Soscal Ranch Preemption Act</t>
  </si>
  <si>
    <t>Willard v. Presbury</t>
  </si>
  <si>
    <t>081 U.S. 676</t>
  </si>
  <si>
    <t>3/7/1870</t>
  </si>
  <si>
    <t>District of Columbia Tax Authority Act</t>
  </si>
  <si>
    <t>2/23/1865</t>
  </si>
  <si>
    <t>Knox v. Lee</t>
  </si>
  <si>
    <t>079 U.S. 457</t>
  </si>
  <si>
    <t>5/1/1871</t>
  </si>
  <si>
    <t>Legal Tender Act</t>
  </si>
  <si>
    <t>2/25/1862</t>
  </si>
  <si>
    <t>Miller v. United States</t>
  </si>
  <si>
    <t>078 U.S. 268</t>
  </si>
  <si>
    <t>3/3/1871</t>
  </si>
  <si>
    <t>Confiscation Acts</t>
  </si>
  <si>
    <t>8/6/1861</t>
  </si>
  <si>
    <t>Stewart v. Kahn</t>
  </si>
  <si>
    <t>078 U.S. 493</t>
  </si>
  <si>
    <t>4/10/1871</t>
  </si>
  <si>
    <t>Statute of Limitations Act</t>
  </si>
  <si>
    <t>6/11/1864</t>
  </si>
  <si>
    <t>The Daniel Ball</t>
  </si>
  <si>
    <t>077 U.S. 557</t>
  </si>
  <si>
    <t>1/23/1871</t>
  </si>
  <si>
    <t>Security on Steam Vessels Act</t>
  </si>
  <si>
    <t>7/7/1838</t>
  </si>
  <si>
    <t>Ex Parte Russell</t>
  </si>
  <si>
    <t>080 U.S. 664</t>
  </si>
  <si>
    <t>3/25/1872</t>
  </si>
  <si>
    <t>Court of Claims Amendment Act of 1868</t>
  </si>
  <si>
    <t>6/25/1868</t>
  </si>
  <si>
    <t>Railway Company v. Whitton's Administrator</t>
  </si>
  <si>
    <t>080 U.S. 270</t>
  </si>
  <si>
    <t>2/19/1872</t>
  </si>
  <si>
    <t>Removal Act</t>
  </si>
  <si>
    <t>3/2/1867</t>
  </si>
  <si>
    <t>United States v. Singer</t>
  </si>
  <si>
    <t>082 U.S. 111</t>
  </si>
  <si>
    <t>12/9/1872</t>
  </si>
  <si>
    <t>Internal Tax on Spirits Act</t>
  </si>
  <si>
    <t>7/20/1868</t>
  </si>
  <si>
    <t>Ex Parte Robinson</t>
  </si>
  <si>
    <t>086 U.S. 505</t>
  </si>
  <si>
    <t>5/4/1874</t>
  </si>
  <si>
    <t>Contempt of Court Act</t>
  </si>
  <si>
    <t>3/2/1831</t>
  </si>
  <si>
    <t>Insurance Company v. Dunn</t>
  </si>
  <si>
    <t>086 U.S. 214</t>
  </si>
  <si>
    <t>1/26/1874</t>
  </si>
  <si>
    <t>Stockdale v. Insurance Company</t>
  </si>
  <si>
    <t>087 U.S. 323</t>
  </si>
  <si>
    <t>Tariff Act of 1870</t>
  </si>
  <si>
    <t>7/14/1870</t>
  </si>
  <si>
    <t>Hamilton v. Dillin</t>
  </si>
  <si>
    <t>088 U.S. 73</t>
  </si>
  <si>
    <t>1/11/1875</t>
  </si>
  <si>
    <t>Force Act of 1861</t>
  </si>
  <si>
    <t>7/13/1861</t>
  </si>
  <si>
    <t>Scholey v. Rew</t>
  </si>
  <si>
    <t>090 U.S. 331</t>
  </si>
  <si>
    <t>1/25/1875</t>
  </si>
  <si>
    <t>Gaines v. Fuentes</t>
  </si>
  <si>
    <t>092 U.S. 10</t>
  </si>
  <si>
    <t>3/20/1876</t>
  </si>
  <si>
    <t>Kohl v. United States</t>
  </si>
  <si>
    <t>091 U.S. 367</t>
  </si>
  <si>
    <t>3/27/1876</t>
  </si>
  <si>
    <t>Act to Purchase a Site</t>
  </si>
  <si>
    <t>Pace v. Burgess</t>
  </si>
  <si>
    <t>092 U.S. 372</t>
  </si>
  <si>
    <t>4/17/1876</t>
  </si>
  <si>
    <t>Phillips v. Payne</t>
  </si>
  <si>
    <t>092 U.S. 130</t>
  </si>
  <si>
    <t>Alexandria Retrocession Act</t>
  </si>
  <si>
    <t>7/9/1846</t>
  </si>
  <si>
    <t>South Carolina v. Georgia</t>
  </si>
  <si>
    <t>093 U.S. 4</t>
  </si>
  <si>
    <t>10/23/1876</t>
  </si>
  <si>
    <t>Appropriations Act of 1874</t>
  </si>
  <si>
    <t>6/23/1874</t>
  </si>
  <si>
    <t>United States v. Forty-Three Gallons of Whiskey</t>
  </si>
  <si>
    <t>093 U.S. 188</t>
  </si>
  <si>
    <t>11/13/1876</t>
  </si>
  <si>
    <t>Indian Trade Act of 1864</t>
  </si>
  <si>
    <t>3/15/1864</t>
  </si>
  <si>
    <t>Ex Parte Jackson</t>
  </si>
  <si>
    <t>096 U.S. 727</t>
  </si>
  <si>
    <t>5/13/1878</t>
  </si>
  <si>
    <t>19 Stat. 90</t>
  </si>
  <si>
    <t>7/12/1876</t>
  </si>
  <si>
    <t>Mattingly v. District of Columbia</t>
  </si>
  <si>
    <t>097 U.S. 687</t>
  </si>
  <si>
    <t>12/16/1878</t>
  </si>
  <si>
    <t>District of Columbia Assessments</t>
  </si>
  <si>
    <t>6/19/1878</t>
  </si>
  <si>
    <t>Pensacola Telegraph Company v. Western Union Telegraph Company</t>
  </si>
  <si>
    <t>096 U.S. 1</t>
  </si>
  <si>
    <t>3/25/1878</t>
  </si>
  <si>
    <t>Telegraph Construction Act</t>
  </si>
  <si>
    <t>7/24/1866</t>
  </si>
  <si>
    <t>De Treville v. Smalls</t>
  </si>
  <si>
    <t>098 U.S. 517</t>
  </si>
  <si>
    <t>1/20/1879</t>
  </si>
  <si>
    <t>12 Stat. 422</t>
  </si>
  <si>
    <t>6/7/1862</t>
  </si>
  <si>
    <t>Reynolds v. United States</t>
  </si>
  <si>
    <t>098 U.S. 145</t>
  </si>
  <si>
    <t>1/6/1879</t>
  </si>
  <si>
    <t>12 Stat. 501</t>
  </si>
  <si>
    <t>7/1/1862</t>
  </si>
  <si>
    <t>Sinking-Fund Cases</t>
  </si>
  <si>
    <t>099 U.S. 700</t>
  </si>
  <si>
    <t>5/5/1879</t>
  </si>
  <si>
    <t>20 Stat. 56</t>
  </si>
  <si>
    <t>5/7/1878</t>
  </si>
  <si>
    <t>United States v. Hall</t>
  </si>
  <si>
    <t>098 U.S. 343</t>
  </si>
  <si>
    <t>1/27/1879</t>
  </si>
  <si>
    <t>17 Stat. 575</t>
  </si>
  <si>
    <t>3/3/1873</t>
  </si>
  <si>
    <t>United States v. Union Pacific Railroad Company</t>
  </si>
  <si>
    <t>098 U.S. 569</t>
  </si>
  <si>
    <t>Appropriations Act of 1873</t>
  </si>
  <si>
    <t>Ex parte Clarke</t>
  </si>
  <si>
    <t>100 U.S. 399</t>
  </si>
  <si>
    <t>3/8/1880</t>
  </si>
  <si>
    <t>Ex parte Siebold</t>
  </si>
  <si>
    <t>100 U.S. 371</t>
  </si>
  <si>
    <t>Enforcement Act of 1870</t>
  </si>
  <si>
    <t>5/31/1870</t>
  </si>
  <si>
    <t>Ex parte Virginia</t>
  </si>
  <si>
    <t>100 U.S. 339</t>
  </si>
  <si>
    <t>3/1/1880</t>
  </si>
  <si>
    <t>Civil Rights Act of 1875</t>
  </si>
  <si>
    <t>3/1/1875</t>
  </si>
  <si>
    <t>McElrath v. United States</t>
  </si>
  <si>
    <t>102 U.S. 426</t>
  </si>
  <si>
    <t>12/30/1880</t>
  </si>
  <si>
    <t>National Bank v. United States</t>
  </si>
  <si>
    <t>101 U.S. 1</t>
  </si>
  <si>
    <t>4/5/1880</t>
  </si>
  <si>
    <t>3/26/1867</t>
  </si>
  <si>
    <t>Tennessee v. Davis</t>
  </si>
  <si>
    <t>100 U.S. 257</t>
  </si>
  <si>
    <t>3/3/1875</t>
  </si>
  <si>
    <t>Virginia v. Rives</t>
  </si>
  <si>
    <t>100 U.S. 313</t>
  </si>
  <si>
    <t>Lord v. Steamship Co.</t>
  </si>
  <si>
    <t>102 U.S. 541</t>
  </si>
  <si>
    <t>1/10/1881</t>
  </si>
  <si>
    <t>Springer v. United States</t>
  </si>
  <si>
    <t>102 U.S. 586</t>
  </si>
  <si>
    <t>1/24/1881</t>
  </si>
  <si>
    <t>Ways and Means - Bonds, Treasury Notes; Direct Taxes in Insurrectionary Districts, Conveyances, etc</t>
  </si>
  <si>
    <t>3/3/1865</t>
  </si>
  <si>
    <t>Bridge Co. v. United States</t>
  </si>
  <si>
    <t>105 U.S. 470</t>
  </si>
  <si>
    <t>5/8/1882</t>
  </si>
  <si>
    <t>Post-Office Appropriation Act</t>
  </si>
  <si>
    <t>Ex parte Boyd</t>
  </si>
  <si>
    <t>105 U.S. 647</t>
  </si>
  <si>
    <t>6/1/1872</t>
  </si>
  <si>
    <t>Ex parte Curtis</t>
  </si>
  <si>
    <t>106 U.S. 371</t>
  </si>
  <si>
    <t>12/18/1882</t>
  </si>
  <si>
    <t>Legislative, Executive, and Judicial Appropriations Act of 1876</t>
  </si>
  <si>
    <t>8/15/1876</t>
  </si>
  <si>
    <t>Kirk v. Lynd</t>
  </si>
  <si>
    <t>106 U.S. 315</t>
  </si>
  <si>
    <t>12/4/1882</t>
  </si>
  <si>
    <t>Confiscation (of Property) Acts (Civil War)</t>
  </si>
  <si>
    <t>The "Francis Wright"</t>
  </si>
  <si>
    <t>105 U.S. 381</t>
  </si>
  <si>
    <t>4/17/1882</t>
  </si>
  <si>
    <t>Supreme Court and Circuit Courts</t>
  </si>
  <si>
    <t>2/16/1875</t>
  </si>
  <si>
    <t>Close v. Glenwood Cemetery</t>
  </si>
  <si>
    <t>107 U.S. 466</t>
  </si>
  <si>
    <t>3/5/1883</t>
  </si>
  <si>
    <t>Glenwood Cemetary Act</t>
  </si>
  <si>
    <t>2/28/1875</t>
  </si>
  <si>
    <t>In re Devoe Manufacturing Co.</t>
  </si>
  <si>
    <t>108 U.S. 401</t>
  </si>
  <si>
    <t>5/7/1883</t>
  </si>
  <si>
    <t>Consent of Congress to a Compact of Boundary between New York and New Jersey</t>
  </si>
  <si>
    <t>6/28/1834</t>
  </si>
  <si>
    <t>Miller v. Mayor of New York</t>
  </si>
  <si>
    <t>109 U.S. 385</t>
  </si>
  <si>
    <t>11/26/1883</t>
  </si>
  <si>
    <t>Brooklyn Bridge Authorization Act</t>
  </si>
  <si>
    <t>3/3/1869</t>
  </si>
  <si>
    <t>United States v. Jones</t>
  </si>
  <si>
    <t>109 U.S. 513</t>
  </si>
  <si>
    <t>12/10/1883</t>
  </si>
  <si>
    <t>Improvement of the Wisconsin and Fox Rivers</t>
  </si>
  <si>
    <t>7/7/1870</t>
  </si>
  <si>
    <t>Wood v. United States</t>
  </si>
  <si>
    <t>107 U.S. 414</t>
  </si>
  <si>
    <t>4/16/1883</t>
  </si>
  <si>
    <t>General Samuel W. Crawford and Retired Officers</t>
  </si>
  <si>
    <t>Ames v. Kansas</t>
  </si>
  <si>
    <t>111 U.S. 449</t>
  </si>
  <si>
    <t>4/21/1884</t>
  </si>
  <si>
    <t>Circuit Courts (Removal)</t>
  </si>
  <si>
    <t>Bors v. Preston</t>
  </si>
  <si>
    <t>111 U.S. 252</t>
  </si>
  <si>
    <t>4/7/1884</t>
  </si>
  <si>
    <t>Burrow-Giles Lithographic Co. v. Sarony</t>
  </si>
  <si>
    <t>111 U.S. 53</t>
  </si>
  <si>
    <t>3/17/1884</t>
  </si>
  <si>
    <t>6/18/1874</t>
  </si>
  <si>
    <t>Edye v. Robertson</t>
  </si>
  <si>
    <t>112 U.S. 580</t>
  </si>
  <si>
    <t>12/8/1884</t>
  </si>
  <si>
    <t>Immigration Fund Act</t>
  </si>
  <si>
    <t>8/3/1882</t>
  </si>
  <si>
    <t>Ex parte Yarbrough</t>
  </si>
  <si>
    <t>110 U.S. 651</t>
  </si>
  <si>
    <t>3/3/1884</t>
  </si>
  <si>
    <t>4/20/1871</t>
  </si>
  <si>
    <t>Hitz v. National Metropolitan Bank</t>
  </si>
  <si>
    <t>111 U.S. 722</t>
  </si>
  <si>
    <t>5/5/1884</t>
  </si>
  <si>
    <t>District of Columbia Recording Act</t>
  </si>
  <si>
    <t>4/29/1878</t>
  </si>
  <si>
    <t>Legal Tender Case</t>
  </si>
  <si>
    <t>110 U.S. 421</t>
  </si>
  <si>
    <t>20 Stat. 87</t>
  </si>
  <si>
    <t>5/31/1878</t>
  </si>
  <si>
    <t>Mitchell v. Clark</t>
  </si>
  <si>
    <t>110 U.S. 633</t>
  </si>
  <si>
    <t>Habeas Corpus Act (Civil War), Orders From Superior Officer to be a Defence in Certain Suits</t>
  </si>
  <si>
    <t>5/11/1866</t>
  </si>
  <si>
    <t>Murphy v. Ramsey</t>
  </si>
  <si>
    <t>114 U.S. 15</t>
  </si>
  <si>
    <t>3/23/1885</t>
  </si>
  <si>
    <t>Edmunds Act (Polygamy)</t>
  </si>
  <si>
    <t>3/22/1882</t>
  </si>
  <si>
    <t>Northern Pacific Railway Company v. Traill County</t>
  </si>
  <si>
    <t>115 U.S. 600</t>
  </si>
  <si>
    <t>12/7/1885</t>
  </si>
  <si>
    <t>Civil Expenses Appropriation Act</t>
  </si>
  <si>
    <t>The Laura</t>
  </si>
  <si>
    <t>114 U.S. 411</t>
  </si>
  <si>
    <t>4/13/1885</t>
  </si>
  <si>
    <t>16 Stat. 458</t>
  </si>
  <si>
    <t>2/28/1871</t>
  </si>
  <si>
    <t>Gibbons v. District of Columbia</t>
  </si>
  <si>
    <t>116 U.S. 404</t>
  </si>
  <si>
    <t>1/18/1886</t>
  </si>
  <si>
    <t>District of Columbia, Taxes in the District of Columbia Act, District of Columbia</t>
  </si>
  <si>
    <t>3/3/1877</t>
  </si>
  <si>
    <t>Hart v. United States</t>
  </si>
  <si>
    <t>118 U.S. 62</t>
  </si>
  <si>
    <t>4/26/1886</t>
  </si>
  <si>
    <t>Court of Claims, Appeals</t>
  </si>
  <si>
    <t>Turpin v. Burgess</t>
  </si>
  <si>
    <t>117 U.S. 504</t>
  </si>
  <si>
    <t>4/5/1886</t>
  </si>
  <si>
    <t>Internal Taxes on Distilled Spirits and Tobacco Act</t>
  </si>
  <si>
    <t>United States v. Central Pacific Railroad Co.</t>
  </si>
  <si>
    <t>118 U.S. 235</t>
  </si>
  <si>
    <t>5/18/1886</t>
  </si>
  <si>
    <t>United States v. Kagama</t>
  </si>
  <si>
    <t>118 U.S. 375</t>
  </si>
  <si>
    <t>5/10/1886</t>
  </si>
  <si>
    <t>Indian Appropriation Act</t>
  </si>
  <si>
    <t>3/3/1885</t>
  </si>
  <si>
    <t>United States v. Perkins</t>
  </si>
  <si>
    <t>116 U.S. 483</t>
  </si>
  <si>
    <t>1/25/1886</t>
  </si>
  <si>
    <t>14 stat. 92</t>
  </si>
  <si>
    <t xml:space="preserve">7/13/1866 </t>
  </si>
  <si>
    <t>United States v. Arjona</t>
  </si>
  <si>
    <t>120 U.S. 479</t>
  </si>
  <si>
    <t>3/7/1887</t>
  </si>
  <si>
    <t>Counterfeiting Act</t>
  </si>
  <si>
    <t>5/16/1884</t>
  </si>
  <si>
    <t>United States v. Louisiana</t>
  </si>
  <si>
    <t>123 U.S. 32</t>
  </si>
  <si>
    <t>10/24/1887</t>
  </si>
  <si>
    <t>Amended Tariff (Direct Tax, Income Tax)</t>
  </si>
  <si>
    <t>8/5/1861</t>
  </si>
  <si>
    <t>California v. Central Pacific Railroad</t>
  </si>
  <si>
    <t>127 U.S. 1</t>
  </si>
  <si>
    <t>4/30/1888</t>
  </si>
  <si>
    <t>12 Stat. 489</t>
  </si>
  <si>
    <t>Great Falls Manufacturing Co. v. Attorney General</t>
  </si>
  <si>
    <t>124 U.S. 581</t>
  </si>
  <si>
    <t>2/6/1888</t>
  </si>
  <si>
    <t>Water-Supply, DC</t>
  </si>
  <si>
    <t>7/15/1882</t>
  </si>
  <si>
    <t>In re Coy</t>
  </si>
  <si>
    <t>127 U.S. 731</t>
  </si>
  <si>
    <t>5/14/1888</t>
  </si>
  <si>
    <t>Conspiracies to Defraud the US Act</t>
  </si>
  <si>
    <t>5/17/1879</t>
  </si>
  <si>
    <t>Botiller v. Dominguez</t>
  </si>
  <si>
    <t>130 U.S. 238</t>
  </si>
  <si>
    <t>4/1/1889</t>
  </si>
  <si>
    <t>Land Claims in California Act</t>
  </si>
  <si>
    <t>United States ex rel. Levey v. Stockslager</t>
  </si>
  <si>
    <t>129 U.S. 470</t>
  </si>
  <si>
    <t>3/5/1889</t>
  </si>
  <si>
    <t>An Act for the Relief of the Heirs of John E. Bouligny</t>
  </si>
  <si>
    <t>Auffmordt v. Hedden</t>
  </si>
  <si>
    <t>137 U.S. 310</t>
  </si>
  <si>
    <t>12/8/1890</t>
  </si>
  <si>
    <t>Cherokee Nation v. Southern Kansas Railway Company</t>
  </si>
  <si>
    <t>135 U.S. 641</t>
  </si>
  <si>
    <t>5/19/1890</t>
  </si>
  <si>
    <t>Southern Kansas Railway Company (Right of Way) Act</t>
  </si>
  <si>
    <t>7/4/1884</t>
  </si>
  <si>
    <t>Crenshaw v. United States</t>
  </si>
  <si>
    <t>134 U.S. 99</t>
  </si>
  <si>
    <t>3/3/1890</t>
  </si>
  <si>
    <t>Naval Appropriation Act</t>
  </si>
  <si>
    <t>8/5/1882</t>
  </si>
  <si>
    <t>Edward Smith v. United States</t>
  </si>
  <si>
    <t>137 U.S. 202</t>
  </si>
  <si>
    <t>11/24/1890</t>
  </si>
  <si>
    <t>Guano Islands Act</t>
  </si>
  <si>
    <t>8/18/1856</t>
  </si>
  <si>
    <t>Late Corporation of the Church of Jesus Christ of Latter-Day Saints v. United States</t>
  </si>
  <si>
    <t>136 U.S. 1</t>
  </si>
  <si>
    <t>Anti-Polygamy Acts</t>
  </si>
  <si>
    <t>Cook v. United States</t>
  </si>
  <si>
    <t>138 U.S. 157</t>
  </si>
  <si>
    <t>1/26/1891</t>
  </si>
  <si>
    <t>Indian Territory Court Act</t>
  </si>
  <si>
    <t>3/1/1889</t>
  </si>
  <si>
    <t>In re Garnett</t>
  </si>
  <si>
    <t>141 U.S. 1</t>
  </si>
  <si>
    <t>5/25/1891</t>
  </si>
  <si>
    <t>Limited Liability Act</t>
  </si>
  <si>
    <t>6/19/1886</t>
  </si>
  <si>
    <t>In re Rahrer</t>
  </si>
  <si>
    <t>140 U.S. 545</t>
  </si>
  <si>
    <t>Originial Packages (Intoxicating Liquors) Act</t>
  </si>
  <si>
    <t>8/8/1890</t>
  </si>
  <si>
    <t>In re Ross</t>
  </si>
  <si>
    <t>140 U.S. 453</t>
  </si>
  <si>
    <t>12 Stat. 73</t>
  </si>
  <si>
    <t>6/22/1860</t>
  </si>
  <si>
    <t>Field v. Clark</t>
  </si>
  <si>
    <t>143 U.S. 649</t>
  </si>
  <si>
    <t>2/29/1892</t>
  </si>
  <si>
    <t>Tariff Act of 1890</t>
  </si>
  <si>
    <t>10/1/1890</t>
  </si>
  <si>
    <t>Horner v. United States</t>
  </si>
  <si>
    <t>143 U.S. 207</t>
  </si>
  <si>
    <t>Anti-Lottery Law</t>
  </si>
  <si>
    <t>9/19/1890</t>
  </si>
  <si>
    <t>In re Rapier</t>
  </si>
  <si>
    <t>143 U.S. 110</t>
  </si>
  <si>
    <t>2/1/1892</t>
  </si>
  <si>
    <t>Logan v. United States</t>
  </si>
  <si>
    <t>144 U.S. 263</t>
  </si>
  <si>
    <t>4/4/1892</t>
  </si>
  <si>
    <t>16 Stat. 141</t>
  </si>
  <si>
    <t>Nishimura Ekiu v. United States</t>
  </si>
  <si>
    <t>142 U.S. 651</t>
  </si>
  <si>
    <t>1/18/1892</t>
  </si>
  <si>
    <t>Immigration Act of 1891</t>
  </si>
  <si>
    <t>3/3/1891</t>
  </si>
  <si>
    <t>United States v. Ballin</t>
  </si>
  <si>
    <t>144 U.S. 1</t>
  </si>
  <si>
    <t>Worsted Cloth Act</t>
  </si>
  <si>
    <t>5/9/1890</t>
  </si>
  <si>
    <t>Fong Yue Ting v. United States</t>
  </si>
  <si>
    <t>149 U.S. 698</t>
  </si>
  <si>
    <t>5/15/1893</t>
  </si>
  <si>
    <t>Chinese Exclusion Act of 1892</t>
  </si>
  <si>
    <t>Lees v. United States</t>
  </si>
  <si>
    <t>150 U.S. 476</t>
  </si>
  <si>
    <t>12/4/1893</t>
  </si>
  <si>
    <t>Alien Contract Labor Act</t>
  </si>
  <si>
    <t>2/26/1885</t>
  </si>
  <si>
    <t>Shoemaker v. United States</t>
  </si>
  <si>
    <t>147 U.S. 282</t>
  </si>
  <si>
    <t>1/16/1893</t>
  </si>
  <si>
    <t>Rock Creek Park Act</t>
  </si>
  <si>
    <t>9/27/1890</t>
  </si>
  <si>
    <t>Interstate Commerce Commission v. Brimson</t>
  </si>
  <si>
    <t>154 U.S. 447</t>
  </si>
  <si>
    <t>5/26/1894</t>
  </si>
  <si>
    <t>Interstate Commerce Act of 1887</t>
  </si>
  <si>
    <t>2/4/1887</t>
  </si>
  <si>
    <t>Luxton v. North River Bridge Company</t>
  </si>
  <si>
    <t>153 U.S. 525</t>
  </si>
  <si>
    <t>5/14/1894</t>
  </si>
  <si>
    <t>North River Bridge Act</t>
  </si>
  <si>
    <t>7/11/1890</t>
  </si>
  <si>
    <t>United States v. Coe</t>
  </si>
  <si>
    <t>155 U.S. 76</t>
  </si>
  <si>
    <t>10/29/1894</t>
  </si>
  <si>
    <t>Court of Private Land Claims Act</t>
  </si>
  <si>
    <t>Frisbie v. United States</t>
  </si>
  <si>
    <t>157 U.S. 160</t>
  </si>
  <si>
    <t>3/18/1895</t>
  </si>
  <si>
    <t>Civil War Pension Act of 1890</t>
  </si>
  <si>
    <t>6/27/1890</t>
  </si>
  <si>
    <t>Lem Moon Sing v. United States</t>
  </si>
  <si>
    <t>158 U.S. 538</t>
  </si>
  <si>
    <t>5/27/1895</t>
  </si>
  <si>
    <t>28 Stat. 390</t>
  </si>
  <si>
    <t>8/18/1894</t>
  </si>
  <si>
    <t>Brown v. Walker</t>
  </si>
  <si>
    <t>161 U.S. 591</t>
  </si>
  <si>
    <t>3/23/1896</t>
  </si>
  <si>
    <t>Compulsory Testimony/Immunity Act (Trusts and Interstate Commerce)</t>
  </si>
  <si>
    <t>2/11/1893</t>
  </si>
  <si>
    <t>Chappell v. United States</t>
  </si>
  <si>
    <t>160 U.S. 499</t>
  </si>
  <si>
    <t>1/6/1896</t>
  </si>
  <si>
    <t>Condemnation Act (Lands for Public Use)</t>
  </si>
  <si>
    <t>8/1/1888</t>
  </si>
  <si>
    <t>United States v. Gettysburg Electric Railway Company</t>
  </si>
  <si>
    <t>160 U.S. 668</t>
  </si>
  <si>
    <t>1/27/1896</t>
  </si>
  <si>
    <t>Condemnation Act (Lands for Public Use); Gettysburg Battlefield Land Act</t>
  </si>
  <si>
    <t>6/5/1894</t>
  </si>
  <si>
    <t>4</t>
  </si>
  <si>
    <t>United States v. Realty Company</t>
  </si>
  <si>
    <t>163 U.S. 427</t>
  </si>
  <si>
    <t>5/25/1896</t>
  </si>
  <si>
    <t>Sugar Bounty Act</t>
  </si>
  <si>
    <t>3/2/1895</t>
  </si>
  <si>
    <t>Atlantic &amp; Pacific Railroad Company v. Mingus</t>
  </si>
  <si>
    <t>165 U.S. 413</t>
  </si>
  <si>
    <t>2/15/1897</t>
  </si>
  <si>
    <t>Forfeiture of Land Grants Act</t>
  </si>
  <si>
    <t>7/6/1886</t>
  </si>
  <si>
    <t>Bauman v. Ross</t>
  </si>
  <si>
    <t>167 U.S. 548</t>
  </si>
  <si>
    <t>5/10/1897</t>
  </si>
  <si>
    <t>Highways in the District of Columbia Act</t>
  </si>
  <si>
    <t>3/2/1893</t>
  </si>
  <si>
    <t>Camfield v. United States</t>
  </si>
  <si>
    <t>167 U.S. 518</t>
  </si>
  <si>
    <t>5/24/1897</t>
  </si>
  <si>
    <t>Unlawful Occupancy of the Public Lands Act</t>
  </si>
  <si>
    <t>2/25/1885</t>
  </si>
  <si>
    <t>In re Chapman</t>
  </si>
  <si>
    <t>166 U.S. 661</t>
  </si>
  <si>
    <t>4/19/1897</t>
  </si>
  <si>
    <t>Attendance of Witnesses Before Congress Act</t>
  </si>
  <si>
    <t>1/24/1857</t>
  </si>
  <si>
    <t>In re Kollock</t>
  </si>
  <si>
    <t>165 U.S. 526</t>
  </si>
  <si>
    <t>3/1/1897</t>
  </si>
  <si>
    <t>Adulterated Butter Act (Oleomargarine)</t>
  </si>
  <si>
    <t>8/2/1886</t>
  </si>
  <si>
    <t>Robertson v. Baldwin</t>
  </si>
  <si>
    <t>165 U.S. 275</t>
  </si>
  <si>
    <t>1/25/1897</t>
  </si>
  <si>
    <t>Government and Regulation of Seamen in the Merchant Service Act</t>
  </si>
  <si>
    <t>1 Stat. 131</t>
  </si>
  <si>
    <t>1-25</t>
  </si>
  <si>
    <t>7/20/1790</t>
  </si>
  <si>
    <t>Twin City Bank v. Nebeker</t>
  </si>
  <si>
    <t>167 U.S. 196</t>
  </si>
  <si>
    <t>Parsons v. District of Columbia</t>
  </si>
  <si>
    <t>170 U.S. 45</t>
  </si>
  <si>
    <t>4/11/1898</t>
  </si>
  <si>
    <t>Water Main Assessments in the District of Columbia Act</t>
  </si>
  <si>
    <t>8/11/1894</t>
  </si>
  <si>
    <t>United States v. Joint Traffic Association</t>
  </si>
  <si>
    <t>171 U.S. 505</t>
  </si>
  <si>
    <t>10/24/1898</t>
  </si>
  <si>
    <t>Interstate Commerce Act of 1895, Sherman Anti-Trust Act</t>
  </si>
  <si>
    <t>2/8/1895</t>
  </si>
  <si>
    <t>Wilson v. Lambert</t>
  </si>
  <si>
    <t>168 U.S. 611</t>
  </si>
  <si>
    <t>1/3/1898</t>
  </si>
  <si>
    <t>Addyston Pipe and Steel Company v. United States</t>
  </si>
  <si>
    <t>175 U.S. 211</t>
  </si>
  <si>
    <t>12/4/1899</t>
  </si>
  <si>
    <t>Sherman Anti-Trust Act</t>
  </si>
  <si>
    <t>7/2/1890</t>
  </si>
  <si>
    <t>Bradfield v. Roberts</t>
  </si>
  <si>
    <t>175 U.S. 291</t>
  </si>
  <si>
    <t>Providence Hospital Act</t>
  </si>
  <si>
    <t>3/3/1897</t>
  </si>
  <si>
    <t>Capital Traction Co. v. Hof</t>
  </si>
  <si>
    <t>174 U.S. 1</t>
  </si>
  <si>
    <t>4/11/1899</t>
  </si>
  <si>
    <t>District of Columbia Justices of the Peace Act</t>
  </si>
  <si>
    <t>2/19/1895</t>
  </si>
  <si>
    <t>La Abra Silver Mining Company v. United States</t>
  </si>
  <si>
    <t>175 U.S. 423</t>
  </si>
  <si>
    <t>12/11/1899</t>
  </si>
  <si>
    <t>La Abra Silver Mining Company Act</t>
  </si>
  <si>
    <t>12/28/1892</t>
  </si>
  <si>
    <t>Nicol v. Ames</t>
  </si>
  <si>
    <t>173 U.S. 509</t>
  </si>
  <si>
    <t>4/3/1899</t>
  </si>
  <si>
    <t>War Revenue Act</t>
  </si>
  <si>
    <t>6/13/1898</t>
  </si>
  <si>
    <t>Stephens v. Cherokee Nation</t>
  </si>
  <si>
    <t>174 U.S. 445</t>
  </si>
  <si>
    <t>5/15/1899</t>
  </si>
  <si>
    <t>7/1/1898</t>
  </si>
  <si>
    <t>United States v. Duell</t>
  </si>
  <si>
    <t>172 U.S. 576</t>
  </si>
  <si>
    <t>1/23/1899</t>
  </si>
  <si>
    <t>Court of Appeals of District of Columbia Act</t>
  </si>
  <si>
    <t>2/9/1893</t>
  </si>
  <si>
    <t>Knowlton v. Moore</t>
  </si>
  <si>
    <t>178 U.S. 41</t>
  </si>
  <si>
    <t>Dooley v. United States</t>
  </si>
  <si>
    <t>183 U.S. 151</t>
  </si>
  <si>
    <t>Foraker Act (Puerto Rico Civil Code)</t>
  </si>
  <si>
    <t>Downes v. Bidwell</t>
  </si>
  <si>
    <t>182 U.S. 244</t>
  </si>
  <si>
    <t>Li Sing v. United States</t>
  </si>
  <si>
    <t>180 U.S. 486</t>
  </si>
  <si>
    <t>Chinese Exclusion Act of 1893 (McCreary Act)</t>
  </si>
  <si>
    <t>11/3/1893</t>
  </si>
  <si>
    <t>Neely v. Henkel</t>
  </si>
  <si>
    <t>180 U.S. 109</t>
  </si>
  <si>
    <t>Extradition Act</t>
  </si>
  <si>
    <t>Rice v. Ames</t>
  </si>
  <si>
    <t>180 U.S. 371</t>
  </si>
  <si>
    <t>United States Commissioners Act</t>
  </si>
  <si>
    <t>5/28/1896</t>
  </si>
  <si>
    <t>Wight v. Davidson</t>
  </si>
  <si>
    <t>181 U.S. 371</t>
  </si>
  <si>
    <t>S Street (District of Columbia) Act</t>
  </si>
  <si>
    <t>3/3/1899</t>
  </si>
  <si>
    <t>Cherokee Nation v. Hitchcock</t>
  </si>
  <si>
    <t>187 U.S. 294</t>
  </si>
  <si>
    <t>Curtis Act (Indians in Indian Territory)</t>
  </si>
  <si>
    <t>6/28/1898</t>
  </si>
  <si>
    <t>Felsenheld v. United States</t>
  </si>
  <si>
    <t>186 U.S. 126</t>
  </si>
  <si>
    <t>Tariff Act of 1897 (Dingley Act)</t>
  </si>
  <si>
    <t>7/24/1897</t>
  </si>
  <si>
    <t>Hanover National Bank v. Moyses</t>
  </si>
  <si>
    <t>186 U.S. 181</t>
  </si>
  <si>
    <t>Bankruptcy Actof 1898</t>
  </si>
  <si>
    <t>McFaddin v. Evans-Snider-Buel Company</t>
  </si>
  <si>
    <t>185 U.S. 505</t>
  </si>
  <si>
    <t>Indian Territory Mortgages Act</t>
  </si>
  <si>
    <t>2/3/1897</t>
  </si>
  <si>
    <t>Patton v. Brady</t>
  </si>
  <si>
    <t>184 U.S. 608</t>
  </si>
  <si>
    <t>Bleistein v. Donaldson Lithographing Company</t>
  </si>
  <si>
    <t>188 U.S. 239</t>
  </si>
  <si>
    <t>Copyright Acts of 1874</t>
  </si>
  <si>
    <t>Champion v. Ames (Lottery Case)</t>
  </si>
  <si>
    <t>188 U.S. 321</t>
  </si>
  <si>
    <t>Suppression of Lotteries Act</t>
  </si>
  <si>
    <t>Japanese Immigrant Case</t>
  </si>
  <si>
    <t>189 U.S. 86</t>
  </si>
  <si>
    <t>Alien Labor Immigration Act</t>
  </si>
  <si>
    <t>Lone Wolf v. Hitchcock</t>
  </si>
  <si>
    <t>187 U.S. 553</t>
  </si>
  <si>
    <t>Comanche, Kiowa, and Apache Tribes Act (Fort Hall Indian Reservation Act)</t>
  </si>
  <si>
    <t>Patterson v. Bark Eudora</t>
  </si>
  <si>
    <t>190 U.S. 169</t>
  </si>
  <si>
    <t>Merchant Seamen Act</t>
  </si>
  <si>
    <t>12/21/1898</t>
  </si>
  <si>
    <t>Snyder v. Bettman</t>
  </si>
  <si>
    <t>190 U.S. 249</t>
  </si>
  <si>
    <t>Binns v. United States</t>
  </si>
  <si>
    <t>194 U.S. 486</t>
  </si>
  <si>
    <t>Carter Act (Alaska Civil Code)</t>
  </si>
  <si>
    <t>Buttfield v. Stranahan</t>
  </si>
  <si>
    <t>192 U.S. 470</t>
  </si>
  <si>
    <t>Tea Inspection/Importation Act</t>
  </si>
  <si>
    <t>3/2/1897</t>
  </si>
  <si>
    <t>Cornell v. Coyne</t>
  </si>
  <si>
    <t>192 U.S. 418</t>
  </si>
  <si>
    <t>Filled Cheese Act</t>
  </si>
  <si>
    <t>6/6/1896</t>
  </si>
  <si>
    <t>Interstate Commerce Commission v. Baird</t>
  </si>
  <si>
    <t>194 U.S. 25</t>
  </si>
  <si>
    <t>1</t>
  </si>
  <si>
    <t>McCray v. United States</t>
  </si>
  <si>
    <t>195 U.S. 27</t>
  </si>
  <si>
    <t>Northern Securities Company v. United States</t>
  </si>
  <si>
    <t>193 U.S. 197</t>
  </si>
  <si>
    <t>Public Clearing House v. Coyne</t>
  </si>
  <si>
    <t>194 U.S. 497</t>
  </si>
  <si>
    <t>Spreckels Sugar Refining Company v. McClain</t>
  </si>
  <si>
    <t>192 U.S. 397</t>
  </si>
  <si>
    <t>Thomas v. United States</t>
  </si>
  <si>
    <t>192 U.S. 363</t>
  </si>
  <si>
    <t>United States ex rel. John Turner v. Williams</t>
  </si>
  <si>
    <t>194 U.S. 279</t>
  </si>
  <si>
    <t>Alien Immigration Act of 1903</t>
  </si>
  <si>
    <t>United States v. Sing Tuck</t>
  </si>
  <si>
    <t>194 U.S. 161</t>
  </si>
  <si>
    <t>Clyatt v. United States</t>
  </si>
  <si>
    <t>197 U.S. 207</t>
  </si>
  <si>
    <t>Anti-Peonage Act</t>
  </si>
  <si>
    <t>South Carolina v. United States</t>
  </si>
  <si>
    <t>199 U.S. 437</t>
  </si>
  <si>
    <t>United States v. Ju Toy</t>
  </si>
  <si>
    <t>198 U.S. 253</t>
  </si>
  <si>
    <t>Carey Act (Bureau of Immigration)</t>
  </si>
  <si>
    <t>Burton v. United States</t>
  </si>
  <si>
    <t>202 U.S. 344</t>
  </si>
  <si>
    <t>Members of Congress Not to Receive Money Act</t>
  </si>
  <si>
    <t>Millard v. Roberts</t>
  </si>
  <si>
    <t>202 U.S. 429</t>
  </si>
  <si>
    <t>District of Columbia, Union Railroad Station</t>
  </si>
  <si>
    <t>Ellis v. United States</t>
  </si>
  <si>
    <t>206 U.S. 246</t>
  </si>
  <si>
    <t>Eight-Hour Law</t>
  </si>
  <si>
    <t>8/1/1892</t>
  </si>
  <si>
    <t>Union Bridge Company v. United States</t>
  </si>
  <si>
    <t>204 U.S. 364</t>
  </si>
  <si>
    <t>Rivers and Harbors Appropriations Act of 1899</t>
  </si>
  <si>
    <t>United States v. Heinszen &amp; Company</t>
  </si>
  <si>
    <t>206 U.S. 370</t>
  </si>
  <si>
    <t>Philippine Tariff Act of 1906</t>
  </si>
  <si>
    <t>59-381</t>
  </si>
  <si>
    <t>Wallace v. Adams</t>
  </si>
  <si>
    <t>204 U.S. 415</t>
  </si>
  <si>
    <t>Choctaw-Chickasaw Supplemental Agreement Act</t>
  </si>
  <si>
    <t>Wilson v. Shaw</t>
  </si>
  <si>
    <t>204 U.S. 24</t>
  </si>
  <si>
    <t>32 Stat. 481</t>
  </si>
  <si>
    <t>Armour Packing Co. v. United States</t>
  </si>
  <si>
    <t>209 U.S. 56</t>
  </si>
  <si>
    <t>Elkins Act</t>
  </si>
  <si>
    <t>Dick v. United States</t>
  </si>
  <si>
    <t>208 U.S. 340</t>
  </si>
  <si>
    <t>Indian Country Intoxicants Act</t>
  </si>
  <si>
    <t>7/23/1892</t>
  </si>
  <si>
    <t>In re Wood and Henderson</t>
  </si>
  <si>
    <t>210 U.S. 246</t>
  </si>
  <si>
    <t>Bankruptcy Act of 1898</t>
  </si>
  <si>
    <t>United States v. Bitty</t>
  </si>
  <si>
    <t>208 U.S. 393</t>
  </si>
  <si>
    <t>Criminal Appeals Act</t>
  </si>
  <si>
    <t>34 Stat. 1246</t>
  </si>
  <si>
    <t>59-224</t>
  </si>
  <si>
    <t>District of Columbia v. Brooke</t>
  </si>
  <si>
    <t>214 U.S. 138</t>
  </si>
  <si>
    <t>District of Columbia Drainage Act</t>
  </si>
  <si>
    <t>5/19/1896</t>
  </si>
  <si>
    <t>El Paso &amp; Northeastern Railway Company v. Gutierrez</t>
  </si>
  <si>
    <t>215 U.S. 87</t>
  </si>
  <si>
    <t>Employers' Liability Act of 1906</t>
  </si>
  <si>
    <t>59-219</t>
  </si>
  <si>
    <t>New York Central &amp; Hudson River Railroad Company v. United States</t>
  </si>
  <si>
    <t>212 U.S. 481</t>
  </si>
  <si>
    <t>Oceanic Steam Navigation Company v. Stranahan</t>
  </si>
  <si>
    <t>214 U.S. 320</t>
  </si>
  <si>
    <t>United States ex rel. Attorney General v. Delaware &amp; Hudson Company</t>
  </si>
  <si>
    <t>213 U.S. 366</t>
  </si>
  <si>
    <t>Hepburn Act (Interstate Commerce)</t>
  </si>
  <si>
    <t>34 Stat. 584</t>
  </si>
  <si>
    <t>59-337</t>
  </si>
  <si>
    <t>Alvarez y Sanchez v. United States</t>
  </si>
  <si>
    <t>216 U.S. 167</t>
  </si>
  <si>
    <t>Franklin v. United States</t>
  </si>
  <si>
    <t>216 U.S. 559</t>
  </si>
  <si>
    <t>Harbor Defenses and Fortifications</t>
  </si>
  <si>
    <t>7/7/1898</t>
  </si>
  <si>
    <t>Haas v. Henkel</t>
  </si>
  <si>
    <t>216 U.S. 462</t>
  </si>
  <si>
    <t>Holmgren v. United States</t>
  </si>
  <si>
    <t>217 U.S. 509</t>
  </si>
  <si>
    <t>Naturalization of Aliens Act</t>
  </si>
  <si>
    <t>34 Stat. 596</t>
  </si>
  <si>
    <t>59-338</t>
  </si>
  <si>
    <t>Monongahela Bridge Company v. United States</t>
  </si>
  <si>
    <t>216 U.S. 177</t>
  </si>
  <si>
    <t>Atlantic Coast Line Railroad Company v. Riverside Mills</t>
  </si>
  <si>
    <t>219 U.S. 186</t>
  </si>
  <si>
    <t>Hepburn Act (Interstate Commerce) - Carmack Amendment</t>
  </si>
  <si>
    <t>Baltimore &amp; Ohio Railroad Company v. Interstate Commerce Commission</t>
  </si>
  <si>
    <t>221 U.S. 612</t>
  </si>
  <si>
    <t>Hours of Service Act (Railroads)</t>
  </si>
  <si>
    <t>34 Stat. 1415</t>
  </si>
  <si>
    <t>59-274</t>
  </si>
  <si>
    <t>Briscoe v. Rudolph</t>
  </si>
  <si>
    <t>221 U.S. 547</t>
  </si>
  <si>
    <t>District of Columbia Act</t>
  </si>
  <si>
    <t>2/10/1899</t>
  </si>
  <si>
    <t>Flint v. Stone Tracy Company</t>
  </si>
  <si>
    <t>220 U.S. 107</t>
  </si>
  <si>
    <t>Corporation Tax Act (Tariff of 1909)</t>
  </si>
  <si>
    <t>36 Stat. 11</t>
  </si>
  <si>
    <t>61-5</t>
  </si>
  <si>
    <t>Hannibal Bridge Company v. United States</t>
  </si>
  <si>
    <t>221 U.S. 194</t>
  </si>
  <si>
    <t>In re Gregory</t>
  </si>
  <si>
    <t>219 U.S. 210</t>
  </si>
  <si>
    <t>Gift Entreprises in DC</t>
  </si>
  <si>
    <t>2/17/1873</t>
  </si>
  <si>
    <t>Kalem Company v. Harper Brothers</t>
  </si>
  <si>
    <t>222 U.S. 55</t>
  </si>
  <si>
    <t>Copyright Acts of 1891</t>
  </si>
  <si>
    <t>Light v. United States</t>
  </si>
  <si>
    <t>220 U.S. 523</t>
  </si>
  <si>
    <t>Forest Reserve Acts, Lieu Lands Act (Forest Reservations)</t>
  </si>
  <si>
    <t>6/4/1897</t>
  </si>
  <si>
    <t>Louisiana &amp; Nashville Railroad Company v. Mottley</t>
  </si>
  <si>
    <t>219 U.S. 467</t>
  </si>
  <si>
    <t>Marchie Tiger v. Western Investment Company</t>
  </si>
  <si>
    <t>221 U.S. 286</t>
  </si>
  <si>
    <t>Five Civilized Tribes Act (Curtis Act)</t>
  </si>
  <si>
    <t>34 Stat. 137</t>
  </si>
  <si>
    <t>59-129</t>
  </si>
  <si>
    <t>Southern Railway Company v. United States</t>
  </si>
  <si>
    <t>222 U.S. 20</t>
  </si>
  <si>
    <t>Safety Appliance Acts (Railroads)</t>
  </si>
  <si>
    <t>Standard Oil Company of New Jersey v. United States</t>
  </si>
  <si>
    <t>221 U.S. 1</t>
  </si>
  <si>
    <t>United States v. Grimaud</t>
  </si>
  <si>
    <t>220 U.S. 506</t>
  </si>
  <si>
    <t>Gritts v. Fisher</t>
  </si>
  <si>
    <t>224 U.S. 640</t>
  </si>
  <si>
    <t>Cherokee Agreement Act</t>
  </si>
  <si>
    <t>Interstate Commerce Commission v. Goodrich Transit Company</t>
  </si>
  <si>
    <t>224 U.S. 194</t>
  </si>
  <si>
    <t>Johannessen v. United States</t>
  </si>
  <si>
    <t>225 U.S. 227</t>
  </si>
  <si>
    <t>Mondou v. New York, New Haven &amp; Hartford Railroad Company (Second Employers' Liability Cases)</t>
  </si>
  <si>
    <t>223 U.S. 1</t>
  </si>
  <si>
    <t>Employers' Liability Act of 1908 (Railroads)</t>
  </si>
  <si>
    <t>35 stat 65</t>
  </si>
  <si>
    <t>60-100</t>
  </si>
  <si>
    <t>Philadelphia Company v. Stimson</t>
  </si>
  <si>
    <t>223 U.S. 605</t>
  </si>
  <si>
    <t>The Abby Dodge v. United States</t>
  </si>
  <si>
    <t>223 U.S. 166</t>
  </si>
  <si>
    <t>Sponges Act</t>
  </si>
  <si>
    <t>38 Stat. 692</t>
  </si>
  <si>
    <t>63-172</t>
  </si>
  <si>
    <t>Zakonaite v. Wolf</t>
  </si>
  <si>
    <t>226 U.S. 272</t>
  </si>
  <si>
    <t>Immigration Act of 1907</t>
  </si>
  <si>
    <t>34 Stat. 898</t>
  </si>
  <si>
    <t>59-96</t>
  </si>
  <si>
    <t>Bugajewitz v. Adams</t>
  </si>
  <si>
    <t>228 U.S. 585</t>
  </si>
  <si>
    <t>Delaware, Lackawana &amp; Western Railroad Co. v. United States</t>
  </si>
  <si>
    <t>231 U.S. 363</t>
  </si>
  <si>
    <t>34 Stat. 585</t>
  </si>
  <si>
    <t>Hoke and Economides v. United States</t>
  </si>
  <si>
    <t>227 U.S. 308</t>
  </si>
  <si>
    <t>White Slave Traffic Act</t>
  </si>
  <si>
    <t>36 Stat. 825</t>
  </si>
  <si>
    <t>61-277</t>
  </si>
  <si>
    <t>Lewis Publishing Company v. Morgan</t>
  </si>
  <si>
    <t>229 U.S. 288</t>
  </si>
  <si>
    <t>Post Office Appropriations Act (Parcel Post Acts)</t>
  </si>
  <si>
    <t>Luria v. United States</t>
  </si>
  <si>
    <t>231 U.S. 9</t>
  </si>
  <si>
    <t>Pedersen v. Delaware, L.&amp;W.R. Co.</t>
  </si>
  <si>
    <t>229 U.S. 146</t>
  </si>
  <si>
    <t>Swigart v. Baker</t>
  </si>
  <si>
    <t>229 U.S. 187</t>
  </si>
  <si>
    <t>Reclamation Act of 1902</t>
  </si>
  <si>
    <t>United States v. Chandler-Dunbar Water Power Company</t>
  </si>
  <si>
    <t>229 U.S. 53</t>
  </si>
  <si>
    <t>35 Stat. 815</t>
  </si>
  <si>
    <t>60-317</t>
  </si>
  <si>
    <t>United States v. Sandoval</t>
  </si>
  <si>
    <t>231 U.S. 28</t>
  </si>
  <si>
    <t>Intoxicating Drinks to Indians Act; Statehood Acts (AZ and NM)</t>
  </si>
  <si>
    <t>Billings v. United States</t>
  </si>
  <si>
    <t>232 U.S. 261</t>
  </si>
  <si>
    <t>Yacht Tax Acts (Tariff Act of 1909)</t>
  </si>
  <si>
    <t>Interstate Commerce Commission v. Atchison, Topeka &amp; Santa Fe Railroad Company (Intermountain Rate Cases)</t>
  </si>
  <si>
    <t>234 U.S. 476</t>
  </si>
  <si>
    <t>Commerce Court Act (Mann-Elkins Act)</t>
  </si>
  <si>
    <t>36 Stat. 539</t>
  </si>
  <si>
    <t>61-218</t>
  </si>
  <si>
    <t>Rainey v. United States</t>
  </si>
  <si>
    <t>232 U.S. 310</t>
  </si>
  <si>
    <t>United States v. Bennett</t>
  </si>
  <si>
    <t>232 U.S. 299</t>
  </si>
  <si>
    <t>United States v. Ohio Oil Company</t>
  </si>
  <si>
    <t>234 U.S. 548</t>
  </si>
  <si>
    <t>Brolan v. United States</t>
  </si>
  <si>
    <t>236 U.S. 216</t>
  </si>
  <si>
    <t>Narcotic Drugs Import and Export Act</t>
  </si>
  <si>
    <t>35 Stat. 614</t>
  </si>
  <si>
    <t>60-222</t>
  </si>
  <si>
    <t>Mackenzie v. Hare</t>
  </si>
  <si>
    <t>239 U.S. 299</t>
  </si>
  <si>
    <t>Citizenship Acts</t>
  </si>
  <si>
    <t>34 Stat. 1228</t>
  </si>
  <si>
    <t>59-193</t>
  </si>
  <si>
    <t>Meeker v. Lehigh Valley Railroad Company</t>
  </si>
  <si>
    <t>236 U.S. 412</t>
  </si>
  <si>
    <t>United States v. Holte</t>
  </si>
  <si>
    <t>236 U.S. 140</t>
  </si>
  <si>
    <t>Weber v. Freed</t>
  </si>
  <si>
    <t>239 U.S. 325</t>
  </si>
  <si>
    <t>Prize-Fight Films Act</t>
  </si>
  <si>
    <t>37 stat 240</t>
  </si>
  <si>
    <t>62-246</t>
  </si>
  <si>
    <t>Williams v. Johnson</t>
  </si>
  <si>
    <t>239 U.S. 414</t>
  </si>
  <si>
    <t>Lieu Lands Act (Indian Reservations)</t>
  </si>
  <si>
    <t>33 Stat. 211</t>
  </si>
  <si>
    <t>58-125</t>
  </si>
  <si>
    <t>Badders v. United States</t>
  </si>
  <si>
    <t>240 U.S. 391</t>
  </si>
  <si>
    <t>Judicial Code</t>
  </si>
  <si>
    <t>36 Stat. 1087</t>
  </si>
  <si>
    <t>61-475</t>
  </si>
  <si>
    <t>Brushaber v. Union Pacific Railroad Company</t>
  </si>
  <si>
    <t>240 U.S. 1</t>
  </si>
  <si>
    <t>Underwood Tariff Act of 1913</t>
  </si>
  <si>
    <t>38 Stat. 114</t>
  </si>
  <si>
    <t>65-91</t>
  </si>
  <si>
    <t>Seven Cases of Eckman's Alterative v. United States</t>
  </si>
  <si>
    <t>239 U.S. 510</t>
  </si>
  <si>
    <t>Federal Food and Drugs Act of 1906 (Wiley Act)</t>
  </si>
  <si>
    <t>34 stat 768</t>
  </si>
  <si>
    <t>59-384</t>
  </si>
  <si>
    <t>Stanton v. Baltic Mining Company</t>
  </si>
  <si>
    <t>240 U.S. 103</t>
  </si>
  <si>
    <t>Texas &amp; Pacific Railway Company v. Rigsby</t>
  </si>
  <si>
    <t>241 U.S. 33</t>
  </si>
  <si>
    <t>United States v. Nice</t>
  </si>
  <si>
    <t>241 U.S. 591</t>
  </si>
  <si>
    <t>Intoxicating Drinks to Indians Act</t>
  </si>
  <si>
    <t>Willink v. United States</t>
  </si>
  <si>
    <t>240 U.S. 572</t>
  </si>
  <si>
    <t>Rivers and Harbors Appropriations Act of 1888</t>
  </si>
  <si>
    <t>8/11/1888</t>
  </si>
  <si>
    <t>First National Bank of Bay City v. Fellows</t>
  </si>
  <si>
    <t>244 U.S. 416</t>
  </si>
  <si>
    <t>Federal Reserve Act</t>
  </si>
  <si>
    <t>38 Stat. 251</t>
  </si>
  <si>
    <t>63-43</t>
  </si>
  <si>
    <t>Louisville Bridge Co. v. United States</t>
  </si>
  <si>
    <t>242 U.S. 409</t>
  </si>
  <si>
    <t>Bridge Across the Ohio at Steubenville, Bridge Made a Post Road</t>
  </si>
  <si>
    <t>2/17/1865</t>
  </si>
  <si>
    <t>Santa Fe Pacific Railroad Company v. Lane</t>
  </si>
  <si>
    <t>244 U.S. 492</t>
  </si>
  <si>
    <t>Railway Land Grant Act</t>
  </si>
  <si>
    <t>7/27/1866</t>
  </si>
  <si>
    <t>Wilson v. New</t>
  </si>
  <si>
    <t>243 U.S. 332</t>
  </si>
  <si>
    <t>Eight-Hour Workday Law (Adamson Act)</t>
  </si>
  <si>
    <t>54-252</t>
  </si>
  <si>
    <t>Arver v. United States (Selective Draft Law Cases)</t>
  </si>
  <si>
    <t>245 U.S. 366</t>
  </si>
  <si>
    <t xml:space="preserve">Army Emergency Increase Act (Selective Draft Act) </t>
  </si>
  <si>
    <t>65-50</t>
  </si>
  <si>
    <t>Brader v. James</t>
  </si>
  <si>
    <t>246 U.S. 88</t>
  </si>
  <si>
    <t>Cox v. Wood</t>
  </si>
  <si>
    <t>247 U.S. 3</t>
  </si>
  <si>
    <t>40 Stat. 76</t>
  </si>
  <si>
    <t>65-12</t>
  </si>
  <si>
    <t>Ruddy v. Rossi</t>
  </si>
  <si>
    <t>248 U.S. 104</t>
  </si>
  <si>
    <t>Homestead Act</t>
  </si>
  <si>
    <t>5/20/1862</t>
  </si>
  <si>
    <t>Ruthenberg v. United States</t>
  </si>
  <si>
    <t>245 U.S. 480</t>
  </si>
  <si>
    <t>Virginia v. West Virginia</t>
  </si>
  <si>
    <t>246 U.S. 565</t>
  </si>
  <si>
    <t>William E. Peck &amp; Company v. Lowe</t>
  </si>
  <si>
    <t>247 U.S. 165</t>
  </si>
  <si>
    <t>Capital Trust Company v. Calhoun</t>
  </si>
  <si>
    <t>250 U.S. 208</t>
  </si>
  <si>
    <t>Omnibus Claims Act</t>
  </si>
  <si>
    <t>38 Stat. 996</t>
  </si>
  <si>
    <t>63-289</t>
  </si>
  <si>
    <t>Dakota Central Telephone Company v. South Dakota, ex rel. Payne</t>
  </si>
  <si>
    <t>250 U.S. 163</t>
  </si>
  <si>
    <t>Federal Control of Telegraphs and Telephone Act</t>
  </si>
  <si>
    <t>40 stat 904</t>
  </si>
  <si>
    <t>Pub-res 38</t>
  </si>
  <si>
    <t>Frohwerk v. United States</t>
  </si>
  <si>
    <t>249 U.S. 204</t>
  </si>
  <si>
    <t>Espionage Act</t>
  </si>
  <si>
    <t>40 stat 451</t>
  </si>
  <si>
    <t>65-107</t>
  </si>
  <si>
    <t>Hamilton v. Kentucky Distilleries &amp; Warehouse Company</t>
  </si>
  <si>
    <t>251 U.S. 146</t>
  </si>
  <si>
    <t>War-time Prohibition Act</t>
  </si>
  <si>
    <t>40 Stat. 1045</t>
  </si>
  <si>
    <t>65-243</t>
  </si>
  <si>
    <t>McKinley v. United States</t>
  </si>
  <si>
    <t>249 U.S. 397</t>
  </si>
  <si>
    <t>Army Emergency Increase Act</t>
  </si>
  <si>
    <t>Missouri Pacific Railway Company v. Kansas</t>
  </si>
  <si>
    <t>248 U.S. 276</t>
  </si>
  <si>
    <t>Webb-Kenyon Act (Intoxicating Liquors)</t>
  </si>
  <si>
    <t>37 Stat. 699</t>
  </si>
  <si>
    <t>62-398</t>
  </si>
  <si>
    <t>Schenck v. United States</t>
  </si>
  <si>
    <t>249 U.S. 47</t>
  </si>
  <si>
    <t>Stilson v. United States</t>
  </si>
  <si>
    <t>250 U.S. 583</t>
  </si>
  <si>
    <t>United States v. Doremus</t>
  </si>
  <si>
    <t>249 U.S. 86</t>
  </si>
  <si>
    <t>Harrison Narcotic Drug Act</t>
  </si>
  <si>
    <t>38 Stat. 785</t>
  </si>
  <si>
    <t>63-223</t>
  </si>
  <si>
    <t>United States v. Ferger</t>
  </si>
  <si>
    <t>250 U.S. 199</t>
  </si>
  <si>
    <t>Bill of Lading Act</t>
  </si>
  <si>
    <t>39 Stat. 538</t>
  </si>
  <si>
    <t>64-239</t>
  </si>
  <si>
    <t>United States v. Hill</t>
  </si>
  <si>
    <t>248 U.S. 420</t>
  </si>
  <si>
    <t>Reed Amendment (Post-Office Appropriation Act)</t>
  </si>
  <si>
    <t>39 Stat. 1069</t>
  </si>
  <si>
    <t>64-380</t>
  </si>
  <si>
    <t>Calhoun v. Massie</t>
  </si>
  <si>
    <t>253 U.S. 170</t>
  </si>
  <si>
    <t>Omnibus Claims Act (Crawford Amendment)</t>
  </si>
  <si>
    <t>Missouri v. Holland</t>
  </si>
  <si>
    <t>252 U.S. 416</t>
  </si>
  <si>
    <t>Migratory Bird Treaty Act</t>
  </si>
  <si>
    <t>40 Stat. 755</t>
  </si>
  <si>
    <t>65-186</t>
  </si>
  <si>
    <t>National Prohibition Cases</t>
  </si>
  <si>
    <t>253 U.S. 350</t>
  </si>
  <si>
    <t>Eighteenth Amendment (Prohibition), National Prohibition Acts (Volstead Act)</t>
  </si>
  <si>
    <t>41 Stat. 305</t>
  </si>
  <si>
    <t>66-66</t>
  </si>
  <si>
    <t>Ruppert v. Caffey</t>
  </si>
  <si>
    <t>251 U.S. 264</t>
  </si>
  <si>
    <t>National Prohibition Acts (Volstead Act)</t>
  </si>
  <si>
    <t>Baender v. Barnett</t>
  </si>
  <si>
    <t>255 U.S. 224</t>
  </si>
  <si>
    <t>Criminal Code (Conspiracy Act)</t>
  </si>
  <si>
    <t>35 Stat. 1096</t>
  </si>
  <si>
    <t>60-350</t>
  </si>
  <si>
    <t>Block v. Hirsh</t>
  </si>
  <si>
    <t>256 U.S. 135</t>
  </si>
  <si>
    <t>District of Columbia Rents and Food Act (Ball Act)</t>
  </si>
  <si>
    <t>41 stat 297</t>
  </si>
  <si>
    <t>66-63</t>
  </si>
  <si>
    <t>Central Union Trust Co. v. Garvan</t>
  </si>
  <si>
    <t>254 U.S. 554</t>
  </si>
  <si>
    <t>40 Stat. 425</t>
  </si>
  <si>
    <t>Dillon v. Gloss</t>
  </si>
  <si>
    <t>256 U.S. 368</t>
  </si>
  <si>
    <t>Eighteenth Amendment (Prohibition)</t>
  </si>
  <si>
    <t>District of Columbia v. R.P. Andrews Paper Co.</t>
  </si>
  <si>
    <t>256 U.S. 582</t>
  </si>
  <si>
    <t>District of Columbia Appropriations Act</t>
  </si>
  <si>
    <t>Hollis v. Kutz</t>
  </si>
  <si>
    <t>255 U.S. 452</t>
  </si>
  <si>
    <t>District of Columbia Public Utility Act</t>
  </si>
  <si>
    <t>37 Stat 974</t>
  </si>
  <si>
    <t>62-435</t>
  </si>
  <si>
    <t>J.W. Goldsmith, Jr.-Grant Co. v. United States</t>
  </si>
  <si>
    <t>254 U.S. 505</t>
  </si>
  <si>
    <t>Kahn v. Anderson</t>
  </si>
  <si>
    <t>255 U.S. 1</t>
  </si>
  <si>
    <t>La Belle Iron Works v. United States</t>
  </si>
  <si>
    <t>256 U.S. 377</t>
  </si>
  <si>
    <t>War Revenue Act of 1916</t>
  </si>
  <si>
    <t>Merchants' Loan &amp; Trust Co. v. Smietanka</t>
  </si>
  <si>
    <t>255 U.S. 509</t>
  </si>
  <si>
    <t>New York Trust Co. v. Eisner</t>
  </si>
  <si>
    <t>256 U.S. 345</t>
  </si>
  <si>
    <t>Revenue Act of 1916 (Estate Tax Acts)</t>
  </si>
  <si>
    <t>39 Stat. 756</t>
  </si>
  <si>
    <t>64-271</t>
  </si>
  <si>
    <t>Rafferty v. Smith, Bell &amp; Co.</t>
  </si>
  <si>
    <t>257 U.S. 226</t>
  </si>
  <si>
    <t>Third Deficiency Appropriation Act</t>
  </si>
  <si>
    <t>Smith v. Kansas City Title &amp; Trust Co.</t>
  </si>
  <si>
    <t>255 U.S. 180</t>
  </si>
  <si>
    <t>Federal Farm Loan Act; Farm Loan Bonds Act</t>
  </si>
  <si>
    <t>64-158</t>
  </si>
  <si>
    <t>Stoehr v. Wallace</t>
  </si>
  <si>
    <t>255 U.S. 239</t>
  </si>
  <si>
    <t>Trading With the Enemy Act</t>
  </si>
  <si>
    <t>40 Stat. 411</t>
  </si>
  <si>
    <t>Winton v. Amos</t>
  </si>
  <si>
    <t>255 U.S. 373</t>
  </si>
  <si>
    <t>34 Stat. 140</t>
  </si>
  <si>
    <t>Alaska v. Troy</t>
  </si>
  <si>
    <t>258 U.S. 101</t>
  </si>
  <si>
    <t>Merchant Marine Act</t>
  </si>
  <si>
    <t>41 Stat. 988</t>
  </si>
  <si>
    <t>66-261</t>
  </si>
  <si>
    <t>Greiner v. Lewellyn</t>
  </si>
  <si>
    <t>258 U.S. 384</t>
  </si>
  <si>
    <t>Heald v. District of Columbia</t>
  </si>
  <si>
    <t>259 U.S. 114</t>
  </si>
  <si>
    <t>Appropriations, District of Columbia</t>
  </si>
  <si>
    <t>Leach v. Carlile</t>
  </si>
  <si>
    <t>258 U.S. 138</t>
  </si>
  <si>
    <t>6/8/1872</t>
  </si>
  <si>
    <t>Leser v. Garnett</t>
  </si>
  <si>
    <t>258 U.S. 130</t>
  </si>
  <si>
    <t>Nineteenth Amendment (Women's Suffrage)</t>
  </si>
  <si>
    <t>New York v. United States</t>
  </si>
  <si>
    <t>257 U.S. 591</t>
  </si>
  <si>
    <t>Transportation Act of 1920 (Esch-Cummings Act)</t>
  </si>
  <si>
    <t>41 Stat. 456</t>
  </si>
  <si>
    <t>66-152</t>
  </si>
  <si>
    <t>Stafford v. Wallace</t>
  </si>
  <si>
    <t>258 U.S. 495</t>
  </si>
  <si>
    <t>Packers and Stockyards Act</t>
  </si>
  <si>
    <t>42 Stat. 159</t>
  </si>
  <si>
    <t>67-51</t>
  </si>
  <si>
    <t>United Shoe Machinery Corp. v. United States</t>
  </si>
  <si>
    <t>258 U.S. 451</t>
  </si>
  <si>
    <t>Clayton Anti-Trust Act</t>
  </si>
  <si>
    <t>38 Stat. 730</t>
  </si>
  <si>
    <t>63-212</t>
  </si>
  <si>
    <t>United States v. Balint</t>
  </si>
  <si>
    <t>258 U.S. 250</t>
  </si>
  <si>
    <t>Board of Trade v. Olsen</t>
  </si>
  <si>
    <t>262 U.S. 1</t>
  </si>
  <si>
    <t>Grain Futures Act (Capper-Tincher Act)</t>
  </si>
  <si>
    <t>Brown v. United States</t>
  </si>
  <si>
    <t>263 U.S. 78</t>
  </si>
  <si>
    <t>Sundry Civil Act</t>
  </si>
  <si>
    <t>New England Div. Case</t>
  </si>
  <si>
    <t>261 U.S. 184</t>
  </si>
  <si>
    <t>Omnia Commercial Co. v. United States</t>
  </si>
  <si>
    <t>261 U.S. 502</t>
  </si>
  <si>
    <t>40 Stat. 182</t>
  </si>
  <si>
    <t>65-23</t>
  </si>
  <si>
    <t>Pennsylvania R. Co. v. United States R. Labor Board</t>
  </si>
  <si>
    <t>261 U.S. 72</t>
  </si>
  <si>
    <t>Walker v. Gish</t>
  </si>
  <si>
    <t>260 U.S. 447</t>
  </si>
  <si>
    <t>District of Columbia (Building Regulations)</t>
  </si>
  <si>
    <t>6/14/1878</t>
  </si>
  <si>
    <t>Barclay &amp; Co. v. Edwards</t>
  </si>
  <si>
    <t>267 U.S. 442</t>
  </si>
  <si>
    <t>Revenue Act of 1918</t>
  </si>
  <si>
    <t>40 Stat. 1057</t>
  </si>
  <si>
    <t>65-254</t>
  </si>
  <si>
    <t>Cook v. Tait</t>
  </si>
  <si>
    <t>265 U.S. 47</t>
  </si>
  <si>
    <t>Revenue Act of 1921</t>
  </si>
  <si>
    <t>42 Stat. 227</t>
  </si>
  <si>
    <t>67-98</t>
  </si>
  <si>
    <t>Dayton-Goose C.R. Co. v. United States</t>
  </si>
  <si>
    <t>263 U.S. 456</t>
  </si>
  <si>
    <t>James Everard's Breweries v. Day</t>
  </si>
  <si>
    <t>265 U.S. 545</t>
  </si>
  <si>
    <t>National Prohibition Act Supplemental (Willis-Campbell Act)</t>
  </si>
  <si>
    <t>Mahler v. Eby</t>
  </si>
  <si>
    <t>264 U.S. 32</t>
  </si>
  <si>
    <t>Deportation Act</t>
  </si>
  <si>
    <t>41 Stat. 593</t>
  </si>
  <si>
    <t>66-197</t>
  </si>
  <si>
    <t>Michaelson v. United States</t>
  </si>
  <si>
    <t>266 U.S. 42</t>
  </si>
  <si>
    <t>National Paper &amp; Type Co. v. Bowers</t>
  </si>
  <si>
    <t>266 U.S. 373</t>
  </si>
  <si>
    <t>Panama R. Co. v. Johnson</t>
  </si>
  <si>
    <t>264 U.S. 375</t>
  </si>
  <si>
    <t>Seamen's Act (LaFollette Act), Merchant Marine Act of 1920</t>
  </si>
  <si>
    <t>38 Stat. 1164</t>
  </si>
  <si>
    <t>63-302</t>
  </si>
  <si>
    <t>Brooks v. United States</t>
  </si>
  <si>
    <t>267 U.S. 432</t>
  </si>
  <si>
    <t>National Motor Vehicle Theft Act (Dyer Act)</t>
  </si>
  <si>
    <t>41 Stat. 324</t>
  </si>
  <si>
    <t>66-70</t>
  </si>
  <si>
    <t>Burk-Waggoner Oil Assn. v. Hopkins</t>
  </si>
  <si>
    <t>269 U.S. 110</t>
  </si>
  <si>
    <t>Carroll v. United States</t>
  </si>
  <si>
    <t>267 U.S. 132</t>
  </si>
  <si>
    <t>Druggan v. Anderson</t>
  </si>
  <si>
    <t>269 U.S. 36</t>
  </si>
  <si>
    <t>Old Dominion Land Co. v. United States</t>
  </si>
  <si>
    <t>269 U.S. 55</t>
  </si>
  <si>
    <t>Army, Real Estate Purchases</t>
  </si>
  <si>
    <t>Selzman v. United States</t>
  </si>
  <si>
    <t>268 U.S. 466</t>
  </si>
  <si>
    <t>United States v. New York &amp; Cuba Mail S.S. Co.</t>
  </si>
  <si>
    <t>269 U.S. 304</t>
  </si>
  <si>
    <t>Alien Seamen, Hospital Treatment</t>
  </si>
  <si>
    <t>66-289</t>
  </si>
  <si>
    <t>Yee Hem v. United States</t>
  </si>
  <si>
    <t>268 U.S. 178</t>
  </si>
  <si>
    <t>Colorado v. United States</t>
  </si>
  <si>
    <t>271 U.S. 153</t>
  </si>
  <si>
    <t>Lambert v. Yellowley</t>
  </si>
  <si>
    <t>272 U.S. 581</t>
  </si>
  <si>
    <t>Metcalf &amp; Eddy v. Mitchell</t>
  </si>
  <si>
    <t>269 U.S. 514</t>
  </si>
  <si>
    <t>War Revenue Act of 1917</t>
  </si>
  <si>
    <t>Missouri P.R. Co. v. Boone</t>
  </si>
  <si>
    <t>270 U.S. 466</t>
  </si>
  <si>
    <t>Thornton v. United States</t>
  </si>
  <si>
    <t>271 U.S. 414</t>
  </si>
  <si>
    <t>Animal Industry Act</t>
  </si>
  <si>
    <t>5/29/1884</t>
  </si>
  <si>
    <t>Tutun v. United States</t>
  </si>
  <si>
    <t>270 U.S. 568</t>
  </si>
  <si>
    <t>United States v. Chemical Foundation, Inc.</t>
  </si>
  <si>
    <t>272 U.S. 1</t>
  </si>
  <si>
    <t>White v. United States</t>
  </si>
  <si>
    <t>270 U.S. 175</t>
  </si>
  <si>
    <t>War Risk Insurance Act Amendments (Sweet Act)</t>
  </si>
  <si>
    <t>41 Stat. 371</t>
  </si>
  <si>
    <t>66-104</t>
  </si>
  <si>
    <t>Albrecht v. United States</t>
  </si>
  <si>
    <t>273 U.S. 1</t>
  </si>
  <si>
    <t>Alston v. United States</t>
  </si>
  <si>
    <t>274 U.S. 289</t>
  </si>
  <si>
    <t>Florida v. Mellon</t>
  </si>
  <si>
    <t>273 U.S. 12</t>
  </si>
  <si>
    <t>Revenue Act of 1926</t>
  </si>
  <si>
    <t xml:space="preserve">44 Stat. 9 </t>
  </si>
  <si>
    <t>69-20</t>
  </si>
  <si>
    <t>Liggett &amp; Myers Tobacco Co. v. United States</t>
  </si>
  <si>
    <t>274 U.S. 215</t>
  </si>
  <si>
    <t>Naval Service Appropriations Act, Urgent Deficiencies Appropriations Act</t>
  </si>
  <si>
    <t>40 stat 182</t>
  </si>
  <si>
    <t>Phelps v. United States</t>
  </si>
  <si>
    <t>274 U.S. 341</t>
  </si>
  <si>
    <t>Federal Possession and Control Act (Railroads in War)</t>
  </si>
  <si>
    <t>39 Stat. 645</t>
  </si>
  <si>
    <t>64-242</t>
  </si>
  <si>
    <t>United States v. Alford</t>
  </si>
  <si>
    <t>274 U.S. 264</t>
  </si>
  <si>
    <t>Indians, Miscellaneous Provisions</t>
  </si>
  <si>
    <t>36 stat 861</t>
  </si>
  <si>
    <t>61-313</t>
  </si>
  <si>
    <t>United States v. Sullivan</t>
  </si>
  <si>
    <t>274 U.S. 259</t>
  </si>
  <si>
    <t>Westfall v. United States</t>
  </si>
  <si>
    <t>274 U.S. 256</t>
  </si>
  <si>
    <t>Federal Reserve Act, Federal Reserve Act Amendments</t>
  </si>
  <si>
    <t>40 stat 234</t>
  </si>
  <si>
    <t>65-25</t>
  </si>
  <si>
    <t xml:space="preserve"> 6/21/1917</t>
  </si>
  <si>
    <t>Casey v. United States</t>
  </si>
  <si>
    <t>276 U.S. 413</t>
  </si>
  <si>
    <t>Anti-Narcotic Act (Harrison Act), Revenue Act of 1918</t>
  </si>
  <si>
    <t>J.W. Hampton Jr. &amp; Co. v. United States</t>
  </si>
  <si>
    <t>276 U.S. 394</t>
  </si>
  <si>
    <t>Tariff Act of 1922 (Fordney-McCumber Act)</t>
  </si>
  <si>
    <t>Nigro v. United States</t>
  </si>
  <si>
    <t>276 U.S. 332</t>
  </si>
  <si>
    <t>Arlington Hotel Co. v. Fant</t>
  </si>
  <si>
    <t>278 U.S. 439</t>
  </si>
  <si>
    <t>Hot Springs Reservation, Arkansas, Jurisdiction Accepted</t>
  </si>
  <si>
    <t>33 stat 187</t>
  </si>
  <si>
    <t>58-124</t>
  </si>
  <si>
    <t>Bromley v. McCaughn</t>
  </si>
  <si>
    <t>280 U.S. 124</t>
  </si>
  <si>
    <t>Revenue Act of 1924, Revenue Act of 1926</t>
  </si>
  <si>
    <t>43 Stat. 253</t>
  </si>
  <si>
    <t>68-176</t>
  </si>
  <si>
    <t>Chase National Bank v. United States</t>
  </si>
  <si>
    <t>278 U.S. 327</t>
  </si>
  <si>
    <t>County of Spokane v. United States</t>
  </si>
  <si>
    <t>279 U.S. 80</t>
  </si>
  <si>
    <t>1. Stat. 627</t>
  </si>
  <si>
    <t>5-18</t>
  </si>
  <si>
    <t>3/2/1799</t>
  </si>
  <si>
    <t>Ex Parte Worcester County National Bank</t>
  </si>
  <si>
    <t>279 U.S. 347</t>
  </si>
  <si>
    <t>McFadden Act (Branch Banks)</t>
  </si>
  <si>
    <t>44 Stat. 1224</t>
  </si>
  <si>
    <t>69-369</t>
  </si>
  <si>
    <t>Highland v. Russell Car &amp; Snow Plow Co.</t>
  </si>
  <si>
    <t>279 U.S. 253</t>
  </si>
  <si>
    <t>Lever Act (Food Control)</t>
  </si>
  <si>
    <t>40 stat 276</t>
  </si>
  <si>
    <t>65-41</t>
  </si>
  <si>
    <t>Old Colony Trust Co. v. Commissioner</t>
  </si>
  <si>
    <t>279 U.S. 716</t>
  </si>
  <si>
    <t>Sinclair v. United States</t>
  </si>
  <si>
    <t>279 U.S. 263</t>
  </si>
  <si>
    <t>Taft v. Bowers</t>
  </si>
  <si>
    <t>278 U.S. 470</t>
  </si>
  <si>
    <t>United States v. Schwimmer</t>
  </si>
  <si>
    <t>279 U.S. 644</t>
  </si>
  <si>
    <t>Wisconsin v. Illinois</t>
  </si>
  <si>
    <t>278 U.S. 367</t>
  </si>
  <si>
    <t>Clarke v. Haberle Crystal Springs Brewing Co.</t>
  </si>
  <si>
    <t>280 U.S. 384</t>
  </si>
  <si>
    <t>40 Stat. 1078</t>
  </si>
  <si>
    <t>Corliss v. Bowers</t>
  </si>
  <si>
    <t>281 U.S. 376</t>
  </si>
  <si>
    <t>43 Stat. 277</t>
  </si>
  <si>
    <t>Tagg Brothers &amp; Moorhead v. United States</t>
  </si>
  <si>
    <t>280 U.S. 420</t>
  </si>
  <si>
    <t>Texas &amp; New Orleans Railroad Company et al. v. Brotherhood of Railway &amp; Steamship Clerks et al.</t>
  </si>
  <si>
    <t>281 U.S. 548</t>
  </si>
  <si>
    <t>44 Stat. 577</t>
  </si>
  <si>
    <t>69-257</t>
  </si>
  <si>
    <t>Tyler v. United States</t>
  </si>
  <si>
    <t>281 U.S. 497</t>
  </si>
  <si>
    <t>39 Stat. 777</t>
  </si>
  <si>
    <t>United States v. Jackson</t>
  </si>
  <si>
    <t>280 U.S. 183</t>
  </si>
  <si>
    <t>34 Stat. 326</t>
  </si>
  <si>
    <t>59-258</t>
  </si>
  <si>
    <t>United States v. Wurzbach</t>
  </si>
  <si>
    <t>280 U.S. 396</t>
  </si>
  <si>
    <t>43 Stat. 1073</t>
  </si>
  <si>
    <t>68-506</t>
  </si>
  <si>
    <t>Graham &amp; Foster v. Goodcell</t>
  </si>
  <si>
    <t>282 U.S. 409</t>
  </si>
  <si>
    <t>45 Stat. 875</t>
  </si>
  <si>
    <t>70-562</t>
  </si>
  <si>
    <t>Group No. 1 Oil Corp. v. Bass</t>
  </si>
  <si>
    <t>283 U.S. 279</t>
  </si>
  <si>
    <t>Louisiana Public Service Commission v. Texas &amp; New Orleans Railroad Co.</t>
  </si>
  <si>
    <t>284 U.S. 125</t>
  </si>
  <si>
    <t>Interstate Commerce Act</t>
  </si>
  <si>
    <t>Milliken v. United States</t>
  </si>
  <si>
    <t>283 U.S. 15</t>
  </si>
  <si>
    <t>40 Stat. 1096</t>
  </si>
  <si>
    <t>Phillips v. Commissioner</t>
  </si>
  <si>
    <t>283 U.S. 589</t>
  </si>
  <si>
    <t>44 Stat. 61</t>
  </si>
  <si>
    <t>Phillips v. Dime Trust &amp; Safe Deposit Co.</t>
  </si>
  <si>
    <t>284 U.S. 160</t>
  </si>
  <si>
    <t>43 Stat. 304</t>
  </si>
  <si>
    <t>United States v. Macintosh</t>
  </si>
  <si>
    <t>283 U.S. 605</t>
  </si>
  <si>
    <t>United States v. Sprague</t>
  </si>
  <si>
    <t>282 U.S. 716</t>
  </si>
  <si>
    <t>National Prohibition Act</t>
  </si>
  <si>
    <t>Willcuts v. Bunn</t>
  </si>
  <si>
    <t>282 U.S. 216</t>
  </si>
  <si>
    <t>43 Stat. 268</t>
  </si>
  <si>
    <t>Atlantic Cleaners &amp; Dyers, Inc. v. United States</t>
  </si>
  <si>
    <t>286 U.S. 427</t>
  </si>
  <si>
    <t>26 Stat. 209</t>
  </si>
  <si>
    <t>Blackmer v. United States</t>
  </si>
  <si>
    <t>284 U.S. 421</t>
  </si>
  <si>
    <t>44 Stat. 835</t>
  </si>
  <si>
    <t>69-483</t>
  </si>
  <si>
    <t>Burnet v. Leininger</t>
  </si>
  <si>
    <t>285 U.S. 136</t>
  </si>
  <si>
    <t>40 Stat. 1070</t>
  </si>
  <si>
    <t>Crowell v. Benson</t>
  </si>
  <si>
    <t>285 U.S. 95</t>
  </si>
  <si>
    <t>44 Stat. 1424</t>
  </si>
  <si>
    <t>69-803</t>
  </si>
  <si>
    <t>Edwards v. United States</t>
  </si>
  <si>
    <t>286 U.S. 482</t>
  </si>
  <si>
    <t>46 Stat. 2163</t>
  </si>
  <si>
    <t>Gwinn v. Commissioner</t>
  </si>
  <si>
    <t>287 U.S. 224</t>
  </si>
  <si>
    <t>Lloyd Sabaudo Societa Anonima Per Azioni v. Elting</t>
  </si>
  <si>
    <t>287 U.S. 329</t>
  </si>
  <si>
    <t>39 Stat. 880</t>
  </si>
  <si>
    <t>64-301</t>
  </si>
  <si>
    <t>MacLaughlin v. Alliance Insurance Co.</t>
  </si>
  <si>
    <t>286 U.S. 244</t>
  </si>
  <si>
    <t>45 Stat. 844</t>
  </si>
  <si>
    <t>Marine Transit Corp. v. Dreyfus</t>
  </si>
  <si>
    <t>284 U.S. 263</t>
  </si>
  <si>
    <t>43 Stat. 883</t>
  </si>
  <si>
    <t>68-401</t>
  </si>
  <si>
    <t>New York Central Securities Corp. v. United States</t>
  </si>
  <si>
    <t>287 U.S. 12</t>
  </si>
  <si>
    <t>Norfolk &amp; Western Railway Co. v. United States</t>
  </si>
  <si>
    <t>287 U.S. 134</t>
  </si>
  <si>
    <t>Reichelderfer v. Quinn</t>
  </si>
  <si>
    <t>287 U.S. 315</t>
  </si>
  <si>
    <t>45 Stat. 667</t>
  </si>
  <si>
    <t>70-457</t>
  </si>
  <si>
    <t>United States v. Shreveport Grain &amp; Elevator Co.</t>
  </si>
  <si>
    <t>287 U.S. 77</t>
  </si>
  <si>
    <t>34 Stat. 768</t>
  </si>
  <si>
    <t>Board of Trustees of the University of Illinois v. United States</t>
  </si>
  <si>
    <t>289 U.S. 48</t>
  </si>
  <si>
    <t>42 Stat. 858</t>
  </si>
  <si>
    <t>67-318</t>
  </si>
  <si>
    <t>Burnet v. Brooks</t>
  </si>
  <si>
    <t>288 U.S. 378</t>
  </si>
  <si>
    <t>43 Stat. 303</t>
  </si>
  <si>
    <t>Burnet v. Wells</t>
  </si>
  <si>
    <t>289 U.S. 670</t>
  </si>
  <si>
    <t>Federal Radio Commission v. Nelson Brothers Bond &amp; Mortgage Co.</t>
  </si>
  <si>
    <t>289 U.S. 266</t>
  </si>
  <si>
    <t>45 Stat. 373</t>
  </si>
  <si>
    <t>70-195</t>
  </si>
  <si>
    <t>George More Ice Cream Co. v. Rose</t>
  </si>
  <si>
    <t>289 U.S. 373</t>
  </si>
  <si>
    <t>43 Stat. 343</t>
  </si>
  <si>
    <t>O'Donoghue v. United States</t>
  </si>
  <si>
    <t>289 U.S. 516</t>
  </si>
  <si>
    <t>47 Stat. 401</t>
  </si>
  <si>
    <t>72-212</t>
  </si>
  <si>
    <t>Porter v. Commissioner of Internal Revenue</t>
  </si>
  <si>
    <t>288 U.S. 436</t>
  </si>
  <si>
    <t>44 Stat. 71</t>
  </si>
  <si>
    <t>Reinecke v. Smith</t>
  </si>
  <si>
    <t>289 U.S. 172</t>
  </si>
  <si>
    <t>United States v. Flores</t>
  </si>
  <si>
    <t>289 U.S. 137</t>
  </si>
  <si>
    <t>35 Stat. 1143</t>
  </si>
  <si>
    <t>Williams v. United States</t>
  </si>
  <si>
    <t>289 U.S. 553</t>
  </si>
  <si>
    <t>47 Stat. 402</t>
  </si>
  <si>
    <t>Burroughs v. United States</t>
  </si>
  <si>
    <t>290 U.S. 534</t>
  </si>
  <si>
    <t>43 Stat. 1070</t>
  </si>
  <si>
    <t>Detroit Trust Co. v. The Thomas Barlum</t>
  </si>
  <si>
    <t>293 U.S. 21</t>
  </si>
  <si>
    <t>41 Stat. 1000</t>
  </si>
  <si>
    <t>Helvering v. Independent Life Insurance Co.</t>
  </si>
  <si>
    <t>292 U.S. 371</t>
  </si>
  <si>
    <t>42 Stat. 261</t>
  </si>
  <si>
    <t>Helvering v. Powers</t>
  </si>
  <si>
    <t>293 U.S. 214</t>
  </si>
  <si>
    <t>Revenue Acts, sect. 212</t>
  </si>
  <si>
    <t>United States v. Illinois</t>
  </si>
  <si>
    <t>291 U.S. 457</t>
  </si>
  <si>
    <t>43 Stat. 360</t>
  </si>
  <si>
    <t>68-185</t>
  </si>
  <si>
    <t>United States v. Jefferson Electrical Manufacturing Co.</t>
  </si>
  <si>
    <t>291 U.S. 386</t>
  </si>
  <si>
    <t>45 Stat. 866</t>
  </si>
  <si>
    <t>Woodson v. Deutsche Gold and Silber Scheideanstalt Vormals Roessler</t>
  </si>
  <si>
    <t>292 U.S. 449</t>
  </si>
  <si>
    <t>48 Stat. 510</t>
  </si>
  <si>
    <t>73-141</t>
  </si>
  <si>
    <t>Continental Illinois National Bank &amp; Trust Co. v. Chicago, Rock Island, and Pacific Railroad Co.</t>
  </si>
  <si>
    <t>294 U.S. 648</t>
  </si>
  <si>
    <t>47 Stat. 1474</t>
  </si>
  <si>
    <t>72-420</t>
  </si>
  <si>
    <t>Helvering v. City Bank Farmers Trust Co.</t>
  </si>
  <si>
    <t>296 U.S. 85</t>
  </si>
  <si>
    <t>44 Stat. 70</t>
  </si>
  <si>
    <t>Humphrey's Executor v. United States</t>
  </si>
  <si>
    <t>295 U.S. 602</t>
  </si>
  <si>
    <t>38 Stat. 717</t>
  </si>
  <si>
    <t>63-203</t>
  </si>
  <si>
    <t>Norman v. Baltimore &amp; Ohio Railroad Co.</t>
  </si>
  <si>
    <t>294 U.S. 240</t>
  </si>
  <si>
    <t>48 Stat. 112</t>
  </si>
  <si>
    <t>73-29</t>
  </si>
  <si>
    <t>Ashwander v. Tennessee Valley Authority</t>
  </si>
  <si>
    <t>297 U.S. 288</t>
  </si>
  <si>
    <t>49 Stat. 1075</t>
  </si>
  <si>
    <t>74-412</t>
  </si>
  <si>
    <t>United States v. California</t>
  </si>
  <si>
    <t>297 U.S. 175</t>
  </si>
  <si>
    <t>29 Stat. 85</t>
  </si>
  <si>
    <t>4/1/1896</t>
  </si>
  <si>
    <t>United States v. Curtiss-Wright Export Corp.</t>
  </si>
  <si>
    <t>299 U.S. 304</t>
  </si>
  <si>
    <t>48 Stat. 811</t>
  </si>
  <si>
    <t>73-263</t>
  </si>
  <si>
    <t>United States v. Safety Car Heating &amp; Lighting Co.</t>
  </si>
  <si>
    <t>297 U.S. 88</t>
  </si>
  <si>
    <t>44 Stat. 9</t>
  </si>
  <si>
    <t>United States v. Wood</t>
  </si>
  <si>
    <t>299 U.S. 123</t>
  </si>
  <si>
    <t>49 Stat. 682</t>
  </si>
  <si>
    <t>74-301</t>
  </si>
  <si>
    <t>Whitfield v. Ohio</t>
  </si>
  <si>
    <t>297 U.S. 431</t>
  </si>
  <si>
    <t>45 Stat. 1084</t>
  </si>
  <si>
    <t>70-670</t>
  </si>
  <si>
    <t>Anniston Manufacturing Corp. v. Davis</t>
  </si>
  <si>
    <t>301 U.S. 337</t>
  </si>
  <si>
    <t>49 Stat. 1747</t>
  </si>
  <si>
    <t>74-740</t>
  </si>
  <si>
    <t>Associated Press v. National Labor Relations Board</t>
  </si>
  <si>
    <t>301 U.S. 103</t>
  </si>
  <si>
    <t>49 Stat. 449</t>
  </si>
  <si>
    <t>74-198</t>
  </si>
  <si>
    <t>Cincinnati Soap Co. v. United States</t>
  </si>
  <si>
    <t>301 U.S. 308</t>
  </si>
  <si>
    <t>48 Stat. 763</t>
  </si>
  <si>
    <t>73-216</t>
  </si>
  <si>
    <t>Cummings v. Deutsche Bank and Disconto-Gesellschaft</t>
  </si>
  <si>
    <t>300 U.S. 115</t>
  </si>
  <si>
    <t>48 Stat. 1267</t>
  </si>
  <si>
    <t>73-53</t>
  </si>
  <si>
    <t>Helvering v. Davis</t>
  </si>
  <si>
    <t>301 U.S. 619</t>
  </si>
  <si>
    <t>49 Stat. 620</t>
  </si>
  <si>
    <t>74-271</t>
  </si>
  <si>
    <t>Hill v. United States ex rel. Weiner</t>
  </si>
  <si>
    <t>300 U.S. 105</t>
  </si>
  <si>
    <t>Holyoke Water Power Co. v. American Writing Paper Co.</t>
  </si>
  <si>
    <t>300 U.S. 324</t>
  </si>
  <si>
    <t>Kentucky Whig &amp; Collar Co. v. Illinois Central Railroad Co.</t>
  </si>
  <si>
    <t>299 U.S. 334</t>
  </si>
  <si>
    <t>49 Stat. 494</t>
  </si>
  <si>
    <t>74-215</t>
  </si>
  <si>
    <t>Keuhner v. Irving Trust Co.</t>
  </si>
  <si>
    <t>299 U.S. 445</t>
  </si>
  <si>
    <t>48 Stat. 912</t>
  </si>
  <si>
    <t>73-296</t>
  </si>
  <si>
    <t>McNair v. Knott</t>
  </si>
  <si>
    <t>302 U.S. 369</t>
  </si>
  <si>
    <t>46 Stat. 809</t>
  </si>
  <si>
    <t>71-433</t>
  </si>
  <si>
    <t>National Labor Relations Board v. Jones &amp; Laughlin Steel Corp.</t>
  </si>
  <si>
    <t>301 U.S. 1</t>
  </si>
  <si>
    <t>New York ex rel. Rogers v. Graves</t>
  </si>
  <si>
    <t>299 U.S. 401</t>
  </si>
  <si>
    <t>Sonzinsky v. United States</t>
  </si>
  <si>
    <t>300 U.S. 506</t>
  </si>
  <si>
    <t>48 Stat. 1236</t>
  </si>
  <si>
    <t>73-474</t>
  </si>
  <si>
    <t>Steward Machine Co. v. Davis</t>
  </si>
  <si>
    <t>301 U.S. 548</t>
  </si>
  <si>
    <t>United States v. Hudson</t>
  </si>
  <si>
    <t>299 U.S. 498</t>
  </si>
  <si>
    <t>48 Stat. 1178</t>
  </si>
  <si>
    <t>73-438</t>
  </si>
  <si>
    <t>Virginian Railway Co. v. System Federation</t>
  </si>
  <si>
    <t>300 U.S. 515</t>
  </si>
  <si>
    <t>48 Stat. 1185</t>
  </si>
  <si>
    <t>73-442</t>
  </si>
  <si>
    <t>Wright v. Vinton Branch of Mountain Trust Bank</t>
  </si>
  <si>
    <t>300 U.S. 440</t>
  </si>
  <si>
    <t>49 Stat. 943</t>
  </si>
  <si>
    <t>74-384</t>
  </si>
  <si>
    <t>Allen v. Regents of the University of Georgia</t>
  </si>
  <si>
    <t>304 U.S. 439</t>
  </si>
  <si>
    <t>47 Stat. 271</t>
  </si>
  <si>
    <t>72-154</t>
  </si>
  <si>
    <t>Collins v. Yosemite Park &amp; Curry Co.</t>
  </si>
  <si>
    <t>304 U.S. 518</t>
  </si>
  <si>
    <t>41 Stat. 731</t>
  </si>
  <si>
    <t>66-235</t>
  </si>
  <si>
    <t>Consolidated Edison Co. v. National Labor Relations Board</t>
  </si>
  <si>
    <t>305 U.S. 197</t>
  </si>
  <si>
    <t>Electric Bond &amp; Share Co. v. Securities &amp; Exchange Commission</t>
  </si>
  <si>
    <t>303 U.S. 419</t>
  </si>
  <si>
    <t>49 Stat. 813</t>
  </si>
  <si>
    <t>74-333</t>
  </si>
  <si>
    <t>Helvering v. Gerhardt</t>
  </si>
  <si>
    <t>304 U.S. 405</t>
  </si>
  <si>
    <t>47 Stat. 178</t>
  </si>
  <si>
    <t>Helvering v. Mitchell</t>
  </si>
  <si>
    <t>303 U.S. 391</t>
  </si>
  <si>
    <t>45 Stat. 791</t>
  </si>
  <si>
    <t>Helvering v. Mountain Producers Corp.</t>
  </si>
  <si>
    <t>303 U.S. 376</t>
  </si>
  <si>
    <t>Helvering v. National Grocery Co.</t>
  </si>
  <si>
    <t>304 U.S. 282</t>
  </si>
  <si>
    <t>45 Stat. 814</t>
  </si>
  <si>
    <t>Helvering v. Therrell</t>
  </si>
  <si>
    <t>303 U.S. 218</t>
  </si>
  <si>
    <t>Hines v. Lowrey</t>
  </si>
  <si>
    <t>305 U.S. 85</t>
  </si>
  <si>
    <t>43 Stat. 628</t>
  </si>
  <si>
    <t>68-242</t>
  </si>
  <si>
    <t>In re NLRB</t>
  </si>
  <si>
    <t>304 U.S. 486</t>
  </si>
  <si>
    <t>49 Stat. 454</t>
  </si>
  <si>
    <t>Inter-Island Steam Navigatoin Co. v. Hawaii</t>
  </si>
  <si>
    <t>305 U.S. 306</t>
  </si>
  <si>
    <t>39 Stat. 728</t>
  </si>
  <si>
    <t>64-260</t>
  </si>
  <si>
    <t>Kay v. United States</t>
  </si>
  <si>
    <t>303 U.S. 1</t>
  </si>
  <si>
    <t>48 Stat. 643</t>
  </si>
  <si>
    <t>73-178</t>
  </si>
  <si>
    <t>Myers v. Bethlehem Shipbuilding Corp.</t>
  </si>
  <si>
    <t>303 U.S. 41</t>
  </si>
  <si>
    <t>National Labor Relations Board v. Mackay Radio &amp; Telegraph Co.</t>
  </si>
  <si>
    <t>304 U.S. 333</t>
  </si>
  <si>
    <t>Santa Cruz Fruit Packing Co. v. National Labor Relations Board</t>
  </si>
  <si>
    <t>303 U.S. 453</t>
  </si>
  <si>
    <t>United States v. Bekins</t>
  </si>
  <si>
    <t>304 U.S. 27</t>
  </si>
  <si>
    <t>50 Stat. 653</t>
  </si>
  <si>
    <t>75-302</t>
  </si>
  <si>
    <t>United States v. Carolene Products Co.</t>
  </si>
  <si>
    <t>304 U.S. 144</t>
  </si>
  <si>
    <t>42 Stat. 1486</t>
  </si>
  <si>
    <t>67-513</t>
  </si>
  <si>
    <t>United States v. Stevens</t>
  </si>
  <si>
    <t>302 U.S. 623</t>
  </si>
  <si>
    <t>36 Stat. 736</t>
  </si>
  <si>
    <t>61-266</t>
  </si>
  <si>
    <t>Wright v. Union Central Life Insurance Co.</t>
  </si>
  <si>
    <t>304 U.S. 502</t>
  </si>
  <si>
    <t>49 Stat. 942</t>
  </si>
  <si>
    <t>Currin v. Wallace</t>
  </si>
  <si>
    <t>306 U.S. 1</t>
  </si>
  <si>
    <t>49 Stat. 731</t>
  </si>
  <si>
    <t>74-314</t>
  </si>
  <si>
    <t>Graves v. New York ex rel. O'Keefe</t>
  </si>
  <si>
    <t>306 U.S. 466</t>
  </si>
  <si>
    <t>39 Stat. 360</t>
  </si>
  <si>
    <t>Guaranty Trust Co. v. Henwood</t>
  </si>
  <si>
    <t>307 U.S. 247</t>
  </si>
  <si>
    <t>Mulford v. Smith</t>
  </si>
  <si>
    <t>307 U.S. 38</t>
  </si>
  <si>
    <t>52 Stat. 120</t>
  </si>
  <si>
    <t>75-453</t>
  </si>
  <si>
    <t>National Labor Relations Board v. Fainblatt</t>
  </si>
  <si>
    <t>306 U.S. 601</t>
  </si>
  <si>
    <t>O'Malley v. Woodrough</t>
  </si>
  <si>
    <t>307 U.S. 277</t>
  </si>
  <si>
    <t>Pittman v. Home Owners' Loan Corp.</t>
  </si>
  <si>
    <t>308 U.S. 21</t>
  </si>
  <si>
    <t>48 Stat. 128</t>
  </si>
  <si>
    <t>73-43</t>
  </si>
  <si>
    <t>Treinies v. Sunshine Mining Co.</t>
  </si>
  <si>
    <t>308 U.S. 66</t>
  </si>
  <si>
    <t>49 Stat. 1096</t>
  </si>
  <si>
    <t>74-422</t>
  </si>
  <si>
    <t>United States v. Jacobs</t>
  </si>
  <si>
    <t>306 U.S. 363</t>
  </si>
  <si>
    <t>United States v. Lowden</t>
  </si>
  <si>
    <t>308 U.S. 225</t>
  </si>
  <si>
    <t>41 Stat. 481</t>
  </si>
  <si>
    <t>United States v. Miller</t>
  </si>
  <si>
    <t>307 U.S. 174</t>
  </si>
  <si>
    <t>48 Stat. 1237</t>
  </si>
  <si>
    <t>United States v. Powers</t>
  </si>
  <si>
    <t>307 U.S. 214</t>
  </si>
  <si>
    <t>15 U.S.C. 715</t>
  </si>
  <si>
    <t>49 Stat. 30</t>
  </si>
  <si>
    <t>74-14</t>
  </si>
  <si>
    <t>United States v. Rock Royal Co-operative, Inc.</t>
  </si>
  <si>
    <t>307 U.S. 533</t>
  </si>
  <si>
    <t>50 stat. 246</t>
  </si>
  <si>
    <t>75-137</t>
  </si>
  <si>
    <t>United States v. Sponenbarger</t>
  </si>
  <si>
    <t>308 U.S. 256</t>
  </si>
  <si>
    <t>45 Stat. 534</t>
  </si>
  <si>
    <t>70-391</t>
  </si>
  <si>
    <t>Weiss v. United States</t>
  </si>
  <si>
    <t>308 U.S. 321</t>
  </si>
  <si>
    <t>48 Stat. 1064</t>
  </si>
  <si>
    <t>73-416</t>
  </si>
  <si>
    <t>Carpenter v. Wabash Railroad Co.</t>
  </si>
  <si>
    <t>309 U.S. 23</t>
  </si>
  <si>
    <t>53 Stat. 1406</t>
  </si>
  <si>
    <t>76-386</t>
  </si>
  <si>
    <t>Helvering v. Bruun</t>
  </si>
  <si>
    <t>309 U.S. 461</t>
  </si>
  <si>
    <t>Helvering v. Northwest Steel Rolling Mills Inc.</t>
  </si>
  <si>
    <t>311 U.S. 46</t>
  </si>
  <si>
    <t>49 Stat. 1655</t>
  </si>
  <si>
    <t>McGoldrick v. Gulf Oil Corp.</t>
  </si>
  <si>
    <t>309 U.S. 414</t>
  </si>
  <si>
    <t>46 Stat. 690</t>
  </si>
  <si>
    <t>71-361</t>
  </si>
  <si>
    <t>Paramino Lumber Co. v. Marshall</t>
  </si>
  <si>
    <t>309 U.S. 370</t>
  </si>
  <si>
    <t>Relief of John T. Clark</t>
  </si>
  <si>
    <t>49 Stat. 2244</t>
  </si>
  <si>
    <t>74-445 private</t>
  </si>
  <si>
    <t>Sunshine Anthracite Coal Co. v. Adkins</t>
  </si>
  <si>
    <t>310 U.S. 381</t>
  </si>
  <si>
    <t>50 Stat. 72</t>
  </si>
  <si>
    <t>75-48</t>
  </si>
  <si>
    <t>United States v. Applachian Electrical Power Co.</t>
  </si>
  <si>
    <t>311 U.S. 377</t>
  </si>
  <si>
    <t>49 Stat. 838</t>
  </si>
  <si>
    <t>United States v. County of San Francisco</t>
  </si>
  <si>
    <t>310 U.S. 16</t>
  </si>
  <si>
    <t>38 Stat. 242</t>
  </si>
  <si>
    <t>63-41</t>
  </si>
  <si>
    <t>Federal Land Bank v. Bismark Lumber Co.</t>
  </si>
  <si>
    <t>314 U.S. 95</t>
  </si>
  <si>
    <t>Gorin v. United States</t>
  </si>
  <si>
    <t>312 U.S. 19</t>
  </si>
  <si>
    <t>40 Stat. 217</t>
  </si>
  <si>
    <t>65-24</t>
  </si>
  <si>
    <t>Helvering v. Lerner Stores Corp.</t>
  </si>
  <si>
    <t>314 U.S. 463</t>
  </si>
  <si>
    <t>49 Stat. 1018</t>
  </si>
  <si>
    <t>74-407</t>
  </si>
  <si>
    <t>National Labor Relations Board v. Virginia Electric and Power Co.</t>
  </si>
  <si>
    <t>314 U.S. 469</t>
  </si>
  <si>
    <t>Oklahoma ex rel. Phillips v. Guy F. Atkinson Co.</t>
  </si>
  <si>
    <t>313 U.S. 508</t>
  </si>
  <si>
    <t>52 Stat. 1215</t>
  </si>
  <si>
    <t>75-761</t>
  </si>
  <si>
    <t>Opp Cotton Mills, Inc. v. Administrator of Wage &amp; Hour Division</t>
  </si>
  <si>
    <t>312 U.S. 126</t>
  </si>
  <si>
    <t>52 Stat. 1060</t>
  </si>
  <si>
    <t>75-718</t>
  </si>
  <si>
    <t>Phelps Dodge Corp. v. National Labor Relations Board</t>
  </si>
  <si>
    <t>313 U.S. 177</t>
  </si>
  <si>
    <t>Pittsburgh Plate Glass Co. v. National Labor Relations Board</t>
  </si>
  <si>
    <t>313 U.S. 146</t>
  </si>
  <si>
    <t>49 Stat. 453</t>
  </si>
  <si>
    <t>Sibbach v. Wilson &amp; Co.</t>
  </si>
  <si>
    <t>312 U.S. 1</t>
  </si>
  <si>
    <t>United States v. Chicago, Milwaukee, Saint Paul &amp; Pacific Railroad Co.</t>
  </si>
  <si>
    <t>312 U.S. 592</t>
  </si>
  <si>
    <t>46 Stat. 927</t>
  </si>
  <si>
    <t>71-520</t>
  </si>
  <si>
    <t>United States v. Classic</t>
  </si>
  <si>
    <t>313 U.S. 299</t>
  </si>
  <si>
    <t>35 Stat. 1092</t>
  </si>
  <si>
    <t>United States v. Darby</t>
  </si>
  <si>
    <t>312 U.S. 100</t>
  </si>
  <si>
    <t>Z. &amp; F. Assets Realization Corp. v. Hull</t>
  </si>
  <si>
    <t>311 U.S. 470</t>
  </si>
  <si>
    <t>45 Stat. 254</t>
  </si>
  <si>
    <t>70-122</t>
  </si>
  <si>
    <t>A.B. Kirschbaum Co. v. Walling</t>
  </si>
  <si>
    <t>316 U.S. 517</t>
  </si>
  <si>
    <t>Ex Parte Quirin</t>
  </si>
  <si>
    <t>317 U.S. 1</t>
  </si>
  <si>
    <t>Federal Power Commission v. Natural Gas Pipeline</t>
  </si>
  <si>
    <t>315 U.S. 575</t>
  </si>
  <si>
    <t>52 Stat. 821</t>
  </si>
  <si>
    <t>75-688</t>
  </si>
  <si>
    <t>Overnight Motor Transportation Co. v. Missel</t>
  </si>
  <si>
    <t>316 U.S. 572</t>
  </si>
  <si>
    <t>52 Stat. 1063</t>
  </si>
  <si>
    <t>United States v. Ragen</t>
  </si>
  <si>
    <t>314 U.S. 513</t>
  </si>
  <si>
    <t>47 Stat. 217</t>
  </si>
  <si>
    <t>United States v. Wrightwood Dairy Co.</t>
  </si>
  <si>
    <t>315 U.S. 110</t>
  </si>
  <si>
    <t>50 Stat. 246</t>
  </si>
  <si>
    <t>Wickard v. Filburn</t>
  </si>
  <si>
    <t>317 U.S. 111</t>
  </si>
  <si>
    <t>55 Stat. 203</t>
  </si>
  <si>
    <t>77-74</t>
  </si>
  <si>
    <t>Board of County Commissioners v. Seber</t>
  </si>
  <si>
    <t>318 U.S. 705</t>
  </si>
  <si>
    <t>50 Stat. 188</t>
  </si>
  <si>
    <t>75-96</t>
  </si>
  <si>
    <t>Detroit Bank v. United States</t>
  </si>
  <si>
    <t>317 U.S. 329</t>
  </si>
  <si>
    <t>Ecker v. Western Pacific Railroad Corp.</t>
  </si>
  <si>
    <t>318 U.S. 448</t>
  </si>
  <si>
    <t>Endicott Johnson Corp. v. Perkins</t>
  </si>
  <si>
    <t>317 U.S. 501</t>
  </si>
  <si>
    <t>49 Stat. 2036</t>
  </si>
  <si>
    <t>74-846</t>
  </si>
  <si>
    <t>Harrison v. Northern Trust</t>
  </si>
  <si>
    <t>317 U.S. 476</t>
  </si>
  <si>
    <t>47 Stat. 169</t>
  </si>
  <si>
    <t>Hirabayashi v. United States</t>
  </si>
  <si>
    <t>320 U.S. 81</t>
  </si>
  <si>
    <t>56 Stat. 173</t>
  </si>
  <si>
    <t>77-503</t>
  </si>
  <si>
    <t>Lockerty v. Phillips</t>
  </si>
  <si>
    <t>319 U.S. 182</t>
  </si>
  <si>
    <t>56 Stat. 23</t>
  </si>
  <si>
    <t>77-421</t>
  </si>
  <si>
    <t>Maricopa County v. Valley National Bank</t>
  </si>
  <si>
    <t>318 U.S. 357</t>
  </si>
  <si>
    <t>49 Stat. 1185</t>
  </si>
  <si>
    <t>74-483</t>
  </si>
  <si>
    <t>Mayo v. United States</t>
  </si>
  <si>
    <t>319 U.S. 441</t>
  </si>
  <si>
    <t>56 Stat. 664</t>
  </si>
  <si>
    <t>77-674</t>
  </si>
  <si>
    <t>National Broadcasting Co. v. United States</t>
  </si>
  <si>
    <t>319 U.S. 190</t>
  </si>
  <si>
    <t>O'Donnell v. Great Lakes Dredge &amp; Dock Co.</t>
  </si>
  <si>
    <t>318 U.S. 36</t>
  </si>
  <si>
    <t>41 Stat. 1007</t>
  </si>
  <si>
    <t>Reconstruction Finance Corp. v. Bankers Trust Co.</t>
  </si>
  <si>
    <t>318 U.S. 163</t>
  </si>
  <si>
    <t>United States ex rel. Marcus v. Hess</t>
  </si>
  <si>
    <t>317 U.S. 537</t>
  </si>
  <si>
    <t>12 Stat. 1696</t>
  </si>
  <si>
    <t>3/2/1863</t>
  </si>
  <si>
    <t>Bowles v. Willingham</t>
  </si>
  <si>
    <t>321 U.S. 503</t>
  </si>
  <si>
    <t>Carolene Products Co. v. United States</t>
  </si>
  <si>
    <t>323 U.S. 18</t>
  </si>
  <si>
    <t>Federal Power Commission v. Hope Natural Gas Co.</t>
  </si>
  <si>
    <t>320 U.S. 591</t>
  </si>
  <si>
    <t>Korematsu v. United States</t>
  </si>
  <si>
    <t>323 U.S. 214</t>
  </si>
  <si>
    <t>L.P.Steuart &amp; Brothers v. Bowles</t>
  </si>
  <si>
    <t>322 U.S. 398</t>
  </si>
  <si>
    <t>56 Stat. 178</t>
  </si>
  <si>
    <t>Northwestern Electric Co. v. Federal Power Commission</t>
  </si>
  <si>
    <t>321 U.S. 119</t>
  </si>
  <si>
    <t>49 Stat. 854</t>
  </si>
  <si>
    <t>Polish National Alliance v. NLRB</t>
  </si>
  <si>
    <t>322 U.S. 643</t>
  </si>
  <si>
    <t>49 Stat. 450</t>
  </si>
  <si>
    <t>Pope v. United States</t>
  </si>
  <si>
    <t>323 U.S. 1</t>
  </si>
  <si>
    <t>56 Stat. 1122</t>
  </si>
  <si>
    <t>77-850</t>
  </si>
  <si>
    <t>United States v. South-Eastern Underwriters Association</t>
  </si>
  <si>
    <t>322 U.S. 533</t>
  </si>
  <si>
    <t>Yakus v. United States</t>
  </si>
  <si>
    <t>321 U.S. 414</t>
  </si>
  <si>
    <t>Associated Press v. United States</t>
  </si>
  <si>
    <t>326 U.S. 1</t>
  </si>
  <si>
    <t>Fernandez v. Wiener</t>
  </si>
  <si>
    <t>326 U.S. 340</t>
  </si>
  <si>
    <t>56 Stat. 798</t>
  </si>
  <si>
    <t>77-753</t>
  </si>
  <si>
    <t>Screws v. United States</t>
  </si>
  <si>
    <t>325 U.S. 91</t>
  </si>
  <si>
    <t>United States v. Commodore Park</t>
  </si>
  <si>
    <t>324 U.S. 386</t>
  </si>
  <si>
    <t>53 Stat. 772</t>
  </si>
  <si>
    <t>76-90</t>
  </si>
  <si>
    <t>United States v. Frankfort Distilleries, Inc.</t>
  </si>
  <si>
    <t>324 U.S. 293</t>
  </si>
  <si>
    <t>50 Stat. 693</t>
  </si>
  <si>
    <t>75-314</t>
  </si>
  <si>
    <t>American Power &amp; Light Company v. SEC</t>
  </si>
  <si>
    <t>329 U.S. 90</t>
  </si>
  <si>
    <t>49 Stat. 821</t>
  </si>
  <si>
    <t>American Tobacco Co. v. United States</t>
  </si>
  <si>
    <t>328 U.S. 781</t>
  </si>
  <si>
    <t>Case v. Bowles</t>
  </si>
  <si>
    <t>327 U.S. 92</t>
  </si>
  <si>
    <t>59 Stat. 306</t>
  </si>
  <si>
    <t>79-108</t>
  </si>
  <si>
    <t>Champlin Refining Co. v. United States</t>
  </si>
  <si>
    <t>329 U.S. 29</t>
  </si>
  <si>
    <t>48 Stat. 1102</t>
  </si>
  <si>
    <t>Cleveland v. United States</t>
  </si>
  <si>
    <t>329 U.S. 14</t>
  </si>
  <si>
    <t>Davis v. United States</t>
  </si>
  <si>
    <t>328 U.S. 582</t>
  </si>
  <si>
    <t>56 Stat. 177</t>
  </si>
  <si>
    <t>In Re Yamashita</t>
  </si>
  <si>
    <t>327 U.S. 1</t>
  </si>
  <si>
    <t>Knauer v. United States</t>
  </si>
  <si>
    <t>328 U.S. 654</t>
  </si>
  <si>
    <t>54 Stat. 1158</t>
  </si>
  <si>
    <t>76-853</t>
  </si>
  <si>
    <t>Mabee v. White Plains Publishing Co.</t>
  </si>
  <si>
    <t>327 U.S. 178</t>
  </si>
  <si>
    <t>52 Stat. 1069</t>
  </si>
  <si>
    <t>326 U.S. 572</t>
  </si>
  <si>
    <t>47 Stat. 264</t>
  </si>
  <si>
    <t>North American Company v. SEC</t>
  </si>
  <si>
    <t>327 U.S. 686</t>
  </si>
  <si>
    <t>49 Stat. 803</t>
  </si>
  <si>
    <t>Oklahoma Press Publishing Co. v. Walling</t>
  </si>
  <si>
    <t>327 U.S. 186</t>
  </si>
  <si>
    <t>Prudential Insurance Co. v. Benjamin</t>
  </si>
  <si>
    <t>328 U.S. 408</t>
  </si>
  <si>
    <t>59 Stat. 33</t>
  </si>
  <si>
    <t>79-15</t>
  </si>
  <si>
    <t>United States v. Anderson</t>
  </si>
  <si>
    <t>328 U.S. 699</t>
  </si>
  <si>
    <t>54 Stat. 894</t>
  </si>
  <si>
    <t>76-783</t>
  </si>
  <si>
    <t>United States v. Carmack</t>
  </si>
  <si>
    <t>329 U.S. 230</t>
  </si>
  <si>
    <t>53 Stat. 1427</t>
  </si>
  <si>
    <t>76-400</t>
  </si>
  <si>
    <t>Board of Governors of Federal Reserve System v. Agnew</t>
  </si>
  <si>
    <t>329 U.S. 441</t>
  </si>
  <si>
    <t>49 Stat. 709</t>
  </si>
  <si>
    <t>74-305</t>
  </si>
  <si>
    <t>Fahey v. Mallonee</t>
  </si>
  <si>
    <t>332 U.S. 245</t>
  </si>
  <si>
    <t>48 stat. 133</t>
  </si>
  <si>
    <t>Fleming v. Rhodes</t>
  </si>
  <si>
    <t>331 U.S. 100</t>
  </si>
  <si>
    <t>60 Stat. 664</t>
  </si>
  <si>
    <t>79-548</t>
  </si>
  <si>
    <t>Gardner v. New Jersey</t>
  </si>
  <si>
    <t>329 U.S. 565</t>
  </si>
  <si>
    <t>49 Stat. 911</t>
  </si>
  <si>
    <t>74-381</t>
  </si>
  <si>
    <t>Oklahoma v. United States Civil Service Commission</t>
  </si>
  <si>
    <t>330 U.S. 127</t>
  </si>
  <si>
    <t>53 Stat. 1147</t>
  </si>
  <si>
    <t>Testa v. Katt</t>
  </si>
  <si>
    <t>330 U.S. 386</t>
  </si>
  <si>
    <t>56 Stat. 34</t>
  </si>
  <si>
    <t>United Public Workers v. Mitchell</t>
  </si>
  <si>
    <t>330 U.S. 75</t>
  </si>
  <si>
    <t>76-252</t>
  </si>
  <si>
    <t>United States v. Petrillo</t>
  </si>
  <si>
    <t>332 U.S. 1</t>
  </si>
  <si>
    <t>60 stat. 89</t>
  </si>
  <si>
    <t>79-344</t>
  </si>
  <si>
    <t>United States v. Walsh</t>
  </si>
  <si>
    <t>331 U.S. 432</t>
  </si>
  <si>
    <t>52 stat. 1042</t>
  </si>
  <si>
    <t>75-717</t>
  </si>
  <si>
    <t>Donaldson v. Read Magazine, Inc.</t>
  </si>
  <si>
    <t>333 U.S. 178</t>
  </si>
  <si>
    <t>28 Stat. 964</t>
  </si>
  <si>
    <t>Lichter v. United States</t>
  </si>
  <si>
    <t>334 U.S. 742</t>
  </si>
  <si>
    <t>56 Stat. 245</t>
  </si>
  <si>
    <t>77-528</t>
  </si>
  <si>
    <t>Ludecke v. Watkins</t>
  </si>
  <si>
    <t>335 U.S. 160</t>
  </si>
  <si>
    <t>1 Stat. 577</t>
  </si>
  <si>
    <t>5-53</t>
  </si>
  <si>
    <t>7/6/1798</t>
  </si>
  <si>
    <t>Shapiro v. United States</t>
  </si>
  <si>
    <t>335 U.S. 1</t>
  </si>
  <si>
    <t>56 Stat. 30</t>
  </si>
  <si>
    <t>United States v. Baltimore &amp; O. R. Co.</t>
  </si>
  <si>
    <t>333 U.S. 169</t>
  </si>
  <si>
    <t>24 Stat. 379</t>
  </si>
  <si>
    <t>332 U.S. 689</t>
  </si>
  <si>
    <t>52 Stat. 1042</t>
  </si>
  <si>
    <t>Vermilya-Brown Co. v. Connell</t>
  </si>
  <si>
    <t>335 U.S. 377</t>
  </si>
  <si>
    <t>Woods v. Cloyd W. Miller Co.</t>
  </si>
  <si>
    <t>333 U.S. 138</t>
  </si>
  <si>
    <t>61 Stat. 196</t>
  </si>
  <si>
    <t>80-129</t>
  </si>
  <si>
    <t>FCC v. WJR, Goodwill Station</t>
  </si>
  <si>
    <t>337 U.S. 265</t>
  </si>
  <si>
    <t>48 Stat. 1081</t>
  </si>
  <si>
    <t>Graham v. Brotherhood of Locomotive Firemen &amp; Enginemen</t>
  </si>
  <si>
    <t>338 U.S. 232</t>
  </si>
  <si>
    <t>54 Stat. 143</t>
  </si>
  <si>
    <t>76-464</t>
  </si>
  <si>
    <t>National Mutual Insurance Co. v. Tidewater Transfer Co.</t>
  </si>
  <si>
    <t>337 U.S. 582</t>
  </si>
  <si>
    <t>NLRB v. Stowe Spinning Co.</t>
  </si>
  <si>
    <t>336 U.S. 226</t>
  </si>
  <si>
    <t>United States v. Cors</t>
  </si>
  <si>
    <t>337 U.S. 325</t>
  </si>
  <si>
    <t>49 Stat. 2015</t>
  </si>
  <si>
    <t>74-835</t>
  </si>
  <si>
    <t>Wilmette Park District v. Campbell</t>
  </si>
  <si>
    <t>338 U.S. 411</t>
  </si>
  <si>
    <t>American Communications Association v. Douds</t>
  </si>
  <si>
    <t>339 U.S. 382</t>
  </si>
  <si>
    <t>61 Stat. 146</t>
  </si>
  <si>
    <t>80-101</t>
  </si>
  <si>
    <t>Ewing v. Mytinger &amp; Casselberry, Inc.</t>
  </si>
  <si>
    <t>339 U.S. 594</t>
  </si>
  <si>
    <t>52 Stat. 1044</t>
  </si>
  <si>
    <t>Secretary of Agriculture v. Central Roig Refining Co.</t>
  </si>
  <si>
    <t>338 U.S. 604</t>
  </si>
  <si>
    <t>61 Stat. 922</t>
  </si>
  <si>
    <t>80-388</t>
  </si>
  <si>
    <t>United States ex rel. Knauff v. Shaughnessy</t>
  </si>
  <si>
    <t>338 U.S. 537</t>
  </si>
  <si>
    <t>55 Stat. 252</t>
  </si>
  <si>
    <t>77-114</t>
  </si>
  <si>
    <t>United States v. Morton Salt Co.</t>
  </si>
  <si>
    <t>338 U.S. 632</t>
  </si>
  <si>
    <t>United States v. Texas</t>
  </si>
  <si>
    <t>339 U.S. 707</t>
  </si>
  <si>
    <t>5 Stat. 797</t>
  </si>
  <si>
    <t>3/1/1845</t>
  </si>
  <si>
    <t>Whelchel v. McDonald</t>
  </si>
  <si>
    <t>340 U.S. 122</t>
  </si>
  <si>
    <t>39 Stat. 619</t>
  </si>
  <si>
    <t>Dennis v. United States</t>
  </si>
  <si>
    <t>341 U.S. 494</t>
  </si>
  <si>
    <t>54 Stat. 671</t>
  </si>
  <si>
    <t>76-670</t>
  </si>
  <si>
    <t>International Brotherhood of Electrical Workers et al. v. National Labor Relations Board</t>
  </si>
  <si>
    <t>341 U.S. 694</t>
  </si>
  <si>
    <t>61 Stat. 140</t>
  </si>
  <si>
    <t>Lorain Journal Co. v. United States</t>
  </si>
  <si>
    <t>342 U.S. 143</t>
  </si>
  <si>
    <t>26 stat. 209</t>
  </si>
  <si>
    <t>United States v. Rock Island Motor Transit Co.</t>
  </si>
  <si>
    <t>340 U.S. 419</t>
  </si>
  <si>
    <t>49 Stat. 543</t>
  </si>
  <si>
    <t>74-255</t>
  </si>
  <si>
    <t>341 U.S. 97</t>
  </si>
  <si>
    <t>Carson v. Landon</t>
  </si>
  <si>
    <t>342 U.S. 524</t>
  </si>
  <si>
    <t>64 Stat. 987</t>
  </si>
  <si>
    <t>Cities Service Co. v. McGrath</t>
  </si>
  <si>
    <t>342 U.S. 330</t>
  </si>
  <si>
    <t>55 Stat. 839</t>
  </si>
  <si>
    <t>77-354</t>
  </si>
  <si>
    <t>Harisiades v. Shaughnessy</t>
  </si>
  <si>
    <t>342 U.S. 580</t>
  </si>
  <si>
    <t>54 Stat. 670</t>
  </si>
  <si>
    <t>United States v. Spector</t>
  </si>
  <si>
    <t>343 U.S. 169</t>
  </si>
  <si>
    <t>64 Stat. 1010</t>
  </si>
  <si>
    <t>81-831</t>
  </si>
  <si>
    <t>American Trucking Association v. United States</t>
  </si>
  <si>
    <t>344 U.S. 298</t>
  </si>
  <si>
    <t>Baltimore &amp; Ohio Railroad Company v. United States</t>
  </si>
  <si>
    <t>345 U.S. 146</t>
  </si>
  <si>
    <t>41 Stat. 484</t>
  </si>
  <si>
    <t>Dameron v. Brodhead</t>
  </si>
  <si>
    <t>345 U.S. 322</t>
  </si>
  <si>
    <t>58 Stat. 722</t>
  </si>
  <si>
    <t>78-415</t>
  </si>
  <si>
    <t>District of Columbia v. John R. Thompson Co.</t>
  </si>
  <si>
    <t>346 U.S. 100</t>
  </si>
  <si>
    <t>20 Stat. 102</t>
  </si>
  <si>
    <t>6/11/1878</t>
  </si>
  <si>
    <t>Shaughnessy v. United States</t>
  </si>
  <si>
    <t>345 U.S. 206</t>
  </si>
  <si>
    <t>United States v. Certain Parcels of Land</t>
  </si>
  <si>
    <t>345 U.S. 344</t>
  </si>
  <si>
    <t>55 Stat. 361</t>
  </si>
  <si>
    <t>77-137</t>
  </si>
  <si>
    <t>United States v. Kahriger</t>
  </si>
  <si>
    <t>345 U.S. 22</t>
  </si>
  <si>
    <t>65 Stat. 452</t>
  </si>
  <si>
    <t>82-183</t>
  </si>
  <si>
    <t>United States v. Nugent</t>
  </si>
  <si>
    <t>346 U.S. 1</t>
  </si>
  <si>
    <t>54 Stat. 885</t>
  </si>
  <si>
    <t>Adams v. Maryland</t>
  </si>
  <si>
    <t>347 U.S. 179</t>
  </si>
  <si>
    <t>11 Stat. 156</t>
  </si>
  <si>
    <t>Alabama v. Texas</t>
  </si>
  <si>
    <t>347 U.S. 272</t>
  </si>
  <si>
    <t>67 Stat. 29</t>
  </si>
  <si>
    <t>83-30</t>
  </si>
  <si>
    <t>Berman v. Parker</t>
  </si>
  <si>
    <t>348 U.S. 26</t>
  </si>
  <si>
    <t>60 Stat. 790</t>
  </si>
  <si>
    <t>79-592</t>
  </si>
  <si>
    <t>Galvan v. Press</t>
  </si>
  <si>
    <t>347 U.S. 522</t>
  </si>
  <si>
    <t>Moore v. Mead's Fine Bread Co.</t>
  </si>
  <si>
    <t>348 U.S. 115</t>
  </si>
  <si>
    <t>49 Stat. 1526</t>
  </si>
  <si>
    <t>74-692</t>
  </si>
  <si>
    <t>United States v. Harriss</t>
  </si>
  <si>
    <t>347 U.S. 612</t>
  </si>
  <si>
    <t>60 Stat. 839</t>
  </si>
  <si>
    <t>79-601</t>
  </si>
  <si>
    <t>Federal Power Commission v. Oregon</t>
  </si>
  <si>
    <t>349 U.S. 435</t>
  </si>
  <si>
    <t>49 Stat. 839</t>
  </si>
  <si>
    <t>Lewis v. United States</t>
  </si>
  <si>
    <t>348 U.S. 419</t>
  </si>
  <si>
    <t>Marcello v. Bonds</t>
  </si>
  <si>
    <t>349 U.S. 302</t>
  </si>
  <si>
    <t>66 Stat. 209</t>
  </si>
  <si>
    <t>82-414</t>
  </si>
  <si>
    <t>Tee-Hit-Ton Indians v. United States</t>
  </si>
  <si>
    <t>348 U.S. 272</t>
  </si>
  <si>
    <t>61 Stat. 920</t>
  </si>
  <si>
    <t>80-384</t>
  </si>
  <si>
    <t>Greenwood v. United States</t>
  </si>
  <si>
    <t>350 U.S. 366</t>
  </si>
  <si>
    <t>63 Stat. 686</t>
  </si>
  <si>
    <t>81-285</t>
  </si>
  <si>
    <t>Kinsella v. Krueger</t>
  </si>
  <si>
    <t>351 U.S. 470</t>
  </si>
  <si>
    <t>64 Stat. 109</t>
  </si>
  <si>
    <t>81-506</t>
  </si>
  <si>
    <t>Railway Employees' Department v. Hanson</t>
  </si>
  <si>
    <t>351 U.S. 225</t>
  </si>
  <si>
    <t>64 Stat. 1238</t>
  </si>
  <si>
    <t>81-914</t>
  </si>
  <si>
    <t>Rex Trailer Co. v. United States</t>
  </si>
  <si>
    <t>350 U.S. 148</t>
  </si>
  <si>
    <t>58 Stat. 780</t>
  </si>
  <si>
    <t>78-457</t>
  </si>
  <si>
    <t>Ullman v. United States</t>
  </si>
  <si>
    <t>350 U.S. 422</t>
  </si>
  <si>
    <t>68 Stat. 745</t>
  </si>
  <si>
    <t>83-599</t>
  </si>
  <si>
    <t>United States v. Green</t>
  </si>
  <si>
    <t>350 U.S. 415</t>
  </si>
  <si>
    <t>60 Stat. 420</t>
  </si>
  <si>
    <t>79-486</t>
  </si>
  <si>
    <t>California v. Taylor</t>
  </si>
  <si>
    <t>353 U.S. 553</t>
  </si>
  <si>
    <t>Lehmann v. United States</t>
  </si>
  <si>
    <t>353 U.S. 685</t>
  </si>
  <si>
    <t>66 Stat. 163</t>
  </si>
  <si>
    <t>82-413</t>
  </si>
  <si>
    <t>Roth v. United States</t>
  </si>
  <si>
    <t>354 U.S. 476</t>
  </si>
  <si>
    <t>62 Stat. 683</t>
  </si>
  <si>
    <t>80-772</t>
  </si>
  <si>
    <t>Textile Workers Union v. Lincoln Mills of Alabama</t>
  </si>
  <si>
    <t>353 U.S. 448</t>
  </si>
  <si>
    <t>61 Stat. 156</t>
  </si>
  <si>
    <t>Federal Housing Administration v. Darlington, Inc.</t>
  </si>
  <si>
    <t>358 U.S. 84</t>
  </si>
  <si>
    <t>68 Stat. 610</t>
  </si>
  <si>
    <t>83-560</t>
  </si>
  <si>
    <t>Gore v. United States</t>
  </si>
  <si>
    <t>357 U.S. 386</t>
  </si>
  <si>
    <t>65 Stat. 767</t>
  </si>
  <si>
    <t>82-255</t>
  </si>
  <si>
    <t>Green v. United States</t>
  </si>
  <si>
    <t>356 U.S. 165</t>
  </si>
  <si>
    <t>62 Stat. 701</t>
  </si>
  <si>
    <t>Ivanhoe Irrigation District v. McCracken</t>
  </si>
  <si>
    <t>357 U.S. 275</t>
  </si>
  <si>
    <t>70 Stat. 524</t>
  </si>
  <si>
    <t>84-691</t>
  </si>
  <si>
    <t>Perez v. Brownell</t>
  </si>
  <si>
    <t>356 U.S. 44</t>
  </si>
  <si>
    <t>58 Stat. 746</t>
  </si>
  <si>
    <t>78-431</t>
  </si>
  <si>
    <t>United States v. Sharpnack</t>
  </si>
  <si>
    <t>355 U.S. 286</t>
  </si>
  <si>
    <t>62 Stat. 686</t>
  </si>
  <si>
    <t>Barenblatt v. United States</t>
  </si>
  <si>
    <t>360 U.S. 109</t>
  </si>
  <si>
    <t>52 Stat. 942</t>
  </si>
  <si>
    <t>75-700</t>
  </si>
  <si>
    <t>Braen v. Pfeifer Oil Transportation Co.</t>
  </si>
  <si>
    <t>361 U.S. 129</t>
  </si>
  <si>
    <t>Cammarano v. United States</t>
  </si>
  <si>
    <t>358 U.S. 498</t>
  </si>
  <si>
    <t>53 Stat. 862</t>
  </si>
  <si>
    <t>76-155</t>
  </si>
  <si>
    <t>National Labor Relations Board v. Cabot Carbon Co.</t>
  </si>
  <si>
    <t>360 U.S. 203</t>
  </si>
  <si>
    <t>61 Stat. 138</t>
  </si>
  <si>
    <t>Palermo v. United States</t>
  </si>
  <si>
    <t>360 U.S. 343</t>
  </si>
  <si>
    <t>71 stat. 595</t>
  </si>
  <si>
    <t>85-269</t>
  </si>
  <si>
    <t>Pennsylvania Railroad Co. v. Day</t>
  </si>
  <si>
    <t>360 U.S. 548</t>
  </si>
  <si>
    <t>United Steelworkers of America v. United States</t>
  </si>
  <si>
    <t>361 U.S. 39</t>
  </si>
  <si>
    <t>61 Stat. 155</t>
  </si>
  <si>
    <t>Flemming v. Nestor</t>
  </si>
  <si>
    <t>363 U.S. 603</t>
  </si>
  <si>
    <t>68 Stat. 1083</t>
  </si>
  <si>
    <t>83-761</t>
  </si>
  <si>
    <t>Gonzales v. United States</t>
  </si>
  <si>
    <t>364 U.S. 59</t>
  </si>
  <si>
    <t>62 stat. 622</t>
  </si>
  <si>
    <t>80-759</t>
  </si>
  <si>
    <t>Hannah v. Larche</t>
  </si>
  <si>
    <t>363 U.S. 420</t>
  </si>
  <si>
    <t>71 Stat. 634</t>
  </si>
  <si>
    <t>85-315</t>
  </si>
  <si>
    <t>Reina v. United States</t>
  </si>
  <si>
    <t>364 U.S. 507</t>
  </si>
  <si>
    <t>70 Stat. 572</t>
  </si>
  <si>
    <t>84-728</t>
  </si>
  <si>
    <t>United States v. Manufacturers National Bank</t>
  </si>
  <si>
    <t>363 U.S. 194</t>
  </si>
  <si>
    <t>56 Stat. 944</t>
  </si>
  <si>
    <t>United States v. Raines</t>
  </si>
  <si>
    <t>362 U.S. 17</t>
  </si>
  <si>
    <t>71 Stat. 637</t>
  </si>
  <si>
    <t>Braden v. United States</t>
  </si>
  <si>
    <t>365 U.S. 431</t>
  </si>
  <si>
    <t>Cafeteria &amp; Restaurant Workers Union v. McElroy</t>
  </si>
  <si>
    <t>367 U.S. 886</t>
  </si>
  <si>
    <t>12 Stat. 565</t>
  </si>
  <si>
    <t>Communist Party of United States v. Subversive Activities Control Board</t>
  </si>
  <si>
    <t>367 U.S. 1</t>
  </si>
  <si>
    <t>Killian v. United States</t>
  </si>
  <si>
    <t>368 U.S. 231</t>
  </si>
  <si>
    <t>Scales v. United States</t>
  </si>
  <si>
    <t>367 U.S. 203</t>
  </si>
  <si>
    <t>United States v. Oregon</t>
  </si>
  <si>
    <t>366 U.S. 643</t>
  </si>
  <si>
    <t>Wilkinson v. United States</t>
  </si>
  <si>
    <t>365 U.S. 399</t>
  </si>
  <si>
    <t>Free v. Bland</t>
  </si>
  <si>
    <t>369 U.S. 663</t>
  </si>
  <si>
    <t>48 Stat. 343</t>
  </si>
  <si>
    <t>73-87</t>
  </si>
  <si>
    <t>Glidden Co. v. Zdanok</t>
  </si>
  <si>
    <t>370 U.S. 530</t>
  </si>
  <si>
    <t>70 Stat. 532</t>
  </si>
  <si>
    <t>84-703</t>
  </si>
  <si>
    <t>Hutcheson v. United States</t>
  </si>
  <si>
    <t>369 U.S. 599</t>
  </si>
  <si>
    <t>State Board of Insurance v. Todd Shipyards Corp.</t>
  </si>
  <si>
    <t>370 U.S. 451</t>
  </si>
  <si>
    <t>Arizona v. California</t>
  </si>
  <si>
    <t>373 U.S. 546</t>
  </si>
  <si>
    <t>45 Stat. 1057</t>
  </si>
  <si>
    <t>70-642</t>
  </si>
  <si>
    <t>Sperry v. Florida</t>
  </si>
  <si>
    <t>373 U.S. 379</t>
  </si>
  <si>
    <t>66 Stat. 795</t>
  </si>
  <si>
    <t>82-593</t>
  </si>
  <si>
    <t>United States v. National Dairy Products Corpt.</t>
  </si>
  <si>
    <t>372 U.S. 29</t>
  </si>
  <si>
    <t>Heart of Atlanta Motel, Inc. v. United States</t>
  </si>
  <si>
    <t>379 U.S. 241</t>
  </si>
  <si>
    <t>78 Stat. 241</t>
  </si>
  <si>
    <t>88-352</t>
  </si>
  <si>
    <t>Katzenbach v. McClung</t>
  </si>
  <si>
    <t>379 U.S. 294</t>
  </si>
  <si>
    <t>Parden v. Terminal Railway of the Alabama State Docks Department</t>
  </si>
  <si>
    <t>377 U.S. 184</t>
  </si>
  <si>
    <t>35 Stat. 65</t>
  </si>
  <si>
    <t>Reisman v. Caplin</t>
  </si>
  <si>
    <t>375 U.S. 440</t>
  </si>
  <si>
    <t>68a Stat. 1</t>
  </si>
  <si>
    <t>83-746</t>
  </si>
  <si>
    <t>Schlagenhauf v. Holder</t>
  </si>
  <si>
    <t>379 U.S. 104</t>
  </si>
  <si>
    <t>United States v. Barnett</t>
  </si>
  <si>
    <t>376 U.S. 681</t>
  </si>
  <si>
    <t>Hanna v. Plumer</t>
  </si>
  <si>
    <t>380 U.S. 460</t>
  </si>
  <si>
    <t>62 Stat. 961</t>
  </si>
  <si>
    <t>80-773</t>
  </si>
  <si>
    <t>Singer v. United States</t>
  </si>
  <si>
    <t>380 U.S. 24</t>
  </si>
  <si>
    <t>54 Stat. 688</t>
  </si>
  <si>
    <t>76-675</t>
  </si>
  <si>
    <t>United States v. Atlas Life Insurance Co.</t>
  </si>
  <si>
    <t>381 U.S. 233</t>
  </si>
  <si>
    <t>73 Stat. 112</t>
  </si>
  <si>
    <t>86-69</t>
  </si>
  <si>
    <t>United States v. Gainey</t>
  </si>
  <si>
    <t>380 U.S. 63</t>
  </si>
  <si>
    <t>72 Stat. 1399</t>
  </si>
  <si>
    <t>85-859</t>
  </si>
  <si>
    <t>United States v. Mississippi</t>
  </si>
  <si>
    <t>380 U.S. 128</t>
  </si>
  <si>
    <t>74 Stat. 90</t>
  </si>
  <si>
    <t>86-449</t>
  </si>
  <si>
    <t>Zemel v. Rusk</t>
  </si>
  <si>
    <t>381 U.S. 1</t>
  </si>
  <si>
    <t>44 Stat. 887</t>
  </si>
  <si>
    <t>69-493</t>
  </si>
  <si>
    <t>Cheff v. Schnackenberg</t>
  </si>
  <si>
    <t>384 U.S. 373</t>
  </si>
  <si>
    <t>384 U.S. 855</t>
  </si>
  <si>
    <t>58 Stat. 752</t>
  </si>
  <si>
    <t>78-439</t>
  </si>
  <si>
    <t>Ginzburg v. United States</t>
  </si>
  <si>
    <t>383 U.S. 463</t>
  </si>
  <si>
    <t>69 Stat. 183</t>
  </si>
  <si>
    <t>84-95</t>
  </si>
  <si>
    <t>Katchen v. Landy</t>
  </si>
  <si>
    <t>382 U.S. 323</t>
  </si>
  <si>
    <t>52 Stat. 843</t>
  </si>
  <si>
    <t>75-696</t>
  </si>
  <si>
    <t>Katzenbach v. Morgan</t>
  </si>
  <si>
    <t>384 U.S. 641</t>
  </si>
  <si>
    <t>79 Stat. 439</t>
  </si>
  <si>
    <t>89-110</t>
  </si>
  <si>
    <t>South Carolina v. Katzenbach</t>
  </si>
  <si>
    <t>383 U.S. 301</t>
  </si>
  <si>
    <t>79 Stat. 437</t>
  </si>
  <si>
    <t>United States v. Guest</t>
  </si>
  <si>
    <t>383 U.S. 745</t>
  </si>
  <si>
    <t>Boutilier v. INS</t>
  </si>
  <si>
    <t>387 U.S. 118</t>
  </si>
  <si>
    <t>66 Stat. 182</t>
  </si>
  <si>
    <t>Prima Paint Corp. v. Flood &amp; Conklin Manufacturing Co.</t>
  </si>
  <si>
    <t>388 U.S. 395</t>
  </si>
  <si>
    <t>68 Stat. 1233</t>
  </si>
  <si>
    <t>83-779</t>
  </si>
  <si>
    <t>State Farm Fire &amp; Casualty Co. v. Tashire</t>
  </si>
  <si>
    <t>386 U.S. 523</t>
  </si>
  <si>
    <t>Clark v. Gabriel</t>
  </si>
  <si>
    <t>393 U.S. 256</t>
  </si>
  <si>
    <t>81 Stat. 100</t>
  </si>
  <si>
    <t>90-40</t>
  </si>
  <si>
    <t>Jones v. Alfred H. Mayer Co.</t>
  </si>
  <si>
    <t>392 U.S. 409</t>
  </si>
  <si>
    <t>16 Stat. 144</t>
  </si>
  <si>
    <t>Maryland v. Wirtz</t>
  </si>
  <si>
    <t>392 U.S. 183</t>
  </si>
  <si>
    <t>80 Stat. 832</t>
  </si>
  <si>
    <t>89-601</t>
  </si>
  <si>
    <t>Permian Basin Area Rate Cases</t>
  </si>
  <si>
    <t>390 U.S. 747</t>
  </si>
  <si>
    <t>52 Stat. 823</t>
  </si>
  <si>
    <t>United States v. O'Brien</t>
  </si>
  <si>
    <t>391 U.S. 367</t>
  </si>
  <si>
    <t>79 Stat. 586</t>
  </si>
  <si>
    <t>89-152</t>
  </si>
  <si>
    <t>Bryson v. United States</t>
  </si>
  <si>
    <t>396 U.S. 64</t>
  </si>
  <si>
    <t>62 Stat. 749</t>
  </si>
  <si>
    <t>Frank v. United States</t>
  </si>
  <si>
    <t>395 U.S. 147</t>
  </si>
  <si>
    <t>55 Stat. 779</t>
  </si>
  <si>
    <t>77-316</t>
  </si>
  <si>
    <t>Minor v. United States</t>
  </si>
  <si>
    <t>396 U.S. 87</t>
  </si>
  <si>
    <t>68A Stat. 560</t>
  </si>
  <si>
    <t>National Labor Relations Board v. Gissel Packing Co.</t>
  </si>
  <si>
    <t>395 U.S. 575</t>
  </si>
  <si>
    <t>49 Stat. 452</t>
  </si>
  <si>
    <t>Red Lion Broadcasting Co. v. FCC</t>
  </si>
  <si>
    <t>395 U.S. 367</t>
  </si>
  <si>
    <t>73 Stat. 557</t>
  </si>
  <si>
    <t>86-274</t>
  </si>
  <si>
    <t>Thorpe v. Housing Authority of the City of Durham</t>
  </si>
  <si>
    <t>393 U.S. 268</t>
  </si>
  <si>
    <t>50 Stat. 891</t>
  </si>
  <si>
    <t>75-412</t>
  </si>
  <si>
    <t>Rowan v. United States Post Office Department</t>
  </si>
  <si>
    <t>397 U.S. 728</t>
  </si>
  <si>
    <t>81 Stat. 645</t>
  </si>
  <si>
    <t>90-206</t>
  </si>
  <si>
    <t>United States v. Maryland Savings-Share Insurance Corp.</t>
  </si>
  <si>
    <t>400 U.S. 4</t>
  </si>
  <si>
    <t>74 Stat. 54</t>
  </si>
  <si>
    <t>86-428</t>
  </si>
  <si>
    <t>Gillette v. United States</t>
  </si>
  <si>
    <t>401 U.S. 437</t>
  </si>
  <si>
    <t>Griffin v. Breckenridge</t>
  </si>
  <si>
    <t>403 U.S. 88</t>
  </si>
  <si>
    <t>17 Stat. 13</t>
  </si>
  <si>
    <t>Perez v. United States</t>
  </si>
  <si>
    <t>402 U.S. 146</t>
  </si>
  <si>
    <t>82 Stat. 159</t>
  </si>
  <si>
    <t>90-321</t>
  </si>
  <si>
    <t>Relford v. Commandant, U.S. Disciplinary Barracks</t>
  </si>
  <si>
    <t>401 U.S. 355</t>
  </si>
  <si>
    <t>64 Stat. 107</t>
  </si>
  <si>
    <t>Richardson v. Belcher</t>
  </si>
  <si>
    <t>404 U.S. 78</t>
  </si>
  <si>
    <t>79 Stat. 406</t>
  </si>
  <si>
    <t>89-97</t>
  </si>
  <si>
    <t>Richardson v. Perales</t>
  </si>
  <si>
    <t>402 U.S. 389</t>
  </si>
  <si>
    <t>Rogers v. Bellei</t>
  </si>
  <si>
    <t>401 U.S. 815</t>
  </si>
  <si>
    <t>66 Stat. 236</t>
  </si>
  <si>
    <t>United States v. Freed</t>
  </si>
  <si>
    <t>401 U.S. 601</t>
  </si>
  <si>
    <t>82 Stat. 1227</t>
  </si>
  <si>
    <t>90-618</t>
  </si>
  <si>
    <t>United States v. Reidel</t>
  </si>
  <si>
    <t>402 U.S. 351</t>
  </si>
  <si>
    <t>United States v. Thirty-Seven Photographs</t>
  </si>
  <si>
    <t>402 U.S. 363</t>
  </si>
  <si>
    <t>46 Stat. 688</t>
  </si>
  <si>
    <t>United States v. Vuitch</t>
  </si>
  <si>
    <t>402 U.S. 62</t>
  </si>
  <si>
    <t>67 Stat. 93</t>
  </si>
  <si>
    <t>83-85</t>
  </si>
  <si>
    <t>California Motor Transport Co. v. Trucking Unlimited</t>
  </si>
  <si>
    <t>404 U.S. 508</t>
  </si>
  <si>
    <t>Kastigar v. United States</t>
  </si>
  <si>
    <t>406 U.S. 441</t>
  </si>
  <si>
    <t>84 Stat. 922</t>
  </si>
  <si>
    <t>91-452</t>
  </si>
  <si>
    <t>Kleindienst v. Mandel</t>
  </si>
  <si>
    <t>408 U.S. 753</t>
  </si>
  <si>
    <t>United States v. Biswell</t>
  </si>
  <si>
    <t>406 U.S. 311</t>
  </si>
  <si>
    <t>82 Stat. 1213</t>
  </si>
  <si>
    <t>United States v. Brewster</t>
  </si>
  <si>
    <t>408 U.S. 501</t>
  </si>
  <si>
    <t>84 Stat. 853</t>
  </si>
  <si>
    <t>91-405</t>
  </si>
  <si>
    <t>United States v. Jim</t>
  </si>
  <si>
    <t>409 U.S. 80</t>
  </si>
  <si>
    <t>82 Stat. 121</t>
  </si>
  <si>
    <t>90-306</t>
  </si>
  <si>
    <t>Barnes v. United States</t>
  </si>
  <si>
    <t>412 U.S. 837</t>
  </si>
  <si>
    <t>53 Stat. 1257</t>
  </si>
  <si>
    <t>76-332</t>
  </si>
  <si>
    <t>Columbia Broadcasting System, Inc. v. Democratic National Committee</t>
  </si>
  <si>
    <t>412 U.S. 94</t>
  </si>
  <si>
    <t>Hurtado v. United States</t>
  </si>
  <si>
    <t>410 U.S. 578</t>
  </si>
  <si>
    <t>82 Stat. 62</t>
  </si>
  <si>
    <t>90-274</t>
  </si>
  <si>
    <t>Mourning v. Family Publications Service, Inc.</t>
  </si>
  <si>
    <t>411 U.S. 356</t>
  </si>
  <si>
    <t>82 Stat. 148</t>
  </si>
  <si>
    <t>Palmore v. United States</t>
  </si>
  <si>
    <t>411 U.S. 389</t>
  </si>
  <si>
    <t>84 Stat. 573</t>
  </si>
  <si>
    <t>91-358</t>
  </si>
  <si>
    <t>United States Civil Service Commission v. National Association of Letter Carriers</t>
  </si>
  <si>
    <t>413 U.S. 548</t>
  </si>
  <si>
    <t>80 Stat. 378</t>
  </si>
  <si>
    <t>89-554</t>
  </si>
  <si>
    <t>United States v. 12 200-Foot Reels of Super 8mm Film</t>
  </si>
  <si>
    <t>413 U.S. 123</t>
  </si>
  <si>
    <t>United States v. Kras</t>
  </si>
  <si>
    <t>409 U.S. 434</t>
  </si>
  <si>
    <t>60 Stat. 326</t>
  </si>
  <si>
    <t>79-464</t>
  </si>
  <si>
    <t>United States v. Orito</t>
  </si>
  <si>
    <t>413 U.S. 139</t>
  </si>
  <si>
    <t>Arnett v. Kennedy</t>
  </si>
  <si>
    <t>416 U.S. 134</t>
  </si>
  <si>
    <t>37 Stat. 555</t>
  </si>
  <si>
    <t>62-336</t>
  </si>
  <si>
    <t>California Bankers Association v. Schultz</t>
  </si>
  <si>
    <t>416 U.S. 21</t>
  </si>
  <si>
    <t>84 Stat. 1114</t>
  </si>
  <si>
    <t>91-508</t>
  </si>
  <si>
    <t>Hamling v. United States</t>
  </si>
  <si>
    <t>418 U.S. 87</t>
  </si>
  <si>
    <t>Johnson v. Robison</t>
  </si>
  <si>
    <t>415 U.S. 361</t>
  </si>
  <si>
    <t>80 Stat. 1368</t>
  </si>
  <si>
    <t>89-785</t>
  </si>
  <si>
    <t>Marshall v. United States</t>
  </si>
  <si>
    <t>414 U.S. 417</t>
  </si>
  <si>
    <t>82 Stat. 1006</t>
  </si>
  <si>
    <t>90-574</t>
  </si>
  <si>
    <t>Morton v. Mancari</t>
  </si>
  <si>
    <t>417 U.S. 535</t>
  </si>
  <si>
    <t>48 Stat. 984</t>
  </si>
  <si>
    <t>73-383</t>
  </si>
  <si>
    <t>Parker v. Levy</t>
  </si>
  <si>
    <t>417 U.S. 733</t>
  </si>
  <si>
    <t>Fry v. United States</t>
  </si>
  <si>
    <t>421 U.S. 542</t>
  </si>
  <si>
    <t>84 Stat. 799</t>
  </si>
  <si>
    <t>91-379</t>
  </si>
  <si>
    <t>Muniz v. Hoffman</t>
  </si>
  <si>
    <t>422 U.S. 454</t>
  </si>
  <si>
    <t>61 Stat. 149</t>
  </si>
  <si>
    <t>Schlesinger v. Ballard</t>
  </si>
  <si>
    <t>419 U.S. 498</t>
  </si>
  <si>
    <t>Revision of Code relating to Armed Services</t>
  </si>
  <si>
    <t>70A Stat. 1126</t>
  </si>
  <si>
    <t>84-1028</t>
  </si>
  <si>
    <t>Serfass v. United States</t>
  </si>
  <si>
    <t>420 U.S. 377</t>
  </si>
  <si>
    <t>United States v. Maine</t>
  </si>
  <si>
    <t>420 U.S. 515</t>
  </si>
  <si>
    <t>67 stat. 299</t>
  </si>
  <si>
    <t>83-176</t>
  </si>
  <si>
    <t>United States v. Mazurie</t>
  </si>
  <si>
    <t>419 U.S. 544</t>
  </si>
  <si>
    <t>67 Stat. 586</t>
  </si>
  <si>
    <t>83-277</t>
  </si>
  <si>
    <t>United States v. Powell</t>
  </si>
  <si>
    <t>423 U.S. 87</t>
  </si>
  <si>
    <t>United States v. Wilson</t>
  </si>
  <si>
    <t>420 U.S. 332</t>
  </si>
  <si>
    <t>84 Stat. 1890</t>
  </si>
  <si>
    <t>91-644</t>
  </si>
  <si>
    <t>Weinberger v. Salfi</t>
  </si>
  <si>
    <t>422 U.S. 749</t>
  </si>
  <si>
    <t>64 Stat. 510</t>
  </si>
  <si>
    <t>81-734</t>
  </si>
  <si>
    <t>Federal Energy Administration v. Algonquin SNG, Inc.</t>
  </si>
  <si>
    <t>426 U.S. 548</t>
  </si>
  <si>
    <t>88 Stat. 1993</t>
  </si>
  <si>
    <t>93-618</t>
  </si>
  <si>
    <t>Fitzpatrick v. Bitzer</t>
  </si>
  <si>
    <t>427 U.S. 445</t>
  </si>
  <si>
    <t>86 Stat. 107</t>
  </si>
  <si>
    <t>92-261</t>
  </si>
  <si>
    <t>International Union of Electrical, Radio &amp; Machine Workers v. Robbins &amp; Myers, Inc.</t>
  </si>
  <si>
    <t>429 U.S. 229</t>
  </si>
  <si>
    <t>86 Stat. 103</t>
  </si>
  <si>
    <t>Kleppe v. New Mexico</t>
  </si>
  <si>
    <t>426 U.S. 529</t>
  </si>
  <si>
    <t>85 Stat. 649</t>
  </si>
  <si>
    <t>92-195</t>
  </si>
  <si>
    <t>Mathews v. De Castro</t>
  </si>
  <si>
    <t>429 U.S. 181</t>
  </si>
  <si>
    <t>49 Stat. 623</t>
  </si>
  <si>
    <t>Mathews v. Diaz</t>
  </si>
  <si>
    <t>426 U.S. 67</t>
  </si>
  <si>
    <t>79 Stat. 301</t>
  </si>
  <si>
    <t>Mathews v. Eldridge</t>
  </si>
  <si>
    <t>424 U.S. 319</t>
  </si>
  <si>
    <t>70 Stat. 815</t>
  </si>
  <si>
    <t>85-880</t>
  </si>
  <si>
    <t>Mathews v. Lucas</t>
  </si>
  <si>
    <t>427 U.S. 495</t>
  </si>
  <si>
    <t>Middendorf v. Henry</t>
  </si>
  <si>
    <t>425 U.S. 25</t>
  </si>
  <si>
    <t>64 Stat. 108</t>
  </si>
  <si>
    <t>Moody v. Daggett</t>
  </si>
  <si>
    <t>429 U.S. 78</t>
  </si>
  <si>
    <t>90 Stat. 219</t>
  </si>
  <si>
    <t>94-233</t>
  </si>
  <si>
    <t>Runyon v. McCrary</t>
  </si>
  <si>
    <t>427 U.S. 160</t>
  </si>
  <si>
    <t>14 Stat. 27</t>
  </si>
  <si>
    <t>4/9/1866</t>
  </si>
  <si>
    <t>United States v. MacCollom</t>
  </si>
  <si>
    <t>426 U.S. 317</t>
  </si>
  <si>
    <t>62 Stat. 921</t>
  </si>
  <si>
    <t>United States v. Martinez-Fuerte</t>
  </si>
  <si>
    <t>428 U.S. 543</t>
  </si>
  <si>
    <t>66 Stat. 233</t>
  </si>
  <si>
    <t>425 U.S. 435</t>
  </si>
  <si>
    <t>United States v. Watson</t>
  </si>
  <si>
    <t>423 U.S. 411</t>
  </si>
  <si>
    <t>82 Stat. 998</t>
  </si>
  <si>
    <t>90-561</t>
  </si>
  <si>
    <t>Usery v. Turner Elkhorn Mining Co.</t>
  </si>
  <si>
    <t>428 U.S. 1</t>
  </si>
  <si>
    <t>86 Stat. 150</t>
  </si>
  <si>
    <t>92-303</t>
  </si>
  <si>
    <t>Alexander v. Fioto</t>
  </si>
  <si>
    <t>430 U.S. 634</t>
  </si>
  <si>
    <t>62 Stat. 1087</t>
  </si>
  <si>
    <t>80-810</t>
  </si>
  <si>
    <t>Atlas Roofing Co. v. Occupational Safety &amp; Health Review Commission</t>
  </si>
  <si>
    <t>430 U.S. 442</t>
  </si>
  <si>
    <t>84 Stat. 1590</t>
  </si>
  <si>
    <t>91-596</t>
  </si>
  <si>
    <t>Briscoe v. Bell</t>
  </si>
  <si>
    <t>432 U.S. 404</t>
  </si>
  <si>
    <t>Califano v. Jobst</t>
  </si>
  <si>
    <t>434 U.S. 47</t>
  </si>
  <si>
    <t>72 Stat. 1030</t>
  </si>
  <si>
    <t>85-840</t>
  </si>
  <si>
    <t>Califano v. Webster</t>
  </si>
  <si>
    <t>430 U.S. 313</t>
  </si>
  <si>
    <t>64 Stat. 506</t>
  </si>
  <si>
    <t>Delaware Tribal Business Committee v. Weeks</t>
  </si>
  <si>
    <t>430 U.S. 73</t>
  </si>
  <si>
    <t>86 Stat. 762</t>
  </si>
  <si>
    <t>92-456</t>
  </si>
  <si>
    <t>Fiallo v. Bell</t>
  </si>
  <si>
    <t>430 U.S. 787</t>
  </si>
  <si>
    <t>Knebel v. Hein</t>
  </si>
  <si>
    <t>429 U.S. 288</t>
  </si>
  <si>
    <t>78 Stat. 703</t>
  </si>
  <si>
    <t>88-525</t>
  </si>
  <si>
    <t>Nixon v. Administrator of General Services</t>
  </si>
  <si>
    <t>433 U.S. 425</t>
  </si>
  <si>
    <t>88 Stat. 1695</t>
  </si>
  <si>
    <t>93-526</t>
  </si>
  <si>
    <t>Smith v. United States</t>
  </si>
  <si>
    <t>431 U.S. 291</t>
  </si>
  <si>
    <t>Swain v. Pressley</t>
  </si>
  <si>
    <t>430 U.S. 372</t>
  </si>
  <si>
    <t>84 Stat. 608</t>
  </si>
  <si>
    <t>United Jewish Organizations, Inc. v. Carey</t>
  </si>
  <si>
    <t>430 U.S. 144</t>
  </si>
  <si>
    <t>United States v. Antelope</t>
  </si>
  <si>
    <t>430 U.S. 641</t>
  </si>
  <si>
    <t>23 Stat. 362</t>
  </si>
  <si>
    <t>United States v. Ramsey</t>
  </si>
  <si>
    <t>431 U.S. 606</t>
  </si>
  <si>
    <t>14 Stat. 178</t>
  </si>
  <si>
    <t>7/18/1866</t>
  </si>
  <si>
    <t>Califano v. Aznavorian</t>
  </si>
  <si>
    <t>439 U.S. 170</t>
  </si>
  <si>
    <t>86 Stat. 1468</t>
  </si>
  <si>
    <t>92-603</t>
  </si>
  <si>
    <t>Califano v. Torres</t>
  </si>
  <si>
    <t>435 U.S. 1</t>
  </si>
  <si>
    <t>86 Stat. 1465</t>
  </si>
  <si>
    <t>Cleland v. National College of Business</t>
  </si>
  <si>
    <t>435 U.S. 213</t>
  </si>
  <si>
    <t>90 Stat. 2387</t>
  </si>
  <si>
    <t>94-502</t>
  </si>
  <si>
    <t>Duke Power Co. v. Carolina Environmental Study Group</t>
  </si>
  <si>
    <t>438 U.S. 59</t>
  </si>
  <si>
    <t>71 Stat. 576</t>
  </si>
  <si>
    <t>85-256</t>
  </si>
  <si>
    <t>Federal Communications Commission v. National Citizens Committee for Broadcasting</t>
  </si>
  <si>
    <t>436 U.S. 775</t>
  </si>
  <si>
    <t>Federal Communications Commission v. Pacifica Foundation</t>
  </si>
  <si>
    <t>438 U.S. 726</t>
  </si>
  <si>
    <t>62 Stat. 866</t>
  </si>
  <si>
    <t>Massachusetts v. United States</t>
  </si>
  <si>
    <t>435 U.S. 444</t>
  </si>
  <si>
    <t>84 Stat. 236</t>
  </si>
  <si>
    <t>91-258</t>
  </si>
  <si>
    <t>Andrus v. Allard</t>
  </si>
  <si>
    <t>444 U.S. 51</t>
  </si>
  <si>
    <t>54 Stat. 250</t>
  </si>
  <si>
    <t>76-567</t>
  </si>
  <si>
    <t>Arizona Public Service Co. v. Snead</t>
  </si>
  <si>
    <t>441 U.S. 141</t>
  </si>
  <si>
    <t>90 Stat. 1914</t>
  </si>
  <si>
    <t>94-455</t>
  </si>
  <si>
    <t>Califano v. Boles</t>
  </si>
  <si>
    <t>443 U.S. 282</t>
  </si>
  <si>
    <t>Dalia v. United States</t>
  </si>
  <si>
    <t>441 U.S. 238</t>
  </si>
  <si>
    <t>82 Stat. 179</t>
  </si>
  <si>
    <t>90-340</t>
  </si>
  <si>
    <t>United States v. Batchelder</t>
  </si>
  <si>
    <t>442 U.S. 114</t>
  </si>
  <si>
    <t>82 Stat. 197</t>
  </si>
  <si>
    <t>90-351</t>
  </si>
  <si>
    <t>Vance v. Bradley</t>
  </si>
  <si>
    <t>440 U.S. 93</t>
  </si>
  <si>
    <t>60 Stat. 1015</t>
  </si>
  <si>
    <t>79-724</t>
  </si>
  <si>
    <t>California Retail Liquor Dealers Association v. Midcal Aluminum, Inc.</t>
  </si>
  <si>
    <t>445 U.S. 97</t>
  </si>
  <si>
    <t>89 Stat. 801</t>
  </si>
  <si>
    <t>94-145</t>
  </si>
  <si>
    <t>City of Rome v. United States</t>
  </si>
  <si>
    <t>446 U.S. 156</t>
  </si>
  <si>
    <t>Fullilove v. Klutznick</t>
  </si>
  <si>
    <t>448 U.S. 448</t>
  </si>
  <si>
    <t>91 Stat. 116</t>
  </si>
  <si>
    <t>95-28</t>
  </si>
  <si>
    <t>Harris v. McRae</t>
  </si>
  <si>
    <t>448 U.S. 297</t>
  </si>
  <si>
    <t>90 Stat. 1434</t>
  </si>
  <si>
    <t>94-439</t>
  </si>
  <si>
    <t>Harris v. Rosario</t>
  </si>
  <si>
    <t>446 U.S. 651</t>
  </si>
  <si>
    <t>49 Stat. 627</t>
  </si>
  <si>
    <t>445 U.S. 55</t>
  </si>
  <si>
    <t>Maher v. Gagne</t>
  </si>
  <si>
    <t>448 U.S. 122</t>
  </si>
  <si>
    <t>90 Stat. 2641</t>
  </si>
  <si>
    <t>94-559</t>
  </si>
  <si>
    <t>Marshall v. Jerrico, Inc.</t>
  </si>
  <si>
    <t>446 U.S. 238</t>
  </si>
  <si>
    <t>52 Stat. 1067</t>
  </si>
  <si>
    <t>National Labor Relations Board v. Retail Store Employees Union, Local 1001</t>
  </si>
  <si>
    <t>447 U.S. 607</t>
  </si>
  <si>
    <t>73 Stat. 542</t>
  </si>
  <si>
    <t>86-257</t>
  </si>
  <si>
    <t>O'Bannon v Town Court Nursing Center</t>
  </si>
  <si>
    <t>447 U.S. 773</t>
  </si>
  <si>
    <t>United States Railroad Retirement Board v. Fritz</t>
  </si>
  <si>
    <t>449 U.S. 166</t>
  </si>
  <si>
    <t>88 Stat. 1305</t>
  </si>
  <si>
    <t>93-445</t>
  </si>
  <si>
    <t>United States v. Difrancesco</t>
  </si>
  <si>
    <t>449 U.S. 117</t>
  </si>
  <si>
    <t>United States v. Raddatz</t>
  </si>
  <si>
    <t>447 U.S. 667</t>
  </si>
  <si>
    <t>90 Stat. 862</t>
  </si>
  <si>
    <t>94-351</t>
  </si>
  <si>
    <t>United States v. Sioux Nation of Indians</t>
  </si>
  <si>
    <t>448 U.S. 371</t>
  </si>
  <si>
    <t>92 Stat. 153</t>
  </si>
  <si>
    <t>95-243</t>
  </si>
  <si>
    <t>United States v. Ward</t>
  </si>
  <si>
    <t>448 U.S. 242</t>
  </si>
  <si>
    <t>62 Stat. 1155</t>
  </si>
  <si>
    <t>80-845</t>
  </si>
  <si>
    <t>Vance v. Terrazas</t>
  </si>
  <si>
    <t>444 U.S. 252</t>
  </si>
  <si>
    <t>66 Stat. 267</t>
  </si>
  <si>
    <t>Albernaz v. United States</t>
  </si>
  <si>
    <t>450 U.S. 333</t>
  </si>
  <si>
    <t>84 Stat. 1236</t>
  </si>
  <si>
    <t>91-513</t>
  </si>
  <si>
    <t>California Medical Association v. Federal Election Commission</t>
  </si>
  <si>
    <t>453 U.S. 182</t>
  </si>
  <si>
    <t>86 Stat. 11</t>
  </si>
  <si>
    <t>92-225</t>
  </si>
  <si>
    <t>CBS v. Federal Communications Commission</t>
  </si>
  <si>
    <t>453 U.S. 367</t>
  </si>
  <si>
    <t>86 Stat. 4</t>
  </si>
  <si>
    <t>Dames &amp; Moore v. Regan</t>
  </si>
  <si>
    <t>453 U.S. 654</t>
  </si>
  <si>
    <t>91 Stat. 1626</t>
  </si>
  <si>
    <t>95-223</t>
  </si>
  <si>
    <t>Donovan v. Dewey</t>
  </si>
  <si>
    <t>452 U.S. 594</t>
  </si>
  <si>
    <t>91 Stat. 1290</t>
  </si>
  <si>
    <t>95-164</t>
  </si>
  <si>
    <t>Haig v. Agee</t>
  </si>
  <si>
    <t>453 U.S. 280</t>
  </si>
  <si>
    <t>Hodel v. Indiana</t>
  </si>
  <si>
    <t>452 U.S. 314</t>
  </si>
  <si>
    <t>91 Stat. 445</t>
  </si>
  <si>
    <t>95-87</t>
  </si>
  <si>
    <t>Hodel v. Virginia Surface Mining and Reclamation Association</t>
  </si>
  <si>
    <t>452 U.S. 264</t>
  </si>
  <si>
    <t>Rostker v. Goldberg</t>
  </si>
  <si>
    <t>453 U.S. 57</t>
  </si>
  <si>
    <t>62 Stat. 605</t>
  </si>
  <si>
    <t>Schweiker v. Wilson</t>
  </si>
  <si>
    <t>450 U.S. 221</t>
  </si>
  <si>
    <t>United States Postal Service v. Council of Greenburgh Civic Associations</t>
  </si>
  <si>
    <t>453 U.S. 114</t>
  </si>
  <si>
    <t>United States v. Darusmont</t>
  </si>
  <si>
    <t>449 U.S. 292</t>
  </si>
  <si>
    <t>90 Stat. 1549</t>
  </si>
  <si>
    <t>Federal Election Commission v. National Right to Work Committee</t>
  </si>
  <si>
    <t>459 U.S. 197</t>
  </si>
  <si>
    <t>90 Stat. 490</t>
  </si>
  <si>
    <t>94-283</t>
  </si>
  <si>
    <t>Federal Energy Regulatory Commission v. Mississippi</t>
  </si>
  <si>
    <t>456 U.S. 742</t>
  </si>
  <si>
    <t>92 Stat. 3117</t>
  </si>
  <si>
    <t>95-617</t>
  </si>
  <si>
    <t>International Longshoremen's Association v. Allied International</t>
  </si>
  <si>
    <t>456 U.S. 212</t>
  </si>
  <si>
    <t>61 Stat. 141</t>
  </si>
  <si>
    <t>Schweiker v. Hogan</t>
  </si>
  <si>
    <t>457 U.S. 569</t>
  </si>
  <si>
    <t>81 Stat. 898</t>
  </si>
  <si>
    <t>90-248</t>
  </si>
  <si>
    <t>Schweiker v. McClure</t>
  </si>
  <si>
    <t>456 U.S. 188</t>
  </si>
  <si>
    <t>79 Stat. 291</t>
  </si>
  <si>
    <t>United States v. Lee</t>
  </si>
  <si>
    <t>455 U.S. 252</t>
  </si>
  <si>
    <t>53 Stat. 1381</t>
  </si>
  <si>
    <t>76-379</t>
  </si>
  <si>
    <t>United Transportatoin Union v. Long Island Railroad</t>
  </si>
  <si>
    <t>455 U.S. 678</t>
  </si>
  <si>
    <t>Block v. North Dakota</t>
  </si>
  <si>
    <t>461 U.S. 273</t>
  </si>
  <si>
    <t>86 Stat. 1176</t>
  </si>
  <si>
    <t>92-562</t>
  </si>
  <si>
    <t>Bob Jones University v. United States</t>
  </si>
  <si>
    <t>461 U.S. 574</t>
  </si>
  <si>
    <t>68A Stat. 163</t>
  </si>
  <si>
    <t>Equal Employment Opportunity Commission v. Wyoming</t>
  </si>
  <si>
    <t>460 U.S. 226</t>
  </si>
  <si>
    <t>81 Stat. 602</t>
  </si>
  <si>
    <t>90-202</t>
  </si>
  <si>
    <t>Regan v. Taxation without Representation</t>
  </si>
  <si>
    <t>461 U.S. 540</t>
  </si>
  <si>
    <t>United States v. Ptasynski</t>
  </si>
  <si>
    <t>462 U.S. 74</t>
  </si>
  <si>
    <t>94 Stat. 229</t>
  </si>
  <si>
    <t>96-223</t>
  </si>
  <si>
    <t>United States v. Rodgers</t>
  </si>
  <si>
    <t>461 U.S. 677</t>
  </si>
  <si>
    <t>68A Stat. 874</t>
  </si>
  <si>
    <t>United States v. Villamonte-Marquez</t>
  </si>
  <si>
    <t>462 U.S. 579</t>
  </si>
  <si>
    <t>46 Stat. 747</t>
  </si>
  <si>
    <t>Verlinden B.V. v. Central Bank of Nigeria</t>
  </si>
  <si>
    <t>461 U.S. 480</t>
  </si>
  <si>
    <t>90 Stat. 2891</t>
  </si>
  <si>
    <t>94-583</t>
  </si>
  <si>
    <t>Ellis v. Brotherhood of Airline and Steamship Clerks, Freight Handlers, Express and Station Employees</t>
  </si>
  <si>
    <t>466 U.S. 435</t>
  </si>
  <si>
    <t>Heckler v. Mathews</t>
  </si>
  <si>
    <t>465 U.S. 728</t>
  </si>
  <si>
    <t>91 Stat. 1544</t>
  </si>
  <si>
    <t>95-216</t>
  </si>
  <si>
    <t>Hishon v. King &amp; Spaulding</t>
  </si>
  <si>
    <t>467 U.S. 69</t>
  </si>
  <si>
    <t>Pension Benefit Guaranty Corp. v. R.A. Gray &amp; Co.</t>
  </si>
  <si>
    <t>467 U.S. 717</t>
  </si>
  <si>
    <t>94 Stat. 1208</t>
  </si>
  <si>
    <t>96-364</t>
  </si>
  <si>
    <t>Regan v. Wald</t>
  </si>
  <si>
    <t>468 U.S. 222</t>
  </si>
  <si>
    <t>91 Stat. 1625</t>
  </si>
  <si>
    <t>Ruckelshaus v. Monsanto Co.</t>
  </si>
  <si>
    <t>467 U.S. 986</t>
  </si>
  <si>
    <t>92 Stat. 819</t>
  </si>
  <si>
    <t>95-396</t>
  </si>
  <si>
    <t>Securities and Exchange Commission v. Jerry T. O'Brien, Inc.</t>
  </si>
  <si>
    <t>467 U.S. 735</t>
  </si>
  <si>
    <t>48 Stat. 899</t>
  </si>
  <si>
    <t>73-291</t>
  </si>
  <si>
    <t>Selective Service System v. Minnesota Public Interest Research Group</t>
  </si>
  <si>
    <t>468 U.S. 841</t>
  </si>
  <si>
    <t>96 Stat. 748</t>
  </si>
  <si>
    <t>97-252</t>
  </si>
  <si>
    <t>Sure-Tan, Inc. v. National Labor Relations Board</t>
  </si>
  <si>
    <t>467 U.S. 883</t>
  </si>
  <si>
    <t>Garcia v. San Antonio Metropolitan Transit Authority</t>
  </si>
  <si>
    <t>469 U.S. 528</t>
  </si>
  <si>
    <t>88 Stat. 68</t>
  </si>
  <si>
    <t>93-259</t>
  </si>
  <si>
    <t>Harper &amp; Rowe, Publishers, Inc. v. Nation Enterprises</t>
  </si>
  <si>
    <t>471 U.S. 539</t>
  </si>
  <si>
    <t>94-553</t>
  </si>
  <si>
    <t>National Railroad Passenger Corp. v. Atchison, Topeka &amp;  Santa Fe Railway Co.</t>
  </si>
  <si>
    <t>470 U.S. 451</t>
  </si>
  <si>
    <t>93 Stat. 546</t>
  </si>
  <si>
    <t>93-73</t>
  </si>
  <si>
    <t>Thomas v. Union Carbide Agricultural Products Co.</t>
  </si>
  <si>
    <t>473 U.S. 568</t>
  </si>
  <si>
    <t>Tony &amp; Susan Alamo Foundation v. Secretary of Labor</t>
  </si>
  <si>
    <t>471 U.S. 290</t>
  </si>
  <si>
    <t>United States v. Abertini</t>
  </si>
  <si>
    <t>472 U.S. 675</t>
  </si>
  <si>
    <t>35 Stat. 1097</t>
  </si>
  <si>
    <t>United States v. Locke</t>
  </si>
  <si>
    <t>471 U.S. 84</t>
  </si>
  <si>
    <t>90 Stat. 2743</t>
  </si>
  <si>
    <t>Walters v. National Association of Radiation Survivors</t>
  </si>
  <si>
    <t>473 U.S. 305</t>
  </si>
  <si>
    <t>13 Stat. 389</t>
  </si>
  <si>
    <t>7/4/1864</t>
  </si>
  <si>
    <t>Bowen v. Public Agencies Opposed to Social Security Entrapment</t>
  </si>
  <si>
    <t>477 U.S. 41</t>
  </si>
  <si>
    <t>98-173</t>
  </si>
  <si>
    <t>Bowen v. Roy</t>
  </si>
  <si>
    <t>476 U.S. 693</t>
  </si>
  <si>
    <t>98 Stat. 1149</t>
  </si>
  <si>
    <t>98-369</t>
  </si>
  <si>
    <t>Bowens v. Owens</t>
  </si>
  <si>
    <t>476 U.S. 340</t>
  </si>
  <si>
    <t>91 Stat. 1149</t>
  </si>
  <si>
    <t>95-128</t>
  </si>
  <si>
    <t>Commodity Futures Trading Commission v. Schor</t>
  </si>
  <si>
    <t>478 U.S. 833</t>
  </si>
  <si>
    <t>88 Stat. 1389</t>
  </si>
  <si>
    <t>93-463</t>
  </si>
  <si>
    <t>Connolly v. Pension Benefits Guaranty Corp.</t>
  </si>
  <si>
    <t>475 U.S. 211</t>
  </si>
  <si>
    <t>Dow Chemical Co. v. United States</t>
  </si>
  <si>
    <t>476 U.S. 227</t>
  </si>
  <si>
    <t>84 Stat. 1687</t>
  </si>
  <si>
    <t>91-604</t>
  </si>
  <si>
    <t>Local 28 of Sheet Metal Workers' International Association v. Equal Employment Opportunity Commission</t>
  </si>
  <si>
    <t>478 U.S. 421</t>
  </si>
  <si>
    <t>78 Stat. 261</t>
  </si>
  <si>
    <t>Lyng v. Castillo</t>
  </si>
  <si>
    <t>477 U.S. 635</t>
  </si>
  <si>
    <t>96 Stat. 772</t>
  </si>
  <si>
    <t>97-253</t>
  </si>
  <si>
    <t>United States v. Hemme</t>
  </si>
  <si>
    <t>476 U.S. 558</t>
  </si>
  <si>
    <t>90 Stat. 1848</t>
  </si>
  <si>
    <t>Bowen v. Gilliard</t>
  </si>
  <si>
    <t>483 U.S. 587</t>
  </si>
  <si>
    <t>98 Stat. 494</t>
  </si>
  <si>
    <t>Corporation of Presiding Bishop of the Church of Jesus Christ of Latter-Day Saints v. Amos</t>
  </si>
  <si>
    <t>483 U.S. 327</t>
  </si>
  <si>
    <t>78 Stat. 255</t>
  </si>
  <si>
    <t>Federal Communications Commission v. Florida Power Corp.</t>
  </si>
  <si>
    <t>480 U.S. 245</t>
  </si>
  <si>
    <t>92 Stat. 35</t>
  </si>
  <si>
    <t>95-234</t>
  </si>
  <si>
    <t>Meese v. Keene</t>
  </si>
  <si>
    <t>481 U.S. 465</t>
  </si>
  <si>
    <t>52 Stat. 631</t>
  </si>
  <si>
    <t>75-583</t>
  </si>
  <si>
    <t>Puerto Rico v. Branstad</t>
  </si>
  <si>
    <t>483 U.S. 219</t>
  </si>
  <si>
    <t>San Francisco Arts &amp; Athletics v. United States Olympic Committee</t>
  </si>
  <si>
    <t>483 U.S. 522</t>
  </si>
  <si>
    <t>92 Stat. 3048</t>
  </si>
  <si>
    <t>95-606</t>
  </si>
  <si>
    <t>Solorio v. United States</t>
  </si>
  <si>
    <t>483 U.S. 435</t>
  </si>
  <si>
    <t>South Dakota v. Dole</t>
  </si>
  <si>
    <t>483 U.S. 203</t>
  </si>
  <si>
    <t>98 Stat. 437</t>
  </si>
  <si>
    <t>98-363</t>
  </si>
  <si>
    <t>Tanner v. United States</t>
  </si>
  <si>
    <t>483 U.S. 107</t>
  </si>
  <si>
    <t>Federal Rule of Evidence</t>
  </si>
  <si>
    <t>89 Stat. 805</t>
  </si>
  <si>
    <t>94-149</t>
  </si>
  <si>
    <t>United States v. Cherokee Nation of Oklahoma</t>
  </si>
  <si>
    <t>480 U.S. 700</t>
  </si>
  <si>
    <t>60 Stat. 635</t>
  </si>
  <si>
    <t>79-525</t>
  </si>
  <si>
    <t>United States v. Salerno</t>
  </si>
  <si>
    <t>481 U.S. 739</t>
  </si>
  <si>
    <t>98 Stat. 1976</t>
  </si>
  <si>
    <t>98-473</t>
  </si>
  <si>
    <t>Bowen v. Kendrick</t>
  </si>
  <si>
    <t>487 U.S. 589</t>
  </si>
  <si>
    <t>95 Stat. 578</t>
  </si>
  <si>
    <t>97-35</t>
  </si>
  <si>
    <t>Federal Deposit Insurance Corp. v. Mallen</t>
  </si>
  <si>
    <t>486 U.S. 230</t>
  </si>
  <si>
    <t>80 Stat. 1046</t>
  </si>
  <si>
    <t>89-695</t>
  </si>
  <si>
    <t>Lyng v. International Union</t>
  </si>
  <si>
    <t>485 U.S. 360</t>
  </si>
  <si>
    <t>95 Stat. 357</t>
  </si>
  <si>
    <t>Lyng v. Northwest Indian Cemetery Protective Association</t>
  </si>
  <si>
    <t>485 U.S. 439</t>
  </si>
  <si>
    <t>98 Stat. 1619</t>
  </si>
  <si>
    <t>98-425</t>
  </si>
  <si>
    <t>Morrison v. Olson</t>
  </si>
  <si>
    <t>487 U.S. 654</t>
  </si>
  <si>
    <t>92 Stat. 1867</t>
  </si>
  <si>
    <t>95-521</t>
  </si>
  <si>
    <t>South Carolina v. Baker</t>
  </si>
  <si>
    <t>485 U.S. 505</t>
  </si>
  <si>
    <t>96 Stat. 596</t>
  </si>
  <si>
    <t>97-248</t>
  </si>
  <si>
    <t>Caplin &amp; Drysdale v. United States</t>
  </si>
  <si>
    <t>491 U.S. 617</t>
  </si>
  <si>
    <t>84 Stat. 1265</t>
  </si>
  <si>
    <t>Hernandez v. Commissioner</t>
  </si>
  <si>
    <t>490 U.S. 680</t>
  </si>
  <si>
    <t>58A Stat. 58</t>
  </si>
  <si>
    <t>78-235</t>
  </si>
  <si>
    <t>Missouri v. Jenkins</t>
  </si>
  <si>
    <t>491 U.S. 274</t>
  </si>
  <si>
    <t>Mistretta v. United States</t>
  </si>
  <si>
    <t>488 U.S. 361</t>
  </si>
  <si>
    <t>98 Stat. 2027</t>
  </si>
  <si>
    <t>Pennsylvania v. Union Gas Co.</t>
  </si>
  <si>
    <t>491 U.S. 1</t>
  </si>
  <si>
    <t>94 Stat. 2767</t>
  </si>
  <si>
    <t>96-510</t>
  </si>
  <si>
    <t>Skinner v. Mid-American Pipeline Co.</t>
  </si>
  <si>
    <t>490 U.S. 212</t>
  </si>
  <si>
    <t>100 Stat. 82</t>
  </si>
  <si>
    <t>99-272</t>
  </si>
  <si>
    <t>United States v. Monsanto</t>
  </si>
  <si>
    <t>491 U.S. 600</t>
  </si>
  <si>
    <t>98 Stat. 2044</t>
  </si>
  <si>
    <t>United States v. Sperry Corp.</t>
  </si>
  <si>
    <t>493 U.S. 52</t>
  </si>
  <si>
    <t>99 Stat. 438</t>
  </si>
  <si>
    <t>99-93</t>
  </si>
  <si>
    <t>Board of Education of Westside Community School v. Mergens</t>
  </si>
  <si>
    <t>496 U.S. 226</t>
  </si>
  <si>
    <t>98 Stat. 1302</t>
  </si>
  <si>
    <t>98-377</t>
  </si>
  <si>
    <t>Federal Trade Commission v. Superior Court Trial Lawyers Association</t>
  </si>
  <si>
    <t>493 U.S. 411</t>
  </si>
  <si>
    <t>Metro Broadcasting, Inc. v. Federal Communications Commission</t>
  </si>
  <si>
    <t>497 U.S. 547</t>
  </si>
  <si>
    <t>101 Stat. 1329</t>
  </si>
  <si>
    <t>100-202</t>
  </si>
  <si>
    <t>Office of Personnel Management v. Richmond</t>
  </si>
  <si>
    <t>496 U.S. 414</t>
  </si>
  <si>
    <t>80 Stat. 584</t>
  </si>
  <si>
    <t>Perpich v. Department of Defense</t>
  </si>
  <si>
    <t>496 U.S. 334</t>
  </si>
  <si>
    <t>100 Stat. 3871</t>
  </si>
  <si>
    <t>99-661</t>
  </si>
  <si>
    <t>Preseault v. Interstate Commerce Commission</t>
  </si>
  <si>
    <t>494 U.S. 1</t>
  </si>
  <si>
    <t>97 Stat. 48</t>
  </si>
  <si>
    <t>Sullivan v. Stroop</t>
  </si>
  <si>
    <t>496 U.S. 478</t>
  </si>
  <si>
    <t>98 Stat. 1145</t>
  </si>
  <si>
    <t>United States Department of Labor v. Triplett</t>
  </si>
  <si>
    <t>494 U.S. 715</t>
  </si>
  <si>
    <t>83 Stat. 792</t>
  </si>
  <si>
    <t>91-173</t>
  </si>
  <si>
    <t>United States v. Munoz-Flores</t>
  </si>
  <si>
    <t>495 U.S. 385</t>
  </si>
  <si>
    <t>98 Stat. 2170</t>
  </si>
  <si>
    <t>University of Pennsylvania v. Equal Employment Opportunity Commission</t>
  </si>
  <si>
    <t>493 U.S. 182</t>
  </si>
  <si>
    <t>Chapman v. United States</t>
  </si>
  <si>
    <t>500 U.S. 453</t>
  </si>
  <si>
    <t>100 Stat. 3207</t>
  </si>
  <si>
    <t>99-570</t>
  </si>
  <si>
    <t>Freytag v. Commissioner</t>
  </si>
  <si>
    <t>501 U.S. 868</t>
  </si>
  <si>
    <t>100 Stat. 2085</t>
  </si>
  <si>
    <t>99-514</t>
  </si>
  <si>
    <t>Peretz v. United States</t>
  </si>
  <si>
    <t>501 U.S. 923</t>
  </si>
  <si>
    <t>82 Stat. 1107</t>
  </si>
  <si>
    <t>90-578</t>
  </si>
  <si>
    <t>Rust v. Sullivan</t>
  </si>
  <si>
    <t>500 U.S. 173</t>
  </si>
  <si>
    <t>84 Stat. 1506</t>
  </si>
  <si>
    <t>91-572</t>
  </si>
  <si>
    <t>Touby v. United States</t>
  </si>
  <si>
    <t>500 U.S. 160</t>
  </si>
  <si>
    <t>98 Stat. 2071</t>
  </si>
  <si>
    <t>Department of Commerce v. Montana</t>
  </si>
  <si>
    <t>503 U.S. 442</t>
  </si>
  <si>
    <t>55 Stat. 761</t>
  </si>
  <si>
    <t>77-291</t>
  </si>
  <si>
    <t>National Railroad Passenger Corp. v. Boston &amp; Maine Corp.</t>
  </si>
  <si>
    <t>503 U.S. 407</t>
  </si>
  <si>
    <t>84 Stat. 1327</t>
  </si>
  <si>
    <t>91-518</t>
  </si>
  <si>
    <t>Reno v. Flores</t>
  </si>
  <si>
    <t>507 U.S. 292</t>
  </si>
  <si>
    <t>66 Stat. 208</t>
  </si>
  <si>
    <t>Robertson v. Seattle Audubon Society</t>
  </si>
  <si>
    <t>503 U.S. 429</t>
  </si>
  <si>
    <t>103 Stat. 745</t>
  </si>
  <si>
    <t>101-121</t>
  </si>
  <si>
    <t>Willy v. Coastal Corp.</t>
  </si>
  <si>
    <t>503 U.S. 131</t>
  </si>
  <si>
    <t>Alexander v. United States</t>
  </si>
  <si>
    <t>509 U.S. 544</t>
  </si>
  <si>
    <t>84 Stat. 941</t>
  </si>
  <si>
    <t>Concrete Pipe &amp; Products v. Construction Laborers Pension Trust</t>
  </si>
  <si>
    <t>508 U.S. 602</t>
  </si>
  <si>
    <t>Federal Communications Commission v. Beach Communications</t>
  </si>
  <si>
    <t>508 U.S. 307</t>
  </si>
  <si>
    <t>98 Stat. 2779</t>
  </si>
  <si>
    <t>98-549</t>
  </si>
  <si>
    <t>Rowland v. California Men's Colony</t>
  </si>
  <si>
    <t>506 U.S. 194</t>
  </si>
  <si>
    <t>73 Stat. 590</t>
  </si>
  <si>
    <t>86-321</t>
  </si>
  <si>
    <t>United States v. Edge Broadcasting Co.</t>
  </si>
  <si>
    <t>509 U.S. 418</t>
  </si>
  <si>
    <t>102 Stat. 3206</t>
  </si>
  <si>
    <t>100-625</t>
  </si>
  <si>
    <t>Nichols v. United States</t>
  </si>
  <si>
    <t>511 U.S. 738</t>
  </si>
  <si>
    <t>98 Stat. 1988</t>
  </si>
  <si>
    <t>Posters 'N' Things, Ltd. v. United States</t>
  </si>
  <si>
    <t>511 U.S. 513</t>
  </si>
  <si>
    <t>Reed v. Farley</t>
  </si>
  <si>
    <t>512 U.S. 339</t>
  </si>
  <si>
    <t>84 Stat. 1397</t>
  </si>
  <si>
    <t>91-538</t>
  </si>
  <si>
    <t>Thunder Basin Coal Co. v. Reich</t>
  </si>
  <si>
    <t>510 U.S. 200</t>
  </si>
  <si>
    <t>United States v. Carlton</t>
  </si>
  <si>
    <t>512 U.S. 26</t>
  </si>
  <si>
    <t>101 Stat. 1330</t>
  </si>
  <si>
    <t>100-203</t>
  </si>
  <si>
    <t>510 U.S. 163</t>
  </si>
  <si>
    <t>82 Stat. 1335</t>
  </si>
  <si>
    <t>90-632</t>
  </si>
  <si>
    <t>Witte v. United States</t>
  </si>
  <si>
    <t>515 U.S. 389</t>
  </si>
  <si>
    <t>Felker v. Turpin</t>
  </si>
  <si>
    <t>518 U.S. 651</t>
  </si>
  <si>
    <t>110 Stat. 1217</t>
  </si>
  <si>
    <t>104-132</t>
  </si>
  <si>
    <t>Loving v. United States</t>
  </si>
  <si>
    <t>517 U.S. 748</t>
  </si>
  <si>
    <t>United Food &amp; Commercial Workers Union Local 751 v. Brown Group</t>
  </si>
  <si>
    <t>517 U.S. 544</t>
  </si>
  <si>
    <t>102 Stat. 890</t>
  </si>
  <si>
    <t>100-379</t>
  </si>
  <si>
    <t>518 U.S. 267</t>
  </si>
  <si>
    <t>84 Stat. 1276</t>
  </si>
  <si>
    <t>Wisconsin v. City of New York</t>
  </si>
  <si>
    <t>517 U.S. 1</t>
  </si>
  <si>
    <t>68 Stat. 1012</t>
  </si>
  <si>
    <t>83-740</t>
  </si>
  <si>
    <t>Edmond v. United States</t>
  </si>
  <si>
    <t>520 U.S. 651</t>
  </si>
  <si>
    <t>72 Stat. 746</t>
  </si>
  <si>
    <t>85-726</t>
  </si>
  <si>
    <t>Glickman v. Wileman Bros. &amp; Elliott</t>
  </si>
  <si>
    <t>521 U.S. 457</t>
  </si>
  <si>
    <t>Hudson v. United States</t>
  </si>
  <si>
    <t>522 U.S. 93</t>
  </si>
  <si>
    <t>103 Stat. 469</t>
  </si>
  <si>
    <t>101-73</t>
  </si>
  <si>
    <t>Salinas v. United States</t>
  </si>
  <si>
    <t>522 U.S. 52</t>
  </si>
  <si>
    <t>Turner Broadcasting System v. Federal Communications Commission</t>
  </si>
  <si>
    <t>520 U.S. 180</t>
  </si>
  <si>
    <t>106 Stat. 1460</t>
  </si>
  <si>
    <t>102-385</t>
  </si>
  <si>
    <t>United States v. Watts</t>
  </si>
  <si>
    <t>519 U.S. 148</t>
  </si>
  <si>
    <t>98 Stat. 1987</t>
  </si>
  <si>
    <t>Almendarez-Torres v. United States</t>
  </si>
  <si>
    <t>523 U.S. 224</t>
  </si>
  <si>
    <t>102 Stat. 4471</t>
  </si>
  <si>
    <t>100-690</t>
  </si>
  <si>
    <t>Brogan v. United States</t>
  </si>
  <si>
    <t>522 U.S. 398</t>
  </si>
  <si>
    <t>48 Stat. 996</t>
  </si>
  <si>
    <t>73-394</t>
  </si>
  <si>
    <t>Federal Election Commission v. Akins</t>
  </si>
  <si>
    <t>524 U.S. 11</t>
  </si>
  <si>
    <t>Miller v. Albright</t>
  </si>
  <si>
    <t>523 U.S. 420</t>
  </si>
  <si>
    <t>66 Stat. 238</t>
  </si>
  <si>
    <t>National Endowment of the Arts v. Finley</t>
  </si>
  <si>
    <t>524 U.S. 569</t>
  </si>
  <si>
    <t>104 Stat. 1963</t>
  </si>
  <si>
    <t>101-512</t>
  </si>
  <si>
    <t>United States v. Balsys</t>
  </si>
  <si>
    <t>524 U.S. 666</t>
  </si>
  <si>
    <t>66 Stat. 198</t>
  </si>
  <si>
    <t>Reno v. American-Arab Anti-Discrimination Committee</t>
  </si>
  <si>
    <t>525 U.S. 471</t>
  </si>
  <si>
    <t>104-208</t>
  </si>
  <si>
    <t>Johnson v. United States</t>
  </si>
  <si>
    <t>529 U.S. 694</t>
  </si>
  <si>
    <t>98 Stat. 1999</t>
  </si>
  <si>
    <t>Miller v. French</t>
  </si>
  <si>
    <t>530 U.S. 327</t>
  </si>
  <si>
    <t>110 Stat. 1321</t>
  </si>
  <si>
    <t>104-134</t>
  </si>
  <si>
    <t>Mitchell v. Helms</t>
  </si>
  <si>
    <t>530 U.S. 793</t>
  </si>
  <si>
    <t>95 Stat. 469</t>
  </si>
  <si>
    <t>Reno v. Condon</t>
  </si>
  <si>
    <t>528 U.S. 141</t>
  </si>
  <si>
    <t>108 Stat. 2099</t>
  </si>
  <si>
    <t>103-322</t>
  </si>
  <si>
    <t>Federal Election Commission v. Colorado Republican Federal Campaign Committee</t>
  </si>
  <si>
    <t>533 U.lS. 431</t>
  </si>
  <si>
    <t>90 Stat. 486</t>
  </si>
  <si>
    <t>Tuan Anh Nguyen v. Immigration and Nationalization Service</t>
  </si>
  <si>
    <t>533 U.S. 53</t>
  </si>
  <si>
    <t>66 Stat. 235</t>
  </si>
  <si>
    <t>Whitman v. American Trucking Association</t>
  </si>
  <si>
    <t>531 U.S. 457</t>
  </si>
  <si>
    <t>84 Stat. 1679</t>
  </si>
  <si>
    <t>Ashcroft v. American Civil Liberties Union</t>
  </si>
  <si>
    <t>535 U.S. 564</t>
  </si>
  <si>
    <t>112 Stat. 2681</t>
  </si>
  <si>
    <t>105-277</t>
  </si>
  <si>
    <t>Department of Housing and Urban Development v. Rucker</t>
  </si>
  <si>
    <t>535 U.S. 125</t>
  </si>
  <si>
    <t>102 Stat. 4301</t>
  </si>
  <si>
    <t>Dusenbery v. United States</t>
  </si>
  <si>
    <t>534 U.S. 161</t>
  </si>
  <si>
    <t>98 Stat. 2984</t>
  </si>
  <si>
    <t>98-573</t>
  </si>
  <si>
    <t>Harris v. United States</t>
  </si>
  <si>
    <t>536 U.S. 545</t>
  </si>
  <si>
    <t>98 Stat. 2028</t>
  </si>
  <si>
    <t>Tahoe-Sierra Preservation Council v. Tahoe Regional Planning Agency</t>
  </si>
  <si>
    <t>535 U.S. 302</t>
  </si>
  <si>
    <t>83 Stat. 360</t>
  </si>
  <si>
    <t>91-148</t>
  </si>
  <si>
    <t>Utah v. Evans</t>
  </si>
  <si>
    <t>536 U.S. 452</t>
  </si>
  <si>
    <t>Demore v. Hyung Joon Kim</t>
  </si>
  <si>
    <t>538 U.S. 510</t>
  </si>
  <si>
    <t>110 Stat. 3009</t>
  </si>
  <si>
    <t>Eldred v. Ashcroft</t>
  </si>
  <si>
    <t>537 U.S. 186</t>
  </si>
  <si>
    <t>112 Stat. 2827</t>
  </si>
  <si>
    <t>105-298</t>
  </si>
  <si>
    <t>Federal Election Commission v. Beaumont</t>
  </si>
  <si>
    <t>539 U.S. 146</t>
  </si>
  <si>
    <t>Jinks v. Richland County</t>
  </si>
  <si>
    <t>538 U.S. 456</t>
  </si>
  <si>
    <t>104 Stat. 5113</t>
  </si>
  <si>
    <t>101-650</t>
  </si>
  <si>
    <t>Nevada Department of Human Resources v. Hibbs</t>
  </si>
  <si>
    <t>538 U.S. 721</t>
  </si>
  <si>
    <t>107 Stat. 9</t>
  </si>
  <si>
    <t>103-3</t>
  </si>
  <si>
    <t>Pierce County v. Guillern</t>
  </si>
  <si>
    <t>537 U.S. 129</t>
  </si>
  <si>
    <t>109 Stat. 591</t>
  </si>
  <si>
    <t>104-59</t>
  </si>
  <si>
    <t>United States v. American Library Association</t>
  </si>
  <si>
    <t>539 U.S. 194</t>
  </si>
  <si>
    <t>114 Stat. 2763</t>
  </si>
  <si>
    <t>106-554</t>
  </si>
  <si>
    <t>Sabri v. United States</t>
  </si>
  <si>
    <t>541 U.S. 600</t>
  </si>
  <si>
    <t>100 Stat. 3612</t>
  </si>
  <si>
    <t>99-646</t>
  </si>
  <si>
    <t>Tennessee Student Assistance Corporation v. Hood</t>
  </si>
  <si>
    <t>541 U.S. 440</t>
  </si>
  <si>
    <t>108 Stat. 4106</t>
  </si>
  <si>
    <t>103-394</t>
  </si>
  <si>
    <t>Tennessee v. Lane</t>
  </si>
  <si>
    <t>541 U.S. 509</t>
  </si>
  <si>
    <t>104 Stat. 327</t>
  </si>
  <si>
    <t>101-336</t>
  </si>
  <si>
    <t>United States v. Flores-Montano</t>
  </si>
  <si>
    <t>541 U.S. 149</t>
  </si>
  <si>
    <t>United States v. Lara</t>
  </si>
  <si>
    <t>541 U.S. 193</t>
  </si>
  <si>
    <t>105 Stat. 646</t>
  </si>
  <si>
    <t>102-137</t>
  </si>
  <si>
    <t>Cutter v. Wilkinson</t>
  </si>
  <si>
    <t>544 U.S. 709</t>
  </si>
  <si>
    <t>114 Stat. 804</t>
  </si>
  <si>
    <t>106-274</t>
  </si>
  <si>
    <t>Gonzales v. Raich</t>
  </si>
  <si>
    <t>545 U.S. 1</t>
  </si>
  <si>
    <t>84 Stat. 1242</t>
  </si>
  <si>
    <t>Johanns v. Livestock Marketing Association</t>
  </si>
  <si>
    <t>544 U.S. 550</t>
  </si>
  <si>
    <t>99 Stat. 1597</t>
  </si>
  <si>
    <t>99-417</t>
  </si>
  <si>
    <t>Central Virginia Community College v. Katz</t>
  </si>
  <si>
    <t>92 Stat. 2549</t>
  </si>
  <si>
    <t>95-598</t>
  </si>
  <si>
    <t>Rumsfeld v. Forum for Academic and Institutional Rights, Inc.</t>
  </si>
  <si>
    <t>118 Stat. 1912</t>
  </si>
  <si>
    <t>108-375</t>
  </si>
  <si>
    <t>United States v. Georgia</t>
  </si>
  <si>
    <t>546 U.S. 151</t>
  </si>
  <si>
    <t>Americans with Disabilities Act</t>
  </si>
  <si>
    <t>104 Stat. 337</t>
  </si>
  <si>
    <t>Gonzales v. Carhart</t>
  </si>
  <si>
    <t>550 U.S. 124</t>
  </si>
  <si>
    <t>Partial-Birth Abortion Ban Act</t>
  </si>
  <si>
    <t>117 Stat. 1201</t>
  </si>
  <si>
    <t>108-105</t>
  </si>
  <si>
    <t>Watters v. Wachovia Bank</t>
  </si>
  <si>
    <t>550 U.S. 1</t>
  </si>
  <si>
    <t>Financial Services Modernization Act</t>
  </si>
  <si>
    <t>113 Stat. 1378</t>
  </si>
  <si>
    <t>106-102</t>
  </si>
  <si>
    <t>United States v. Williams</t>
  </si>
  <si>
    <t>553 U.S. 285</t>
  </si>
  <si>
    <t>Prosecutorial Remedies and Other Tools to end the Exploitation of Children Today Act</t>
  </si>
  <si>
    <t>117 Stat. 650</t>
  </si>
  <si>
    <t>108-21</t>
  </si>
  <si>
    <t>Holder v. Humanitarian Law Project</t>
  </si>
  <si>
    <t>561 U.S. 1</t>
  </si>
  <si>
    <t>Antiterrorism and Effective Death Penalty Act</t>
  </si>
  <si>
    <t>110 Stat. 1214</t>
  </si>
  <si>
    <t>Milavetz, Gallop &amp; Milavetz v. United States</t>
  </si>
  <si>
    <t>559 U.S. 229</t>
  </si>
  <si>
    <t>Bankruptcy Abuse Prevention and Consumer Protection Act</t>
  </si>
  <si>
    <t>119 Stat. 23</t>
  </si>
  <si>
    <t>109-8</t>
  </si>
  <si>
    <t>Skilling v. United States</t>
  </si>
  <si>
    <t>561 U.S. 358</t>
  </si>
  <si>
    <t>Anti-Drug Abuse Act</t>
  </si>
  <si>
    <t>102 Stat. 4508</t>
  </si>
  <si>
    <t>United States v. Comstock</t>
  </si>
  <si>
    <t>560 U.S. 126</t>
  </si>
  <si>
    <t>Adam Walsh Child Protection and Safety Act</t>
  </si>
  <si>
    <t>120 Stat. 610</t>
  </si>
  <si>
    <t>109-248</t>
  </si>
  <si>
    <t>Virginia Office for Protection and Advocacy v. Stewart</t>
  </si>
  <si>
    <t>Development Disabilities Assistance and Bill of Rights Act</t>
  </si>
  <si>
    <t>114 Stat. 1677</t>
  </si>
  <si>
    <t>106-402</t>
  </si>
  <si>
    <t>United States v. Kebodeaux</t>
  </si>
  <si>
    <t>Sex Offender Registration and Notification Act</t>
  </si>
  <si>
    <t>120 Stat. 590</t>
  </si>
  <si>
    <t>Kerry v. Din</t>
  </si>
  <si>
    <t>135 S.Ct. 44</t>
  </si>
  <si>
    <t>Immigration Act of 1990</t>
  </si>
  <si>
    <t>104 Stat. 4978</t>
  </si>
  <si>
    <t>101-649</t>
  </si>
  <si>
    <t>Wellness International Network, Limited v. Sharif</t>
  </si>
  <si>
    <t>135 S.Ct. 1932</t>
  </si>
  <si>
    <t>Bankruptcy Amendments and Federal Judgeship Act</t>
  </si>
  <si>
    <t>98 Stat. 340</t>
  </si>
  <si>
    <t>98-353</t>
  </si>
  <si>
    <t>Bank Markazi v. Peterson</t>
  </si>
  <si>
    <t>136 S.Ct. 1310</t>
  </si>
  <si>
    <t>Iran Threat Reduction and Syria Human Rights Act</t>
  </si>
  <si>
    <t>126 Stat. 1214</t>
  </si>
  <si>
    <t>112-158</t>
  </si>
  <si>
    <t>United States v. Bryant</t>
  </si>
  <si>
    <t>136 S.Ct. 1954</t>
  </si>
  <si>
    <t>Violence Against Women Act Reauthorization</t>
  </si>
  <si>
    <t>119 Stat. 3077</t>
  </si>
  <si>
    <t>109-162</t>
  </si>
  <si>
    <t>Beckles v. United States</t>
  </si>
  <si>
    <t>137 S.Ct. 886</t>
  </si>
  <si>
    <t>Sentencing Reform Act</t>
  </si>
  <si>
    <t>United States v. Yale Todd</t>
  </si>
  <si>
    <t>*54 U.S. 40, 52</t>
  </si>
  <si>
    <t>2/17/1794</t>
  </si>
  <si>
    <t>struck down on face</t>
  </si>
  <si>
    <t>Invalid Pensions Act</t>
  </si>
  <si>
    <t>1 Stat. 243</t>
  </si>
  <si>
    <t>2-9</t>
  </si>
  <si>
    <t>3/19/1792</t>
  </si>
  <si>
    <t>Mossman v. Higginson</t>
  </si>
  <si>
    <t>004 U.S. 12</t>
  </si>
  <si>
    <t>8/11/1800</t>
  </si>
  <si>
    <t>struck down as applied</t>
  </si>
  <si>
    <t>Marbury v. Madison</t>
  </si>
  <si>
    <t>005 U.S. 137</t>
  </si>
  <si>
    <t>2/24/1803</t>
  </si>
  <si>
    <t>United States v. Cantril</t>
  </si>
  <si>
    <t>008 U.S. 167</t>
  </si>
  <si>
    <t>2/28/1807</t>
  </si>
  <si>
    <t>Bank Frauds Act</t>
  </si>
  <si>
    <t>1 Stat. 573</t>
  </si>
  <si>
    <t>5-48</t>
  </si>
  <si>
    <t>6/27/1798</t>
  </si>
  <si>
    <t>Hodgson v. Bowerbank</t>
  </si>
  <si>
    <t>009 U.S. 303</t>
  </si>
  <si>
    <t>2/1/1809</t>
  </si>
  <si>
    <t>Jackson v. Twentymen</t>
  </si>
  <si>
    <t>027 U.S. 136</t>
  </si>
  <si>
    <t>2/6/1829</t>
  </si>
  <si>
    <t>Reynolds v. M'Arthur</t>
  </si>
  <si>
    <t>027 U.S. 417</t>
  </si>
  <si>
    <t>2/4/1829</t>
  </si>
  <si>
    <t>Virginia Military Land Warrants Act</t>
  </si>
  <si>
    <t>3 Stat. 423</t>
  </si>
  <si>
    <t>4/11/1818</t>
  </si>
  <si>
    <t>Parsons v. Bedford</t>
  </si>
  <si>
    <t>028 U.S. 433</t>
  </si>
  <si>
    <t>2/9/1830</t>
  </si>
  <si>
    <t>Louisiana Court Procedure Act</t>
  </si>
  <si>
    <t>4 Stat. 62</t>
  </si>
  <si>
    <t>5/26/1824</t>
  </si>
  <si>
    <t>United States v. Percheman</t>
  </si>
  <si>
    <t>032 U.S. 051</t>
  </si>
  <si>
    <t>2/14/1833</t>
  </si>
  <si>
    <t>Florida Land Titles Law</t>
  </si>
  <si>
    <t>3 Stat. 709</t>
  </si>
  <si>
    <t>5/8/1822</t>
  </si>
  <si>
    <t>United States v. Phelps</t>
  </si>
  <si>
    <t>033 U.S. 700</t>
  </si>
  <si>
    <t>3/19/1834</t>
  </si>
  <si>
    <t>Duties Act of 1799</t>
  </si>
  <si>
    <t>1 Stat. 627</t>
  </si>
  <si>
    <t>New Orleans v. United States</t>
  </si>
  <si>
    <t>035 U.S. 662</t>
  </si>
  <si>
    <t>2/9/1836</t>
  </si>
  <si>
    <t>2 Stat. 701</t>
  </si>
  <si>
    <t>4/8/1812</t>
  </si>
  <si>
    <t>Pollard v. Hagan</t>
  </si>
  <si>
    <t>044 U.S. 212</t>
  </si>
  <si>
    <t>2/18/1845</t>
  </si>
  <si>
    <t>6 Stat. 680</t>
  </si>
  <si>
    <t>050 U.S. 235</t>
  </si>
  <si>
    <t>4/30/1850</t>
  </si>
  <si>
    <t>9 Stat. 130</t>
  </si>
  <si>
    <t>2/22/1847</t>
  </si>
  <si>
    <t>Lytle, et al. v. Arkansas, et al.</t>
  </si>
  <si>
    <t>050 U.S. 314</t>
  </si>
  <si>
    <t>5/17/1850</t>
  </si>
  <si>
    <t>McNulty v. Batty, et al.</t>
  </si>
  <si>
    <t>051 U.S. 72</t>
  </si>
  <si>
    <t>1/7/1851</t>
  </si>
  <si>
    <t>9 stat. 128</t>
  </si>
  <si>
    <t>Veazie v. Moor</t>
  </si>
  <si>
    <t>055 U.S. 568</t>
  </si>
  <si>
    <t>3/7/1853</t>
  </si>
  <si>
    <t>Scott v. Sandford</t>
  </si>
  <si>
    <t>060 U.S. 393</t>
  </si>
  <si>
    <t>3/5/1857</t>
  </si>
  <si>
    <t>Missouri Compromise</t>
  </si>
  <si>
    <t>3 Stat. 545</t>
  </si>
  <si>
    <t>3/6/1820</t>
  </si>
  <si>
    <t>People's Ferry Co. of Boston v. Beers</t>
  </si>
  <si>
    <t>061 U.S. 393</t>
  </si>
  <si>
    <t>5/4/1858</t>
  </si>
  <si>
    <t>Withers v. Buckley</t>
  </si>
  <si>
    <t>061 U.S. 84</t>
  </si>
  <si>
    <t>1/11/1858</t>
  </si>
  <si>
    <t>3 Stat. 349</t>
  </si>
  <si>
    <t>3/1/1817</t>
  </si>
  <si>
    <t>Kentucky v. Dennison</t>
  </si>
  <si>
    <t>065 U.S. 66</t>
  </si>
  <si>
    <t>3/14/1861</t>
  </si>
  <si>
    <t>Gordon v. United States</t>
  </si>
  <si>
    <t>069 U.S. 561</t>
  </si>
  <si>
    <t>struck down as face</t>
  </si>
  <si>
    <t>Court of Claims Amendment Act</t>
  </si>
  <si>
    <t>12 Stat. 765</t>
  </si>
  <si>
    <t>Ex Parte Garland</t>
  </si>
  <si>
    <t>071 U.S. 333</t>
  </si>
  <si>
    <t>1/14/1867</t>
  </si>
  <si>
    <t>Attorney Test Oath Act</t>
  </si>
  <si>
    <t>13 Stat. 424</t>
  </si>
  <si>
    <t>1/24/1865</t>
  </si>
  <si>
    <t>Reichart v. Felps</t>
  </si>
  <si>
    <t>073 U.S. 160</t>
  </si>
  <si>
    <t>Kaskaskia Land Title Revision Act</t>
  </si>
  <si>
    <t>2 Stat. 677</t>
  </si>
  <si>
    <t>2/20/1812</t>
  </si>
  <si>
    <t>The Alicia</t>
  </si>
  <si>
    <t>074 U.S. 571</t>
  </si>
  <si>
    <t>1/25/1869</t>
  </si>
  <si>
    <t>Prize Proceedings Act</t>
  </si>
  <si>
    <t>13 Stat. 806</t>
  </si>
  <si>
    <t>Bennett v. Hunter</t>
  </si>
  <si>
    <t>076 U.S. 326</t>
  </si>
  <si>
    <t>Tax Collection Act of 1862</t>
  </si>
  <si>
    <t>Hepburn v. Griswold</t>
  </si>
  <si>
    <t>075 U.S. 603</t>
  </si>
  <si>
    <t>1/24/1870</t>
  </si>
  <si>
    <t>Justices v. Murray</t>
  </si>
  <si>
    <t>076 U.S. 274</t>
  </si>
  <si>
    <t>3/14/1870</t>
  </si>
  <si>
    <t>12 Stat. 755</t>
  </si>
  <si>
    <t>United States v. Dewitt</t>
  </si>
  <si>
    <t>076 U.S. 041</t>
  </si>
  <si>
    <t>2/21/1870</t>
  </si>
  <si>
    <t>Internal Revenue Act of 1867</t>
  </si>
  <si>
    <t>Collector v. Day</t>
  </si>
  <si>
    <t>078 U.S. 113</t>
  </si>
  <si>
    <t>4/3/1871</t>
  </si>
  <si>
    <t>Johnson v. Towsley</t>
  </si>
  <si>
    <t>080 U.S. 072</t>
  </si>
  <si>
    <t>12/11/1871</t>
  </si>
  <si>
    <t>Distribution and Pre-emption Act</t>
  </si>
  <si>
    <t>5 Stat. 453</t>
  </si>
  <si>
    <t>9/4/1841</t>
  </si>
  <si>
    <t>United States v. Klein</t>
  </si>
  <si>
    <t>080 U.S. 128</t>
  </si>
  <si>
    <t>1/29/1872</t>
  </si>
  <si>
    <t>Appropriations Act of 1870</t>
  </si>
  <si>
    <t>16 Stat. 230</t>
  </si>
  <si>
    <t>7/12/1870</t>
  </si>
  <si>
    <t>United States v. Railroad Company</t>
  </si>
  <si>
    <t>084 U.S. 322</t>
  </si>
  <si>
    <t>4/7/1873</t>
  </si>
  <si>
    <t>United States v. Cruikshank</t>
  </si>
  <si>
    <t>092 U.S. 542</t>
  </si>
  <si>
    <t>United States v. Reese</t>
  </si>
  <si>
    <t>092 U.S. 214</t>
  </si>
  <si>
    <t>16 Stat. 140</t>
  </si>
  <si>
    <t>Beecher v. Wetherby</t>
  </si>
  <si>
    <t>095 U.S. 517</t>
  </si>
  <si>
    <t>11/19/1877</t>
  </si>
  <si>
    <t>Relief of Stockbridge and Munsee Tribes</t>
  </si>
  <si>
    <t>2/6/1871</t>
  </si>
  <si>
    <t>Burgess v. Salmon</t>
  </si>
  <si>
    <t>097 U.S. 381</t>
  </si>
  <si>
    <t>12/23/1878</t>
  </si>
  <si>
    <t>18 Stat. 339</t>
  </si>
  <si>
    <t>United States v. Fox</t>
  </si>
  <si>
    <t>095 U.S. 670</t>
  </si>
  <si>
    <t>1/7/1878</t>
  </si>
  <si>
    <t>Bankruptcy Act of 1867</t>
  </si>
  <si>
    <t>United States v. Simmons</t>
  </si>
  <si>
    <t>096 U.S. 360</t>
  </si>
  <si>
    <t>4/22/1878</t>
  </si>
  <si>
    <t>Trade-Mark Cases</t>
  </si>
  <si>
    <t>100 U.S. 082</t>
  </si>
  <si>
    <t>11/17/1879</t>
  </si>
  <si>
    <t>16 Stat. 198</t>
  </si>
  <si>
    <t>7/8/1870</t>
  </si>
  <si>
    <t>United States v. Harris</t>
  </si>
  <si>
    <t>106 U.S. 629</t>
  </si>
  <si>
    <t>1/22/1883</t>
  </si>
  <si>
    <t>Civil Rights Act of 1871</t>
  </si>
  <si>
    <t>United States v. Stanley</t>
  </si>
  <si>
    <t>109 U.S. 3</t>
  </si>
  <si>
    <t>10/15/1883</t>
  </si>
  <si>
    <t>United States v. Great Fall Manufacturing Co.</t>
  </si>
  <si>
    <t>112 U.S. 645</t>
  </si>
  <si>
    <t>12/22/1884</t>
  </si>
  <si>
    <t>11 Stat. 263</t>
  </si>
  <si>
    <t>4/8/1858</t>
  </si>
  <si>
    <t>Boyd v. United States</t>
  </si>
  <si>
    <t>116 U.S. 616</t>
  </si>
  <si>
    <t>2/1/1886</t>
  </si>
  <si>
    <t>Anti-Moiety Act (Informers)</t>
  </si>
  <si>
    <t>6/22/1874</t>
  </si>
  <si>
    <t>Baldwin v. Franks</t>
  </si>
  <si>
    <t>120 U.S. 678</t>
  </si>
  <si>
    <t>Callan v. Wilson</t>
  </si>
  <si>
    <t>127 U.S. 540</t>
  </si>
  <si>
    <t>15 Stat. 76</t>
  </si>
  <si>
    <t>Counselman v. Hitchcock</t>
  </si>
  <si>
    <t>142 U.S. 547</t>
  </si>
  <si>
    <t>1/11/1892</t>
  </si>
  <si>
    <t>Interstate Commerce Act, Interstate Commerce Regulations</t>
  </si>
  <si>
    <t>3/2/1889</t>
  </si>
  <si>
    <t>Monongahela Navigation v. United States</t>
  </si>
  <si>
    <t>148 U.S. 312</t>
  </si>
  <si>
    <t>3/27/1893</t>
  </si>
  <si>
    <t>25 Stat. 400</t>
  </si>
  <si>
    <t>Shively v. Bowlby</t>
  </si>
  <si>
    <t>152 U.S. 1</t>
  </si>
  <si>
    <t>3/5/1894</t>
  </si>
  <si>
    <t>9 Stat. 496</t>
  </si>
  <si>
    <t>9/27/1850</t>
  </si>
  <si>
    <t>Pollock v. Farmers' Loan &amp; Trust Company</t>
  </si>
  <si>
    <t>157 U.S. 429</t>
  </si>
  <si>
    <t>4/8/1895</t>
  </si>
  <si>
    <t>Tariff Act of 1894</t>
  </si>
  <si>
    <t>28 Stat. 509</t>
  </si>
  <si>
    <t>8/27/1894</t>
  </si>
  <si>
    <t>158 U.S. 601</t>
  </si>
  <si>
    <t>5/20/1895</t>
  </si>
  <si>
    <t>United States v. E.C. Knight</t>
  </si>
  <si>
    <t>156 U.S. 1</t>
  </si>
  <si>
    <t>1/21/1895</t>
  </si>
  <si>
    <t>Wong Wing v. United States</t>
  </si>
  <si>
    <t>163 U.S. 228</t>
  </si>
  <si>
    <t>5/18/1896</t>
  </si>
  <si>
    <t>Hopkins v. United States</t>
  </si>
  <si>
    <t>171 U.S. 578</t>
  </si>
  <si>
    <t>Jones v. Meehan</t>
  </si>
  <si>
    <t>175 U.S. 1</t>
  </si>
  <si>
    <t>10/30/1899</t>
  </si>
  <si>
    <t>Joint Resolution Authorizing the Secretary of the Interior to Approve a Certain Lease</t>
  </si>
  <si>
    <t>28 Stat. 263</t>
  </si>
  <si>
    <t>8/7/1894</t>
  </si>
  <si>
    <t>Kirby v. United States</t>
  </si>
  <si>
    <t>174 U.S. 47</t>
  </si>
  <si>
    <t>Larceny of United States Property Act</t>
  </si>
  <si>
    <t>18 Stat. 479</t>
  </si>
  <si>
    <t>Fairbank v. United States</t>
  </si>
  <si>
    <t>181 U.S. 283</t>
  </si>
  <si>
    <t>30 Stat. 448</t>
  </si>
  <si>
    <t>James v. Bowman</t>
  </si>
  <si>
    <t>190 U.S. 127</t>
  </si>
  <si>
    <t>In Re Heff</t>
  </si>
  <si>
    <t>197 U.S. 488</t>
  </si>
  <si>
    <t>1/30/1897</t>
  </si>
  <si>
    <t>Rassmussen v. United States</t>
  </si>
  <si>
    <t>197 U.S. 516</t>
  </si>
  <si>
    <t>31 Stat. 321</t>
  </si>
  <si>
    <t>Hodges v. United States</t>
  </si>
  <si>
    <t>203 U.S. 1</t>
  </si>
  <si>
    <t>Martin v. District of Columbia</t>
  </si>
  <si>
    <t>205 U.S. 135</t>
  </si>
  <si>
    <t>Alleys in the District of Columbia; Streets in the District of Columbia</t>
  </si>
  <si>
    <t>8/24/1894</t>
  </si>
  <si>
    <t>Adair v. United States</t>
  </si>
  <si>
    <t>208 U.S. 161</t>
  </si>
  <si>
    <t>Erdman Act</t>
  </si>
  <si>
    <t>30 Stat. 324</t>
  </si>
  <si>
    <t>6/1/1898</t>
  </si>
  <si>
    <t>Howard v. Illinois Central Railroad Company and the Yazoo &amp; Mississippi Valley Railroad Company (Employers' Liability Cases)</t>
  </si>
  <si>
    <t>207 U.S. 463</t>
  </si>
  <si>
    <t>Keller v. United States</t>
  </si>
  <si>
    <t>213 U.S. 138</t>
  </si>
  <si>
    <t>United States v. Evans</t>
  </si>
  <si>
    <t>213 U.S. 297</t>
  </si>
  <si>
    <t>District of Columbia Code</t>
  </si>
  <si>
    <t>31 Stat. 1189</t>
  </si>
  <si>
    <t>Coyle v. Smith</t>
  </si>
  <si>
    <t>221 U.S. 559</t>
  </si>
  <si>
    <t>Oklahomo Statehood Enabling Act</t>
  </si>
  <si>
    <t>34 stat. 267</t>
  </si>
  <si>
    <t>59-234</t>
  </si>
  <si>
    <t>Muskrat v. United States</t>
  </si>
  <si>
    <t>219 U.S. 346</t>
  </si>
  <si>
    <t>Indian Service Appropriations</t>
  </si>
  <si>
    <t>34 stat 1017</t>
  </si>
  <si>
    <t>59-154</t>
  </si>
  <si>
    <t>Choat v. Trapp</t>
  </si>
  <si>
    <t>224 U.S. 665</t>
  </si>
  <si>
    <t>Five Civilized Tribes Restrictions Removal Act</t>
  </si>
  <si>
    <t>35 Stat. 312</t>
  </si>
  <si>
    <t>60-130</t>
  </si>
  <si>
    <t>Butts v. Merchants &amp; Miners Transportation Association</t>
  </si>
  <si>
    <t>230 U.S. 126</t>
  </si>
  <si>
    <t>Holt v. Henley</t>
  </si>
  <si>
    <t>232 U.S. 637</t>
  </si>
  <si>
    <t>36 Stat. 838</t>
  </si>
  <si>
    <t>61-294</t>
  </si>
  <si>
    <t>Richards v. Washington Terminal Co.</t>
  </si>
  <si>
    <t>233 U.S. 546</t>
  </si>
  <si>
    <t>District of Columbia Act (involving railroads)</t>
  </si>
  <si>
    <t>Thames &amp; Mersey Marine Insurance Company v. United States</t>
  </si>
  <si>
    <t>237 U.S. 19</t>
  </si>
  <si>
    <t>United States v. Hvoslef</t>
  </si>
  <si>
    <t>237 U.S. 1</t>
  </si>
  <si>
    <t>Hammer v. Dagenheart</t>
  </si>
  <si>
    <t>247 U.S. 251</t>
  </si>
  <si>
    <t>Child Labor Law (Keating-Owen Act)</t>
  </si>
  <si>
    <t>39 Stat 675</t>
  </si>
  <si>
    <t>64-249</t>
  </si>
  <si>
    <t>Eisner v. Macomber</t>
  </si>
  <si>
    <t>252 U.S. 189</t>
  </si>
  <si>
    <t>Revenue Act of 1916</t>
  </si>
  <si>
    <t>Evans v. Gore</t>
  </si>
  <si>
    <t>253 U.S. 245</t>
  </si>
  <si>
    <t>Knickerbocker Ice Co. v. Stewart</t>
  </si>
  <si>
    <t>253 U.S. 149</t>
  </si>
  <si>
    <t>Judicial Code, State Workmen's Compensation Laws (Johnson Act)</t>
  </si>
  <si>
    <t>40 Stat. 395</t>
  </si>
  <si>
    <t>65-82</t>
  </si>
  <si>
    <t>United States v. Wheeler</t>
  </si>
  <si>
    <t>254 U.S. 281</t>
  </si>
  <si>
    <t>35 Stat. 1088</t>
  </si>
  <si>
    <t>Newberry v. United States</t>
  </si>
  <si>
    <t>256 U.S. 232</t>
  </si>
  <si>
    <t>62-32</t>
  </si>
  <si>
    <t>United States v. L. Cohen Grocery Co.</t>
  </si>
  <si>
    <t>255 U.S. 81</t>
  </si>
  <si>
    <t>Lever Act (Food Control), District of Columbia Rents and Food Act (Ball Act)</t>
  </si>
  <si>
    <t>41 Stat. 298</t>
  </si>
  <si>
    <t>Weeds, Inc. v. United States</t>
  </si>
  <si>
    <t>255 U.S. 109</t>
  </si>
  <si>
    <t>Child Labor Tax Case</t>
  </si>
  <si>
    <t>259 U.S. 20</t>
  </si>
  <si>
    <t>Revenue Act of 1918 (Child Labor Tax Acts)</t>
  </si>
  <si>
    <t>Hill v. Wallace</t>
  </si>
  <si>
    <t>259 U.S. 44</t>
  </si>
  <si>
    <t>Future Trading Act</t>
  </si>
  <si>
    <t>42 Stat. 187</t>
  </si>
  <si>
    <t>67-66</t>
  </si>
  <si>
    <t>Lipke v. Lederer</t>
  </si>
  <si>
    <t>259 U.S. 557</t>
  </si>
  <si>
    <t>Ng Fung Ho v. White</t>
  </si>
  <si>
    <t>259 U.S. 276</t>
  </si>
  <si>
    <t>39 Stat. 874</t>
  </si>
  <si>
    <t>United Mine Workers v. Coronado Coal Co.</t>
  </si>
  <si>
    <t>259 U.S. 344</t>
  </si>
  <si>
    <t>United States v. Moreland</t>
  </si>
  <si>
    <t>258 U.S. 433</t>
  </si>
  <si>
    <t>District of Columbia, Abandonment of Wife or Child</t>
  </si>
  <si>
    <t>59-66</t>
  </si>
  <si>
    <t>A.G. Spalding &amp; Bros. v. Edwards</t>
  </si>
  <si>
    <t>262 U.S. 66</t>
  </si>
  <si>
    <t>40 Stat. 300</t>
  </si>
  <si>
    <t>Adkins v. Children's Hosp.</t>
  </si>
  <si>
    <t>261 U.S. 525</t>
  </si>
  <si>
    <t>District of Columbia Minimum Wage Act</t>
  </si>
  <si>
    <t>40 Stat 960</t>
  </si>
  <si>
    <t>65-215</t>
  </si>
  <si>
    <t>Keller v. Potomac Electric Power Co.</t>
  </si>
  <si>
    <t>261 U.S. 428</t>
  </si>
  <si>
    <t>Chastleton Corp. v. Sinclair</t>
  </si>
  <si>
    <t>264 U.S. 543</t>
  </si>
  <si>
    <t>District of Columbia Rents Act</t>
  </si>
  <si>
    <t>42 stat 543</t>
  </si>
  <si>
    <t>67-222</t>
  </si>
  <si>
    <t>FTC v. American Tobacco Co.</t>
  </si>
  <si>
    <t>264 U.S. 298</t>
  </si>
  <si>
    <t>Federal Trade Commission Act</t>
  </si>
  <si>
    <t>Washington v. W.C. Dawson &amp; Co.</t>
  </si>
  <si>
    <t>264 U.S. 219</t>
  </si>
  <si>
    <t>Workmen's Compensation Jurisdiction Act</t>
  </si>
  <si>
    <t>Linder v. United States</t>
  </si>
  <si>
    <t>268 U.S. 5</t>
  </si>
  <si>
    <t>Miles v. Graham</t>
  </si>
  <si>
    <t>268 U.S. 501</t>
  </si>
  <si>
    <t>Myers v. United States</t>
  </si>
  <si>
    <t>272 U.S. 52</t>
  </si>
  <si>
    <t>Postal Service Appropriations Act</t>
  </si>
  <si>
    <t>19 Stat. 78</t>
  </si>
  <si>
    <t>Trusler v. Crooks</t>
  </si>
  <si>
    <t>269 U.S. 475</t>
  </si>
  <si>
    <t>United States v. Holt State Bank, et al.</t>
  </si>
  <si>
    <t>270 U.S. 49</t>
  </si>
  <si>
    <t>25 Stat. 642</t>
  </si>
  <si>
    <t>1/14/1889</t>
  </si>
  <si>
    <t>Blodgett v. Holden</t>
  </si>
  <si>
    <t>275 U.S. 142</t>
  </si>
  <si>
    <t>Revenue Act of 1924 (Gift Tax Acts)</t>
  </si>
  <si>
    <t>Nichols v. Coolidge</t>
  </si>
  <si>
    <t>274 U.S. 531</t>
  </si>
  <si>
    <t>National Life Insurance Co. v. United States</t>
  </si>
  <si>
    <t>277 U.S. 508</t>
  </si>
  <si>
    <t>Richmond Screw Anchor Co. v. United States</t>
  </si>
  <si>
    <t>275 U.S. 331</t>
  </si>
  <si>
    <t>Untermyer v. Anderson</t>
  </si>
  <si>
    <t>276 U.S. 440</t>
  </si>
  <si>
    <t>Pocket Veto Cases</t>
  </si>
  <si>
    <t>279 U.S. 655</t>
  </si>
  <si>
    <t>Indian Claims Act (Senate Bill 3185)</t>
  </si>
  <si>
    <t>44 Stat. 555</t>
  </si>
  <si>
    <t>69-228</t>
  </si>
  <si>
    <t>Ann Arbor Railroad Company v. United States</t>
  </si>
  <si>
    <t>281 U.S. 658</t>
  </si>
  <si>
    <t>43 Stat. 801</t>
  </si>
  <si>
    <t>68-352</t>
  </si>
  <si>
    <t>Chicago, Rock Island, and Pacific Railway Co. v. United States</t>
  </si>
  <si>
    <t>284 U.S. 80</t>
  </si>
  <si>
    <t>Indian Motorcycle Co. v. United States</t>
  </si>
  <si>
    <t>283 U.S. 570</t>
  </si>
  <si>
    <t>Russian Volunteer Fleet v. United States</t>
  </si>
  <si>
    <t>282 U.S. 481</t>
  </si>
  <si>
    <t>40 Stat. 183</t>
  </si>
  <si>
    <t>Atchison, Topeka &amp; Sante Fe Railroad Co. v. United States</t>
  </si>
  <si>
    <t>284 U.S. 248</t>
  </si>
  <si>
    <t>Burnet v. Coronado Oil &amp; Gas Co.</t>
  </si>
  <si>
    <t>285 U.S. 393</t>
  </si>
  <si>
    <t>Colorado v. Symes</t>
  </si>
  <si>
    <t>286 U.S. 510</t>
  </si>
  <si>
    <t>39 Stat. 532</t>
  </si>
  <si>
    <t>64-231</t>
  </si>
  <si>
    <t>Grau v. United States</t>
  </si>
  <si>
    <t>287 U.S. 124</t>
  </si>
  <si>
    <t>Heiner v. Donnan</t>
  </si>
  <si>
    <t>285 U.S. 312</t>
  </si>
  <si>
    <t>Sgro v. United States</t>
  </si>
  <si>
    <t>287 U.S. 206</t>
  </si>
  <si>
    <t>41 Stat. 315</t>
  </si>
  <si>
    <t xml:space="preserve">Interstate Commerce Commission v. Oregon-Washington Railroad &amp; Navigation Co. </t>
  </si>
  <si>
    <t>288 U.S. 14</t>
  </si>
  <si>
    <t>Nathanson v. United States</t>
  </si>
  <si>
    <t>290 U.S. 41</t>
  </si>
  <si>
    <t>46 Stat. 752</t>
  </si>
  <si>
    <t>Booth v. United States</t>
  </si>
  <si>
    <t>291 U.S. 339</t>
  </si>
  <si>
    <t>48 Stat. 307</t>
  </si>
  <si>
    <t>73-78</t>
  </si>
  <si>
    <t>Lynch v. United States</t>
  </si>
  <si>
    <t>292 U.S. 571</t>
  </si>
  <si>
    <t>48 Stat. 9</t>
  </si>
  <si>
    <t>73-2</t>
  </si>
  <si>
    <t>United States v. Chambers</t>
  </si>
  <si>
    <t>291 U.S. 217</t>
  </si>
  <si>
    <t>A.L.A. Schechter Poultry Corp. v. United States</t>
  </si>
  <si>
    <t>295 U.S. 495</t>
  </si>
  <si>
    <t>48 Stat. 196</t>
  </si>
  <si>
    <t>73-67</t>
  </si>
  <si>
    <t>Becker Steel Co. v. Cummings</t>
  </si>
  <si>
    <t>296 U.S. 74</t>
  </si>
  <si>
    <t>42 Stat. 1511</t>
  </si>
  <si>
    <t>67-536</t>
  </si>
  <si>
    <t>Helvering v. Helmholz</t>
  </si>
  <si>
    <t>296 U.S. 93</t>
  </si>
  <si>
    <t>Hopkins Federal Savings &amp; Loan Association v. Cleary</t>
  </si>
  <si>
    <t>296 U.S. 315</t>
  </si>
  <si>
    <t>49 Stat. 297</t>
  </si>
  <si>
    <t>74-76</t>
  </si>
  <si>
    <t>Louisvile Joint Stock Land Bank v. Radford</t>
  </si>
  <si>
    <t>295 U.S. 555</t>
  </si>
  <si>
    <t>48 Stat. 1289</t>
  </si>
  <si>
    <t>Panama Refining Co. v. Ryan</t>
  </si>
  <si>
    <t>293 U.S. 388</t>
  </si>
  <si>
    <t>National Industrial Recovery Act</t>
  </si>
  <si>
    <t>48 Stat. 200</t>
  </si>
  <si>
    <t>Perry v. United States</t>
  </si>
  <si>
    <t>294 U.S. 330</t>
  </si>
  <si>
    <t>Railroad Retirement Board v. Alton Railroad Co.</t>
  </si>
  <si>
    <t>295 U.S. 330</t>
  </si>
  <si>
    <t>Railroad Retirement Act</t>
  </si>
  <si>
    <t>48 Stat. 1283</t>
  </si>
  <si>
    <t>73-485</t>
  </si>
  <si>
    <t>Stewart v. Keyes</t>
  </si>
  <si>
    <t>295 U.S. 403</t>
  </si>
  <si>
    <t>44 Stat. 239</t>
  </si>
  <si>
    <t>69-98</t>
  </si>
  <si>
    <t>United States v. Constantine</t>
  </si>
  <si>
    <t>296 U.S. 287</t>
  </si>
  <si>
    <t>43 Stat. 328</t>
  </si>
  <si>
    <t>Ashton v. Cameron County Water Improvement District</t>
  </si>
  <si>
    <t>298 U.S. 513</t>
  </si>
  <si>
    <t>48 Stat. 798</t>
  </si>
  <si>
    <t>73-251</t>
  </si>
  <si>
    <t>298 U.S. 349</t>
  </si>
  <si>
    <t>Carter v. Carter Coal Co.</t>
  </si>
  <si>
    <t>298 U.S. 238</t>
  </si>
  <si>
    <t>49 Stat. 991</t>
  </si>
  <si>
    <t>Rickert Rice Mills, Inc. v. Fontenot</t>
  </si>
  <si>
    <t>297 U.S. 110</t>
  </si>
  <si>
    <t>49 Stat. 750</t>
  </si>
  <si>
    <t>United States v. Butler</t>
  </si>
  <si>
    <t>297 U.S. 1</t>
  </si>
  <si>
    <t>48 Stat. 31</t>
  </si>
  <si>
    <t>73-10</t>
  </si>
  <si>
    <t>NLRB v. Fansteel Metallurgical Corp.</t>
  </si>
  <si>
    <t>306 U.S. 240</t>
  </si>
  <si>
    <t>Schneiderman v. United States</t>
  </si>
  <si>
    <t>320 U.S. 118</t>
  </si>
  <si>
    <t>34 Stat. 598</t>
  </si>
  <si>
    <t>Tot v. United States</t>
  </si>
  <si>
    <t>319 U.S. 463</t>
  </si>
  <si>
    <t>52 Stat. 1251</t>
  </si>
  <si>
    <t>75-785</t>
  </si>
  <si>
    <t>Ex Parte Mitsuye Endo</t>
  </si>
  <si>
    <t>323 U.S. 283</t>
  </si>
  <si>
    <t>Steele v. Louisville &amp; Nashville Railroad Co.</t>
  </si>
  <si>
    <t>323 U.S. 192</t>
  </si>
  <si>
    <t>United States v. Ballard</t>
  </si>
  <si>
    <t>322 U.S. 78</t>
  </si>
  <si>
    <t>35 Stat. 1130</t>
  </si>
  <si>
    <t>Bridges v. Wixon</t>
  </si>
  <si>
    <t>326 U.S. 135</t>
  </si>
  <si>
    <t>54 Stat. 673</t>
  </si>
  <si>
    <t>Duncan v. Kahanamoku</t>
  </si>
  <si>
    <t>327 U.S. 304</t>
  </si>
  <si>
    <t>31 Stat. 153</t>
  </si>
  <si>
    <t>Hannegan v. Esquire</t>
  </si>
  <si>
    <t>327 U.S. 146</t>
  </si>
  <si>
    <t>48 Stat. 928</t>
  </si>
  <si>
    <t>73-303</t>
  </si>
  <si>
    <t>United States v. Causby</t>
  </si>
  <si>
    <t>328 U.S. 256</t>
  </si>
  <si>
    <t>52 Stat. 973</t>
  </si>
  <si>
    <t>75-706</t>
  </si>
  <si>
    <t>United States v. Lovett</t>
  </si>
  <si>
    <t>328 U.S. 303</t>
  </si>
  <si>
    <t>57 Stat. 450</t>
  </si>
  <si>
    <t>78-132</t>
  </si>
  <si>
    <t>United States v. Congress of Industrial Organizations</t>
  </si>
  <si>
    <t>335 U.S. 106</t>
  </si>
  <si>
    <t>61 Stat. 159</t>
  </si>
  <si>
    <t>Wong Yang Sung v. McGrath</t>
  </si>
  <si>
    <t>339 U.S. 33</t>
  </si>
  <si>
    <t>39 Stat. 885</t>
  </si>
  <si>
    <t>Collins v. Handyman</t>
  </si>
  <si>
    <t>341 U.S. 651</t>
  </si>
  <si>
    <t>Joint Anti-Fascist Refugee Committee v. McGrath</t>
  </si>
  <si>
    <t>341 U.S. 123</t>
  </si>
  <si>
    <t>53 Stat. 1148</t>
  </si>
  <si>
    <t>Tenney v. Brandhove</t>
  </si>
  <si>
    <t>341 U.S. 367</t>
  </si>
  <si>
    <t>Guessefeldt v. McGrath</t>
  </si>
  <si>
    <t>342 U.S. 308</t>
  </si>
  <si>
    <t>62 Stat. 1246</t>
  </si>
  <si>
    <t>80-896</t>
  </si>
  <si>
    <t>United States v. Cardiff</t>
  </si>
  <si>
    <t>344 U.S. 174</t>
  </si>
  <si>
    <t>52 Stat. 1040</t>
  </si>
  <si>
    <t>Kwong Hai Chew v. Colding</t>
  </si>
  <si>
    <t>344 U.S. 590</t>
  </si>
  <si>
    <t>United States v. Five Gambling Devices</t>
  </si>
  <si>
    <t>346 U.S. 441</t>
  </si>
  <si>
    <t>64 Stat. 1134</t>
  </si>
  <si>
    <t>81-906</t>
  </si>
  <si>
    <t>Bolling v. Sharpe</t>
  </si>
  <si>
    <t>347 U.S. 497</t>
  </si>
  <si>
    <t>18 Stat. 281</t>
  </si>
  <si>
    <t>Association of Westinghouse Salaried Employees v. Westinghouse Electric Corp.</t>
  </si>
  <si>
    <t>348 U.S. 437</t>
  </si>
  <si>
    <t>Emspak v. United States</t>
  </si>
  <si>
    <t>349 U.S. 190</t>
  </si>
  <si>
    <t>Quinn v. United States</t>
  </si>
  <si>
    <t>349 U.S. 155</t>
  </si>
  <si>
    <t>United States ex rel. Toth v. Quarles</t>
  </si>
  <si>
    <t>350 U.S. 11</t>
  </si>
  <si>
    <t>Bernhardt v. Polygraphic Co. of America</t>
  </si>
  <si>
    <t>350 U.S. 198</t>
  </si>
  <si>
    <t>61 Stat. 669</t>
  </si>
  <si>
    <t>80-281</t>
  </si>
  <si>
    <t>Cammer v. United States</t>
  </si>
  <si>
    <t>350 U.S. 399</t>
  </si>
  <si>
    <t>Reid v. Covert</t>
  </si>
  <si>
    <t>354 U.S. 1</t>
  </si>
  <si>
    <t>United States v. Witkovich</t>
  </si>
  <si>
    <t>353 U.S. 194</t>
  </si>
  <si>
    <t>Watkins v. United States</t>
  </si>
  <si>
    <t>354 U.S. 178</t>
  </si>
  <si>
    <t>60 Stat. 828</t>
  </si>
  <si>
    <t>Yates v. United States</t>
  </si>
  <si>
    <t>354 U.S. 298</t>
  </si>
  <si>
    <t>Kent v. Dulles</t>
  </si>
  <si>
    <t>357 U.S. 116</t>
  </si>
  <si>
    <t>66 Stat. 190</t>
  </si>
  <si>
    <t>Trop v. Dulles</t>
  </si>
  <si>
    <t>356 U.S. 86</t>
  </si>
  <si>
    <t>58 Stat. 4</t>
  </si>
  <si>
    <t>78-221</t>
  </si>
  <si>
    <t>Lee v. Madigan</t>
  </si>
  <si>
    <t>358 U.S. 228</t>
  </si>
  <si>
    <t>Grisham v. Hagan</t>
  </si>
  <si>
    <t>361 U.S. 278</t>
  </si>
  <si>
    <t>Kinsella v. United States</t>
  </si>
  <si>
    <t>361 U.S. 234</t>
  </si>
  <si>
    <t>McElroy v. United States</t>
  </si>
  <si>
    <t>361 U.S. 281</t>
  </si>
  <si>
    <t>Eastern Railroad Presidents Conference v. Noerr Motor Freight Inc.</t>
  </si>
  <si>
    <t>365 U.S. 127</t>
  </si>
  <si>
    <t>International Association of Machinists v. Street</t>
  </si>
  <si>
    <t>367 U.S. 740</t>
  </si>
  <si>
    <t>Travis v. United States</t>
  </si>
  <si>
    <t>364 U.S. 631</t>
  </si>
  <si>
    <t>62 Stat. 862</t>
  </si>
  <si>
    <t>Lynch v. Overholser</t>
  </si>
  <si>
    <t>369 U.S. 705</t>
  </si>
  <si>
    <t>59 Stat. 311</t>
  </si>
  <si>
    <t>79-111</t>
  </si>
  <si>
    <t>Manual Enterprises, Inc. v. Day</t>
  </si>
  <si>
    <t>370 U.S. 478</t>
  </si>
  <si>
    <t>Kennedy v. Mendoza-Martinez</t>
  </si>
  <si>
    <t>372 U.S. 144</t>
  </si>
  <si>
    <t>Aptheker v. Secretary of State</t>
  </si>
  <si>
    <t>378 U.S. 500</t>
  </si>
  <si>
    <t>64 Stat. 1003</t>
  </si>
  <si>
    <t>Schneider v. Rusk</t>
  </si>
  <si>
    <t>377 U.S. 163</t>
  </si>
  <si>
    <t>66 Stat. 269</t>
  </si>
  <si>
    <t>Albertson v. Subversive Activities Control Board</t>
  </si>
  <si>
    <t>382 U.S. 70</t>
  </si>
  <si>
    <t>64 Stat. 994</t>
  </si>
  <si>
    <t>Lamont v. Postmaster General</t>
  </si>
  <si>
    <t>381 U.S. 301</t>
  </si>
  <si>
    <t>76 Stat. 840</t>
  </si>
  <si>
    <t>87-793</t>
  </si>
  <si>
    <t>United States v. Brown</t>
  </si>
  <si>
    <t>381 U.S. 437</t>
  </si>
  <si>
    <t>73 Stat. 536</t>
  </si>
  <si>
    <t>United States v. Romano</t>
  </si>
  <si>
    <t>382 U.S. 136</t>
  </si>
  <si>
    <t>United States v. Johnson</t>
  </si>
  <si>
    <t>383 U.S. 169</t>
  </si>
  <si>
    <t>Afroyim v. Rusk</t>
  </si>
  <si>
    <t>387 U.S. 253</t>
  </si>
  <si>
    <t>66 Stat. 268</t>
  </si>
  <si>
    <t>United States v. Robel</t>
  </si>
  <si>
    <t>389 U.S. 258</t>
  </si>
  <si>
    <t>64 Stat. 992</t>
  </si>
  <si>
    <t>Grosso v. United States</t>
  </si>
  <si>
    <t>390 U.S. 62</t>
  </si>
  <si>
    <t>68A Stat. 527</t>
  </si>
  <si>
    <t>Haynes v. United States</t>
  </si>
  <si>
    <t>390 U.S. 85</t>
  </si>
  <si>
    <t>Marchetti v. United States</t>
  </si>
  <si>
    <t>390 U.S. 39</t>
  </si>
  <si>
    <t>Schneider v. Smith</t>
  </si>
  <si>
    <t>390 U.S. 17</t>
  </si>
  <si>
    <t>64 Stat. 427</t>
  </si>
  <si>
    <t>81-679</t>
  </si>
  <si>
    <t>390 U.S. 570</t>
  </si>
  <si>
    <t>62 Stat. 760</t>
  </si>
  <si>
    <t>Leary v. United States</t>
  </si>
  <si>
    <t>395 U.S. 6</t>
  </si>
  <si>
    <t>70 Stat. 570</t>
  </si>
  <si>
    <t>O'Callahan v. Parker</t>
  </si>
  <si>
    <t>395 U.S. 258</t>
  </si>
  <si>
    <t>Shapiro v. Thompson</t>
  </si>
  <si>
    <t>394 U.S. 618</t>
  </si>
  <si>
    <t>64 Stat. 550</t>
  </si>
  <si>
    <t>Watts v. United States</t>
  </si>
  <si>
    <t>394 U.S. 705</t>
  </si>
  <si>
    <t>62 Stat. 740</t>
  </si>
  <si>
    <t>Oregon v. Mitchell</t>
  </si>
  <si>
    <t>400 U.S. 112</t>
  </si>
  <si>
    <t>84 Stat. 318</t>
  </si>
  <si>
    <t>91-285</t>
  </si>
  <si>
    <t>Schacht v. United States</t>
  </si>
  <si>
    <t>398 U.S. 58</t>
  </si>
  <si>
    <t>Turner v. United States</t>
  </si>
  <si>
    <t>396 U.S. 398</t>
  </si>
  <si>
    <t>Welsh v. United States</t>
  </si>
  <si>
    <t>398 U.S. 333</t>
  </si>
  <si>
    <t>62 Stat. 612</t>
  </si>
  <si>
    <t>Blount v. Rizzi</t>
  </si>
  <si>
    <t>400 U.S. 410</t>
  </si>
  <si>
    <t>82 Stat. 1153</t>
  </si>
  <si>
    <t>90-591</t>
  </si>
  <si>
    <t>Graham v. Richardson</t>
  </si>
  <si>
    <t>403 U.S. 365</t>
  </si>
  <si>
    <t>64 Stat. 556</t>
  </si>
  <si>
    <t>Tilton v. Richardson</t>
  </si>
  <si>
    <t>403 U.S. 672</t>
  </si>
  <si>
    <t>77 Stat. 378</t>
  </si>
  <si>
    <t>88-204</t>
  </si>
  <si>
    <t>United States v. United States Coin &amp; Currency</t>
  </si>
  <si>
    <t>401 U.S. 715</t>
  </si>
  <si>
    <t>68A Stat. 867</t>
  </si>
  <si>
    <t>Chief of Capitol Police v. Jeannette Rankin Brigade</t>
  </si>
  <si>
    <t>409 U.S. 972</t>
  </si>
  <si>
    <t>79-570</t>
  </si>
  <si>
    <t>Flower v. United States</t>
  </si>
  <si>
    <t>407 U.S. 197</t>
  </si>
  <si>
    <t>62 Stat. 765</t>
  </si>
  <si>
    <t>Richardson v. Davis</t>
  </si>
  <si>
    <t>409 U.S. 1069</t>
  </si>
  <si>
    <t>81 Stat. 882</t>
  </si>
  <si>
    <t>Almeida-Sanchez v. United States</t>
  </si>
  <si>
    <t>413 U.S. 266</t>
  </si>
  <si>
    <t>Frontiero v. Richardson</t>
  </si>
  <si>
    <t>411 U.S. 677</t>
  </si>
  <si>
    <t>76 Stat. 469</t>
  </si>
  <si>
    <t>87-649</t>
  </si>
  <si>
    <t>United States Department of Agriculture v. Moreno</t>
  </si>
  <si>
    <t>413 U.S. 528</t>
  </si>
  <si>
    <t>84 Stat. 2048</t>
  </si>
  <si>
    <t>91-671</t>
  </si>
  <si>
    <t>United States Department of Agriculture v. Murry</t>
  </si>
  <si>
    <t>413 U.S. 508</t>
  </si>
  <si>
    <t>84 Stat. 2049</t>
  </si>
  <si>
    <t>Curtis v. Loether</t>
  </si>
  <si>
    <t>415 U.S. 189</t>
  </si>
  <si>
    <t>82 Stat. 88</t>
  </si>
  <si>
    <t>90-284</t>
  </si>
  <si>
    <t>Jimenez v. Weinberger</t>
  </si>
  <si>
    <t>417 U.S. 628</t>
  </si>
  <si>
    <t>79 Stat. 410</t>
  </si>
  <si>
    <t>National Cable Television Association v. United States</t>
  </si>
  <si>
    <t>415 U.S. 336</t>
  </si>
  <si>
    <t>65 Stat. 290</t>
  </si>
  <si>
    <t>82-137</t>
  </si>
  <si>
    <t>Pernell v. Southall Realty</t>
  </si>
  <si>
    <t>416 U.S. 363</t>
  </si>
  <si>
    <t>84 Stat. 552</t>
  </si>
  <si>
    <t>Regional Rail Reorganization Act Cases</t>
  </si>
  <si>
    <t>419 U.S. 102</t>
  </si>
  <si>
    <t>87 Stat. 985</t>
  </si>
  <si>
    <t>93-236</t>
  </si>
  <si>
    <t>United States v. Brignoni-Ponce</t>
  </si>
  <si>
    <t>422 U.S. 873</t>
  </si>
  <si>
    <t>United States v. Ortiz</t>
  </si>
  <si>
    <t>422 U.S. 891</t>
  </si>
  <si>
    <t>Weinberger v. Wiesenfeld</t>
  </si>
  <si>
    <t>420 U.S. 636</t>
  </si>
  <si>
    <t>53 Stat. 1364</t>
  </si>
  <si>
    <t>Buckley v. Valeo</t>
  </si>
  <si>
    <t>424 U.S. 1</t>
  </si>
  <si>
    <t>86 Stat. 3</t>
  </si>
  <si>
    <t>National League of Cities v. Usery</t>
  </si>
  <si>
    <t>426 U.S. 833</t>
  </si>
  <si>
    <t>88 Stat. 59</t>
  </si>
  <si>
    <t>Califano v. Goldfarb</t>
  </si>
  <si>
    <t>430 U.S. 199</t>
  </si>
  <si>
    <t>64 Stat. 485</t>
  </si>
  <si>
    <t>Califano v. Silbowitz</t>
  </si>
  <si>
    <t>430 U.S. 924</t>
  </si>
  <si>
    <t>64 Stat. 483</t>
  </si>
  <si>
    <t>G.M. Leasing Corp. v. United States</t>
  </si>
  <si>
    <t>429 U.S. 338</t>
  </si>
  <si>
    <t>68A Stat. 783</t>
  </si>
  <si>
    <t>Guam v. Olsen</t>
  </si>
  <si>
    <t>431 U.S. 195</t>
  </si>
  <si>
    <t>64 Stat. 389</t>
  </si>
  <si>
    <t>81-630</t>
  </si>
  <si>
    <t>Railroad Retirement Board v. Kalina</t>
  </si>
  <si>
    <t>431 U.S. 909</t>
  </si>
  <si>
    <t>Marshall v. Barlow's</t>
  </si>
  <si>
    <t>436 U.S. 307</t>
  </si>
  <si>
    <t>84 Stat. 1598</t>
  </si>
  <si>
    <t>Califano v. Westcott</t>
  </si>
  <si>
    <t>443 U.S. 76</t>
  </si>
  <si>
    <t>Kaiser Aetna v. United States</t>
  </si>
  <si>
    <t>444 U.S. 164</t>
  </si>
  <si>
    <t>30 Stat. 1151</t>
  </si>
  <si>
    <t>National Labor Relations Board v. Catholic Bishops of Chicago</t>
  </si>
  <si>
    <t>440 U.S. 490</t>
  </si>
  <si>
    <t>88 Stat. 395</t>
  </si>
  <si>
    <t>93-360</t>
  </si>
  <si>
    <t>Industrial Union Department, AFL-CIO v. American Petroleum Institute</t>
  </si>
  <si>
    <t>448 U.S. 607</t>
  </si>
  <si>
    <t>United States v. Clark</t>
  </si>
  <si>
    <t>445 U.S. 23</t>
  </si>
  <si>
    <t>80 Stat. 300</t>
  </si>
  <si>
    <t>89-504</t>
  </si>
  <si>
    <t>United States v. Will</t>
  </si>
  <si>
    <t>449 U.S. 200</t>
  </si>
  <si>
    <t>93 Stat. 565</t>
  </si>
  <si>
    <t>96-74</t>
  </si>
  <si>
    <t>Northern Pipeline Construction Co. v. Marathon Pipe Line Co.</t>
  </si>
  <si>
    <t>458 U.S. 50</t>
  </si>
  <si>
    <t>Railway Labor Executives' Association v. Gibbons</t>
  </si>
  <si>
    <t>455 U.S. 457</t>
  </si>
  <si>
    <t>94 Stat. 1959</t>
  </si>
  <si>
    <t>96-448</t>
  </si>
  <si>
    <t>United States v. Security Industrial Bank</t>
  </si>
  <si>
    <t>459 U.S. 70</t>
  </si>
  <si>
    <t>Bill Johnson's Restaurants, Inc. v. National Labor Relations Board</t>
  </si>
  <si>
    <t>461 U.S. 731</t>
  </si>
  <si>
    <t>Bolger v. Youngs Drug Products Corp.</t>
  </si>
  <si>
    <t>463 U.S. 60</t>
  </si>
  <si>
    <t>84 Stat. 1974</t>
  </si>
  <si>
    <t>92-662</t>
  </si>
  <si>
    <t>Immigration and Nationalization Service v. Chadha</t>
  </si>
  <si>
    <t>462 U.S. 919</t>
  </si>
  <si>
    <t>66 Stat. 216</t>
  </si>
  <si>
    <t>Process Gas Consumers Group v. Consumer Energy Council</t>
  </si>
  <si>
    <t>463 U.S. 1216</t>
  </si>
  <si>
    <t>92 Stat. 3372</t>
  </si>
  <si>
    <t>95-621</t>
  </si>
  <si>
    <t>U.S. Senate v. Federal Trade Commission</t>
  </si>
  <si>
    <t>94 Stat. 393</t>
  </si>
  <si>
    <t>96-252</t>
  </si>
  <si>
    <t>United States v. Grace</t>
  </si>
  <si>
    <t>461 U.S. 171</t>
  </si>
  <si>
    <t>63 Stat. 617</t>
  </si>
  <si>
    <t>81-250</t>
  </si>
  <si>
    <t>Federal Communications Commission v. League of Women Voters</t>
  </si>
  <si>
    <t>468 U.S. 364</t>
  </si>
  <si>
    <t>95 Stat. 730</t>
  </si>
  <si>
    <t>Regan v. Time, Inc.</t>
  </si>
  <si>
    <t>468 U.S. 641</t>
  </si>
  <si>
    <t>72 Stat. 1771</t>
  </si>
  <si>
    <t>85-921</t>
  </si>
  <si>
    <t>Aguilar v. Felton</t>
  </si>
  <si>
    <t>473 U.S. 402</t>
  </si>
  <si>
    <t>79 Stat. 27</t>
  </si>
  <si>
    <t>89-10</t>
  </si>
  <si>
    <t>Federal Election Commission v. National Conservative Political Action Committee</t>
  </si>
  <si>
    <t>470 U.S. 480</t>
  </si>
  <si>
    <t>85 Stat. 572</t>
  </si>
  <si>
    <t>92-178</t>
  </si>
  <si>
    <t>Lowe v. Securities and Exchange Commission</t>
  </si>
  <si>
    <t>472 U.S. 181</t>
  </si>
  <si>
    <t>54 Stat. 850</t>
  </si>
  <si>
    <t>76-768</t>
  </si>
  <si>
    <t>Bowsher v. Synar</t>
  </si>
  <si>
    <t>478 U.S. 714</t>
  </si>
  <si>
    <t>99 Stat. 1038</t>
  </si>
  <si>
    <t>99-177</t>
  </si>
  <si>
    <t>Federal Election Commission v. Massachusetts Citizens for Life, Inc.</t>
  </si>
  <si>
    <t>479 U.S. 238</t>
  </si>
  <si>
    <t>Brock v. Roadway Express, Inc.</t>
  </si>
  <si>
    <t>481 U.S. 252</t>
  </si>
  <si>
    <t>96 Stat. 2157</t>
  </si>
  <si>
    <t>97-424</t>
  </si>
  <si>
    <t>Hodel v. Irving</t>
  </si>
  <si>
    <t>481 U.S. 704</t>
  </si>
  <si>
    <t>96 Stat. 2519</t>
  </si>
  <si>
    <t>97-459</t>
  </si>
  <si>
    <t>Tull v. United States</t>
  </si>
  <si>
    <t>481 U.S. 412</t>
  </si>
  <si>
    <t>86 Stat. 860</t>
  </si>
  <si>
    <t>92-500</t>
  </si>
  <si>
    <t>Boos v. Barry</t>
  </si>
  <si>
    <t>485 U.S. 312</t>
  </si>
  <si>
    <t>52 Stat. 30</t>
  </si>
  <si>
    <t>75-79</t>
  </si>
  <si>
    <t>Edward J. DeBartolo Corp. v. Florida Gulf Coast Building and Construction Trades Council</t>
  </si>
  <si>
    <t>485 U.S. 568</t>
  </si>
  <si>
    <t>Coit Independence Joint Venture v. Federal Savings and Loan Insurance Corp.</t>
  </si>
  <si>
    <t>489 U.S. 561</t>
  </si>
  <si>
    <t>48 Stat. 1256</t>
  </si>
  <si>
    <t>73-479</t>
  </si>
  <si>
    <t>Gomez v. United States</t>
  </si>
  <si>
    <t>490 U.S. 858</t>
  </si>
  <si>
    <t>82 Stat. 1108</t>
  </si>
  <si>
    <t>Granfinanciera, S.A. v. Nordberg</t>
  </si>
  <si>
    <t>492 U.S. 33</t>
  </si>
  <si>
    <t>98 Stat. 333</t>
  </si>
  <si>
    <t>Hoffman v. Connecticut Department of Income Maintenance</t>
  </si>
  <si>
    <t>492 U.S. 96</t>
  </si>
  <si>
    <t>92 Stat. 2555</t>
  </si>
  <si>
    <t>Mesa v. California</t>
  </si>
  <si>
    <t>489 U.S. 121</t>
  </si>
  <si>
    <t>62 Stat. 938</t>
  </si>
  <si>
    <t>Public Citizen v. United States Department of Justice</t>
  </si>
  <si>
    <t>491 U.S. 440</t>
  </si>
  <si>
    <t>86 Stat. 770</t>
  </si>
  <si>
    <t>92-463</t>
  </si>
  <si>
    <t>Sable Communications of California, Inc. v. Federal Communications Commission</t>
  </si>
  <si>
    <t>492 U.S. 115</t>
  </si>
  <si>
    <t>102 Stat. 4502</t>
  </si>
  <si>
    <t>United States v. Halper</t>
  </si>
  <si>
    <t>490 U.S. 435</t>
  </si>
  <si>
    <t>96 Stat. 978</t>
  </si>
  <si>
    <t>97-258</t>
  </si>
  <si>
    <t>Chauffeurs, Teamsters &amp; Helpers, Local No. 391 v. Terry</t>
  </si>
  <si>
    <t>494 U.S. 558</t>
  </si>
  <si>
    <t>61 Stat. 143</t>
  </si>
  <si>
    <t>United States v. Eichman</t>
  </si>
  <si>
    <t>496 U.S. 310</t>
  </si>
  <si>
    <t>103 Stat. 777</t>
  </si>
  <si>
    <t>101-131</t>
  </si>
  <si>
    <t>Burns v. United States</t>
  </si>
  <si>
    <t>501 U.S. 129</t>
  </si>
  <si>
    <t>98 Stat. 2014</t>
  </si>
  <si>
    <t>Gregory v. Ashcroft</t>
  </si>
  <si>
    <t>501 U.S. 452</t>
  </si>
  <si>
    <t>88 Stat. 74</t>
  </si>
  <si>
    <t>Metropolitan Washington Airports Authority v. Citizens for Abatement of Aircraft Noise</t>
  </si>
  <si>
    <t>501 U.S. 252</t>
  </si>
  <si>
    <t>100 Stat. 3341</t>
  </si>
  <si>
    <t>99-591</t>
  </si>
  <si>
    <t>Lujan v. Defenders of Wildlife</t>
  </si>
  <si>
    <t>504 U.S. 555</t>
  </si>
  <si>
    <t>87 Stat. 900</t>
  </si>
  <si>
    <t>93-205</t>
  </si>
  <si>
    <t>505 U.S. 144</t>
  </si>
  <si>
    <t>99 Stat. 1850</t>
  </si>
  <si>
    <t>99-240</t>
  </si>
  <si>
    <t>United States v. X-Citement Video</t>
  </si>
  <si>
    <t>513 U.S. 64</t>
  </si>
  <si>
    <t>92 Stat. 7</t>
  </si>
  <si>
    <t>95-225</t>
  </si>
  <si>
    <t>Lebron v. National Railroad Passenger Corp.</t>
  </si>
  <si>
    <t>513 U.S. 374</t>
  </si>
  <si>
    <t>84 Stat. 1330</t>
  </si>
  <si>
    <t>Plaut v. Spendthrift Farm</t>
  </si>
  <si>
    <t>514 U.S. 211</t>
  </si>
  <si>
    <t>105 Stat. 2236</t>
  </si>
  <si>
    <t>102-242</t>
  </si>
  <si>
    <t>Rubin v. Coors Brewing Co.</t>
  </si>
  <si>
    <t>514 U.S. 476</t>
  </si>
  <si>
    <t>49 Stat. 977</t>
  </si>
  <si>
    <t>74-401</t>
  </si>
  <si>
    <t>Ryder v. United States</t>
  </si>
  <si>
    <t>515 U.S. 177</t>
  </si>
  <si>
    <t>United States v. Lopez</t>
  </si>
  <si>
    <t>514 U.S. 549</t>
  </si>
  <si>
    <t>108 Stat. 1796</t>
  </si>
  <si>
    <t>513 U.S. 454</t>
  </si>
  <si>
    <t>103 Stat. 1767</t>
  </si>
  <si>
    <t>101-194</t>
  </si>
  <si>
    <t>Colorado Republican Federal Campaign Committee v. Federal Election Commission</t>
  </si>
  <si>
    <t>518 U.S. 604</t>
  </si>
  <si>
    <t>518 U.S. 727</t>
  </si>
  <si>
    <t>106 Stat. 1486</t>
  </si>
  <si>
    <t>Seminole Tribe v. Florida</t>
  </si>
  <si>
    <t>517 U.S. 44</t>
  </si>
  <si>
    <t>102 Stat. 2475</t>
  </si>
  <si>
    <t>100-497</t>
  </si>
  <si>
    <t>United States v. International Business Machines</t>
  </si>
  <si>
    <t>517 U.S. 843</t>
  </si>
  <si>
    <t>68A Stat. 521</t>
  </si>
  <si>
    <t>Babbitt v. Youpee</t>
  </si>
  <si>
    <t>519 U.S. 234</t>
  </si>
  <si>
    <t>98 Stat. 3173</t>
  </si>
  <si>
    <t>98-608</t>
  </si>
  <si>
    <t>City of Boerne v. Flores</t>
  </si>
  <si>
    <t>521 U.S. 507</t>
  </si>
  <si>
    <t>107 Stat. 1488</t>
  </si>
  <si>
    <t>103-141</t>
  </si>
  <si>
    <t>Printz v. United States</t>
  </si>
  <si>
    <t>521 U.S. 898</t>
  </si>
  <si>
    <t>107 Stat. 1536</t>
  </si>
  <si>
    <t>103-159</t>
  </si>
  <si>
    <t>Reno v. American Civil Liberties Union</t>
  </si>
  <si>
    <t>521 U.S. 844</t>
  </si>
  <si>
    <t>110 Stat. 56</t>
  </si>
  <si>
    <t>104-104</t>
  </si>
  <si>
    <t>Clinton v. City of New York</t>
  </si>
  <si>
    <t>524 U.S. 417</t>
  </si>
  <si>
    <t>110 Stat. 1200</t>
  </si>
  <si>
    <t>104-130</t>
  </si>
  <si>
    <t>Eastern Enterprises v. Apfel</t>
  </si>
  <si>
    <t>524 U.S. 498</t>
  </si>
  <si>
    <t>106 Stat. 3037</t>
  </si>
  <si>
    <t>102-486</t>
  </si>
  <si>
    <t>Feltner v. Columbia Pictures TV</t>
  </si>
  <si>
    <t>523 U.S. 340</t>
  </si>
  <si>
    <t>90 Stat. 2585</t>
  </si>
  <si>
    <t>United States v. Bajakajian</t>
  </si>
  <si>
    <t>524 U.S. 321</t>
  </si>
  <si>
    <t>United States v. United States Shoe Corp.</t>
  </si>
  <si>
    <t>523 U.S. 360</t>
  </si>
  <si>
    <t>100 Stat. 4082</t>
  </si>
  <si>
    <t>99-662</t>
  </si>
  <si>
    <t>Alden v. Maine</t>
  </si>
  <si>
    <t>527 U.S. 706</t>
  </si>
  <si>
    <t>88 Stat. 55</t>
  </si>
  <si>
    <t>College Savings Bank v. Florida Prepaid Postsecondary Educational Expense Board</t>
  </si>
  <si>
    <t>527 U.S. 666</t>
  </si>
  <si>
    <t>106 Stat. 3567</t>
  </si>
  <si>
    <t>102-542</t>
  </si>
  <si>
    <t>Florida Prepaid Postsecondary Educational Expense Board v. College Savings Bank</t>
  </si>
  <si>
    <t>527 U.S. 627</t>
  </si>
  <si>
    <t>106 Stat. 4230</t>
  </si>
  <si>
    <t>102-560</t>
  </si>
  <si>
    <t>Greater New Orleans Broadcasting Association v. United States</t>
  </si>
  <si>
    <t>527 U.S. 173</t>
  </si>
  <si>
    <t>Saenz v. Roe</t>
  </si>
  <si>
    <t>526 U.S. 489</t>
  </si>
  <si>
    <t>104-193</t>
  </si>
  <si>
    <t>Dickerson v. United States</t>
  </si>
  <si>
    <t>530 U.S. 428</t>
  </si>
  <si>
    <t>82 Stat. 210</t>
  </si>
  <si>
    <t>Jones v. United States</t>
  </si>
  <si>
    <t>529 U.S. 848</t>
  </si>
  <si>
    <t>96 Stat. 1319</t>
  </si>
  <si>
    <t>97-298</t>
  </si>
  <si>
    <t>Kimel v. Florida Board of Regents</t>
  </si>
  <si>
    <t>528 U.S. 62</t>
  </si>
  <si>
    <t>88 Stat. 61</t>
  </si>
  <si>
    <t>United States v. Morrison</t>
  </si>
  <si>
    <t>529 U.S. 598</t>
  </si>
  <si>
    <t>108 Stat. 1941</t>
  </si>
  <si>
    <t>United States v. Playboy Entertainment Group, Inc.</t>
  </si>
  <si>
    <t>529 U.S. 803</t>
  </si>
  <si>
    <t>110 Stat. 136</t>
  </si>
  <si>
    <t>Bartinicki v. Vopper</t>
  </si>
  <si>
    <t>532 U.S. 514</t>
  </si>
  <si>
    <t>82 Stat. 211</t>
  </si>
  <si>
    <t>Board of Trustees of the University of Alabama v. Garrett</t>
  </si>
  <si>
    <t>531 U.S. 356</t>
  </si>
  <si>
    <t>104 Stat. 330</t>
  </si>
  <si>
    <t>Immigration and Nationalization Service v. St. Cyr</t>
  </si>
  <si>
    <t>533 U.S. 289</t>
  </si>
  <si>
    <t>Legal Services Corporation v. Velazquez</t>
  </si>
  <si>
    <t>531 U.S. 533</t>
  </si>
  <si>
    <t>Solid Waste Agency v. United States Army Corps of Engineers</t>
  </si>
  <si>
    <t>531 U.S. 159</t>
  </si>
  <si>
    <t>86 Stat. 884</t>
  </si>
  <si>
    <t>United States v. Hatter</t>
  </si>
  <si>
    <t>532 U.S. 557</t>
  </si>
  <si>
    <t>97 Stat. 69</t>
  </si>
  <si>
    <t>United States v. United Foods</t>
  </si>
  <si>
    <t>533 U.S. 405</t>
  </si>
  <si>
    <t>104 Stat. 3854</t>
  </si>
  <si>
    <t>101-624</t>
  </si>
  <si>
    <t>Zadvydas v. Immigration and Nationalization Service</t>
  </si>
  <si>
    <t>533 U.S. 678</t>
  </si>
  <si>
    <t>Ashcroft v. Free Speech Coalition</t>
  </si>
  <si>
    <t>535 U.S. 234</t>
  </si>
  <si>
    <t>110 Stat. 3009-26</t>
  </si>
  <si>
    <t>BE &amp; K Construction Company v. National Labor Relations Board</t>
  </si>
  <si>
    <t>536 U.S. 516</t>
  </si>
  <si>
    <t>61 Stat. 158</t>
  </si>
  <si>
    <t>Federal Maritime Commission v. South Carolina State Ports Authority</t>
  </si>
  <si>
    <t>535 U.S. 743</t>
  </si>
  <si>
    <t>98 Stat. 67</t>
  </si>
  <si>
    <t>98-237</t>
  </si>
  <si>
    <t>Thompson v. Western States Medical Center</t>
  </si>
  <si>
    <t>535 U.S. 357</t>
  </si>
  <si>
    <t>111 Stat. 2328</t>
  </si>
  <si>
    <t>105-115</t>
  </si>
  <si>
    <t>Khanh Phoung Nguyen v. United States</t>
  </si>
  <si>
    <t>539 U.S. 69</t>
  </si>
  <si>
    <t>72 Stat. 848</t>
  </si>
  <si>
    <t>85-755</t>
  </si>
  <si>
    <t>McConnell v. Federal Election Commission</t>
  </si>
  <si>
    <t>540 U.S. 93</t>
  </si>
  <si>
    <t>Bipartisan Campaign Reform Act</t>
  </si>
  <si>
    <t>116 Stat. 81</t>
  </si>
  <si>
    <t>107-155</t>
  </si>
  <si>
    <t>Hamdi v. Rumsfeld</t>
  </si>
  <si>
    <t>542 U.S. 507</t>
  </si>
  <si>
    <t>115 Stat. 224</t>
  </si>
  <si>
    <t>107-40</t>
  </si>
  <si>
    <t>Cherokee Nation v. Leavitt</t>
  </si>
  <si>
    <t>543 U.S. 631</t>
  </si>
  <si>
    <t>Clark v. Martinez</t>
  </si>
  <si>
    <t>543 U.S. 371</t>
  </si>
  <si>
    <t>Shepard v. United States</t>
  </si>
  <si>
    <t>544 U.S. 13</t>
  </si>
  <si>
    <t>98 Stat. 2185</t>
  </si>
  <si>
    <t>United States v. Booker</t>
  </si>
  <si>
    <t>543 U.S. 220</t>
  </si>
  <si>
    <t>Federal Election Commission v. Wisconsin Right to Life, Inc.</t>
  </si>
  <si>
    <t>551 U.S. 449</t>
  </si>
  <si>
    <t>Boumediene v. Bush</t>
  </si>
  <si>
    <t>553 U.S. 723</t>
  </si>
  <si>
    <t>Military Commissions Act</t>
  </si>
  <si>
    <t>120 Stat. 2600</t>
  </si>
  <si>
    <t>109-366</t>
  </si>
  <si>
    <t>554 U.S. 724</t>
  </si>
  <si>
    <t>Citizens United v. Federal Election Commission</t>
  </si>
  <si>
    <t>558 U.S. 310</t>
  </si>
  <si>
    <t>Free Enterprise Fund and Beckstead and Watts v. Public Company Accounting Oversight Board</t>
  </si>
  <si>
    <t>561 U.S. 477</t>
  </si>
  <si>
    <t>Sarbanes-Oxley Act</t>
  </si>
  <si>
    <t>116 Stat. 745</t>
  </si>
  <si>
    <t>107-204</t>
  </si>
  <si>
    <t>559 U.S. 460</t>
  </si>
  <si>
    <t>To Amend Title 18</t>
  </si>
  <si>
    <t>113 Stat. 1732</t>
  </si>
  <si>
    <t>106-152</t>
  </si>
  <si>
    <t>Pepper v. United States</t>
  </si>
  <si>
    <t>562 U.S. 476</t>
  </si>
  <si>
    <t>117 Stat. 670</t>
  </si>
  <si>
    <t>Sossamon v. Texas</t>
  </si>
  <si>
    <t>563 U.S. 277</t>
  </si>
  <si>
    <t>Religious Land Use and Institutionalized Persons Act</t>
  </si>
  <si>
    <t>114 Stat. 803</t>
  </si>
  <si>
    <t>Stern v. Marshall</t>
  </si>
  <si>
    <t>Coleman v. Court of Appeals of Maryland</t>
  </si>
  <si>
    <t>Family and Medical Leave Act</t>
  </si>
  <si>
    <t>107 Stat. 6</t>
  </si>
  <si>
    <t>Hosanna-Tabor Evangelical Lutheran Church and School v. Equal Employment Opportunity Commission</t>
  </si>
  <si>
    <t>National Federation of Independent Business v. Sebelius</t>
  </si>
  <si>
    <t>Patient Protection and Affordable Care Act</t>
  </si>
  <si>
    <t>124 Stat. 119</t>
  </si>
  <si>
    <t>111-148</t>
  </si>
  <si>
    <t>United States v. Alvarez</t>
  </si>
  <si>
    <t>Stolen Valor Act</t>
  </si>
  <si>
    <t>120 Stat. 3266</t>
  </si>
  <si>
    <t>109-437</t>
  </si>
  <si>
    <t>Peugh v. United States</t>
  </si>
  <si>
    <t>Agency for International Development v. Alliance for Open Society International</t>
  </si>
  <si>
    <t>United States Leadership Agaist HIV/AIDS</t>
  </si>
  <si>
    <t>117 Stat. 711</t>
  </si>
  <si>
    <t>108-25</t>
  </si>
  <si>
    <t>Shelby County v. Holder</t>
  </si>
  <si>
    <t>Voting Rights Act Reauthorization and Amendments Act</t>
  </si>
  <si>
    <t>120 Stat. 577</t>
  </si>
  <si>
    <t>109-246</t>
  </si>
  <si>
    <t>United States v. Windsor</t>
  </si>
  <si>
    <t>Defense of Marriage Act</t>
  </si>
  <si>
    <t>110 Stat. 2419</t>
  </si>
  <si>
    <t>104-199</t>
  </si>
  <si>
    <t>McCutcheon v. Federal Election Commission</t>
  </si>
  <si>
    <t>Zivotofsky v. Kerry</t>
  </si>
  <si>
    <t>135 S.Ct. 2076</t>
  </si>
  <si>
    <t>United States Policy with Respect to Jerusalem as the Capital of Israel</t>
  </si>
  <si>
    <t>116 Stat. 1350</t>
  </si>
  <si>
    <t>107-228</t>
  </si>
  <si>
    <t>135 S.Ct. 939</t>
  </si>
  <si>
    <t>Armed Career Criminals Act</t>
  </si>
  <si>
    <t>Luis v. United States</t>
  </si>
  <si>
    <t>136 S.Ct. 1083</t>
  </si>
  <si>
    <t>Gun Control Act</t>
  </si>
  <si>
    <t>104 Stat. 4844</t>
  </si>
  <si>
    <t>101-647</t>
  </si>
  <si>
    <t>Welch v. United States</t>
  </si>
  <si>
    <t>136 S.Ct. 1257</t>
  </si>
  <si>
    <t>Sessions v. Morales-Santana</t>
  </si>
  <si>
    <t>137 S.Ct. 1678</t>
  </si>
  <si>
    <t>Immigration and Nationality Act</t>
  </si>
  <si>
    <t>Matal v. Tam</t>
  </si>
  <si>
    <t>137 S.Ct. 1744</t>
  </si>
  <si>
    <t>Lanham Act</t>
  </si>
  <si>
    <t>60 Stat. 427</t>
  </si>
  <si>
    <t>79-489</t>
  </si>
  <si>
    <t>Artis v. District of Columbia</t>
  </si>
  <si>
    <t>138 S.Ct. 594</t>
  </si>
  <si>
    <t>Patchak v. Zinke</t>
  </si>
  <si>
    <t>138 S.Ct. 897</t>
  </si>
  <si>
    <t>Gun Lake Act</t>
  </si>
  <si>
    <t>113-179</t>
  </si>
  <si>
    <t>128 Stat. 1913</t>
  </si>
  <si>
    <t>Sessions v. Dimaya</t>
  </si>
  <si>
    <t>138 S.Ct. 1204</t>
  </si>
  <si>
    <t>98 Stat. 2136</t>
  </si>
  <si>
    <t>138 S.Ct. 1365</t>
  </si>
  <si>
    <t>Oil States Energy Services, LLC v. Greene's Energy Group, LLC</t>
  </si>
  <si>
    <t>Leahy-Smith America Invents Act</t>
  </si>
  <si>
    <t>112-29</t>
  </si>
  <si>
    <t>125 Stat. 284</t>
  </si>
  <si>
    <t>Murphy v. National Collegiate Athletic Association</t>
  </si>
  <si>
    <t>138 S.Ct. 1461</t>
  </si>
  <si>
    <t>Professional and Amateur Sports Protection Act</t>
  </si>
  <si>
    <t>106 Stat. 4227</t>
  </si>
  <si>
    <t>102-559</t>
  </si>
  <si>
    <t>Carpenter v. United States</t>
  </si>
  <si>
    <t>138 S.Ct. 2206</t>
  </si>
  <si>
    <t>USA PATRIOT Act</t>
  </si>
  <si>
    <t>107-56</t>
  </si>
  <si>
    <t>115 Stat. 272</t>
  </si>
  <si>
    <t>H-CT</t>
  </si>
  <si>
    <t>3 Stat. 266</t>
  </si>
  <si>
    <t>14-44</t>
  </si>
  <si>
    <t>3 Stat. 510</t>
  </si>
  <si>
    <t>3 Stat. 216</t>
  </si>
  <si>
    <t>3 Stat. 750</t>
  </si>
  <si>
    <t>4 Stat. 115</t>
  </si>
  <si>
    <t>5 Stat. 440</t>
  </si>
  <si>
    <t>5 Stat. 357</t>
  </si>
  <si>
    <t>5 Stat. 726</t>
  </si>
  <si>
    <r>
      <t xml:space="preserve">41 </t>
    </r>
    <r>
      <rPr>
        <i/>
        <sz val="11"/>
        <rFont val="Calibri"/>
        <family val="2"/>
        <scheme val="minor"/>
      </rPr>
      <t>Stat</t>
    </r>
    <r>
      <rPr>
        <sz val="11"/>
        <rFont val="Calibri"/>
        <family val="2"/>
        <scheme val="minor"/>
      </rPr>
      <t>. 1082</t>
    </r>
  </si>
  <si>
    <t>2 Stat. 617</t>
  </si>
  <si>
    <t>9 Stat. 631</t>
  </si>
  <si>
    <t>3 Stat. 592</t>
  </si>
  <si>
    <t>10 Stat. 110</t>
  </si>
  <si>
    <t>9 Stat. 462</t>
  </si>
  <si>
    <t>13 Stat. 440</t>
  </si>
  <si>
    <t>12 Stat. 338</t>
  </si>
  <si>
    <t>13 Stat. 99</t>
  </si>
  <si>
    <t>12 Stat. 543</t>
  </si>
  <si>
    <t>13 Stat. 223</t>
  </si>
  <si>
    <t>9 Stat. 440</t>
  </si>
  <si>
    <t>15 Stat. 44</t>
  </si>
  <si>
    <t>14 Stat. 98</t>
  </si>
  <si>
    <t>12 Stat. 345</t>
  </si>
  <si>
    <t>14 Stat. 471</t>
  </si>
  <si>
    <t>12 Stat. 808</t>
  </si>
  <si>
    <t>14 Stat. 412</t>
  </si>
  <si>
    <t>2/27/1867</t>
  </si>
  <si>
    <t>13 Stat. 434</t>
  </si>
  <si>
    <t>5 Stat. 304</t>
  </si>
  <si>
    <t>12 Stat. 319</t>
  </si>
  <si>
    <t>13 Stat. 123</t>
  </si>
  <si>
    <t>14 Stat. 558</t>
  </si>
  <si>
    <t>15 Stat. 125</t>
  </si>
  <si>
    <t>15 Stat. 75</t>
  </si>
  <si>
    <t>4 Stat. 487</t>
  </si>
  <si>
    <t>16 Stat. 256</t>
  </si>
  <si>
    <t>12 Stat. 255</t>
  </si>
  <si>
    <t>17 Stat. 39</t>
  </si>
  <si>
    <t>3/12/1872</t>
  </si>
  <si>
    <t>2 Stat. 605</t>
  </si>
  <si>
    <t>9 Stat. 35</t>
  </si>
  <si>
    <t>13 Stat. 29</t>
  </si>
  <si>
    <t>18 Stat. 204</t>
  </si>
  <si>
    <t>16 Stat. 404</t>
  </si>
  <si>
    <t>14 Stat. 517</t>
  </si>
  <si>
    <t>14 Stat. 221</t>
  </si>
  <si>
    <t>20 Stat. 166</t>
  </si>
  <si>
    <t>17 Stat. 485</t>
  </si>
  <si>
    <t>18 Stat. 470</t>
  </si>
  <si>
    <t>18 Stat. 335</t>
  </si>
  <si>
    <t>13 Stat. 468</t>
  </si>
  <si>
    <t>18 Stat. 315</t>
  </si>
  <si>
    <t>16 Stat. 571</t>
  </si>
  <si>
    <t>19 Stat. 143</t>
  </si>
  <si>
    <t>18 Stat. 512</t>
  </si>
  <si>
    <t>19 Stat. 266</t>
  </si>
  <si>
    <t>15 Stat. 336</t>
  </si>
  <si>
    <t>16 Stat. 189</t>
  </si>
  <si>
    <t>14 Stat. 46</t>
  </si>
  <si>
    <t>18 Stat. 78</t>
  </si>
  <si>
    <t>20 Stat. 39</t>
  </si>
  <si>
    <t>22 Stat. 214</t>
  </si>
  <si>
    <t>22 Stat. 30</t>
  </si>
  <si>
    <t>7/15/1870</t>
  </si>
  <si>
    <t>16 Stat. 291</t>
  </si>
  <si>
    <t>19 Stat. 396</t>
  </si>
  <si>
    <t>14 Stat. 92</t>
  </si>
  <si>
    <t>18 Stat. 186</t>
  </si>
  <si>
    <t>Thurman Act (Pacific Railroads)</t>
  </si>
  <si>
    <t>23 Stat. 22</t>
  </si>
  <si>
    <t>12 Stat. 292</t>
  </si>
  <si>
    <t>22 Stat. 168</t>
  </si>
  <si>
    <t>21 Stat. 4</t>
  </si>
  <si>
    <t>14 Stat. 635</t>
  </si>
  <si>
    <t>22 Stat. 284</t>
  </si>
  <si>
    <t>23 Stat. 73</t>
  </si>
  <si>
    <t>29 Stat. 125</t>
  </si>
  <si>
    <t>32 Stat. 1213</t>
  </si>
  <si>
    <t>57-162</t>
  </si>
  <si>
    <t>31 Stat. 77</t>
  </si>
  <si>
    <t>34 Stat. 232</t>
  </si>
  <si>
    <t>30 Stat. 717</t>
  </si>
  <si>
    <t>17 Stat. 464</t>
  </si>
  <si>
    <t xml:space="preserve">30 Stat. 11 </t>
  </si>
  <si>
    <t>30 Stat. 835</t>
  </si>
  <si>
    <t>27 Stat. 531</t>
  </si>
  <si>
    <t>26 Stat. 1106</t>
  </si>
  <si>
    <t>32 Stat. 716</t>
  </si>
  <si>
    <t>57-241</t>
  </si>
  <si>
    <t>32 Stat. 388</t>
  </si>
  <si>
    <t>57-161</t>
  </si>
  <si>
    <t>37 Stat. 539</t>
  </si>
  <si>
    <t>36 Stat. 557</t>
  </si>
  <si>
    <t>31 Stat. 767</t>
  </si>
  <si>
    <t>29 Stat. 506</t>
  </si>
  <si>
    <t>13 Stat. 431</t>
  </si>
  <si>
    <t>39 Stat. 721</t>
  </si>
  <si>
    <t> 40 Stat. 300 </t>
  </si>
  <si>
    <t>14 Stat. 292</t>
  </si>
  <si>
    <t>12 Stat. 392</t>
  </si>
  <si>
    <t>37 Stat. 25</t>
  </si>
  <si>
    <t>40 Stat. 300 </t>
  </si>
  <si>
    <t>40 Stat. 1050</t>
  </si>
  <si>
    <t>34 Stat. 86</t>
  </si>
  <si>
    <t>39 Stat. 676</t>
  </si>
  <si>
    <t>64-250</t>
  </si>
  <si>
    <t>41 Stat. 1015</t>
  </si>
  <si>
    <t>66-264</t>
  </si>
  <si>
    <t>41 Stat. 1823</t>
  </si>
  <si>
    <t>39 Stat. 1004</t>
  </si>
  <si>
    <t>64-378</t>
  </si>
  <si>
    <t>20 Stat. 131</t>
  </si>
  <si>
    <t>42 Stat. 998</t>
  </si>
  <si>
    <t>67-331</t>
  </si>
  <si>
    <t>41 Stat. 1367</t>
  </si>
  <si>
    <t>66-389</t>
  </si>
  <si>
    <t>42 Stat. 634</t>
  </si>
  <si>
    <t>67-239</t>
  </si>
  <si>
    <t>42 Stat. 418</t>
  </si>
  <si>
    <t>67-169</t>
  </si>
  <si>
    <t>23 Stat. 31</t>
  </si>
  <si>
    <t>41 Stat. 759</t>
  </si>
  <si>
    <t>66-242</t>
  </si>
  <si>
    <t>57-183</t>
  </si>
  <si>
    <t>Ronald W. Reagan National Defense Authorization Act for Fiscal Year 2005</t>
  </si>
  <si>
    <t>Comprehensive Drug Abuse Prevention and Control Act of 1970</t>
  </si>
  <si>
    <t>Religious Land Use and Institutionalized Persons Act of 2000</t>
  </si>
  <si>
    <t>Food Security Act of 1985</t>
  </si>
  <si>
    <t>Omnibus Consolidated and Emergency Supplemental Appropriations Act of 1999</t>
  </si>
  <si>
    <t>Omnibus Consolidated Appropriations Act of 1997</t>
  </si>
  <si>
    <t>Authorization for the Use of Military Force</t>
  </si>
  <si>
    <t>Criminal Law and Procedure Technical Amendments Act of 1986</t>
  </si>
  <si>
    <t>Americans with Disabilities Act of 1990</t>
  </si>
  <si>
    <t>Bankruptcy Reform Act of 1994</t>
  </si>
  <si>
    <t>Tariff Act of 1930</t>
  </si>
  <si>
    <t>Consolidated Appropriations Act of 2001</t>
  </si>
  <si>
    <t>Federal Election Campaign Act Amendments of 1976</t>
  </si>
  <si>
    <t>Family and Medical Leave Act of 1993</t>
  </si>
  <si>
    <t>Judicial Improvements Act of 1990</t>
  </si>
  <si>
    <t>Sonny Bono Copyright Extension Act</t>
  </si>
  <si>
    <t>National Highway System Designation Act of 1995</t>
  </si>
  <si>
    <t>Shipping Act of 1984</t>
  </si>
  <si>
    <t>Food and Drug Administration Modernization Act of 1997</t>
  </si>
  <si>
    <t>Taho Regional Planning Compact</t>
  </si>
  <si>
    <t>Anti-Drug Abuse Act of 1988</t>
  </si>
  <si>
    <t>Trade and Tariff Act of 1984</t>
  </si>
  <si>
    <t>Food, Agriculture, Conservation, and Trade Act of 1990</t>
  </si>
  <si>
    <t>Antiterrorism and Effective Death Penalty Act of 1996</t>
  </si>
  <si>
    <t>Social Security Amendments of 1983</t>
  </si>
  <si>
    <t>Omnibus Crime Control and Safe Streets Act of 1968</t>
  </si>
  <si>
    <t>Omnibus Consolidated Rescissions and Appropriations Act of 1996</t>
  </si>
  <si>
    <t>Clean Air Amendments of 1970</t>
  </si>
  <si>
    <t>Federal Water Pollution Control Act Amendments of 1972</t>
  </si>
  <si>
    <t>Omnibus Budget Reconciliation Act of 1981</t>
  </si>
  <si>
    <t>Anti-Arson Act of 1982</t>
  </si>
  <si>
    <t>Telecommunications Act of 1996</t>
  </si>
  <si>
    <t>Violent Crime Control and Law Enforcement Act of 1994</t>
  </si>
  <si>
    <t>Fair Labor Standards Amendments of 1974</t>
  </si>
  <si>
    <t>Trademark Remedy Clarification Act</t>
  </si>
  <si>
    <t>Patent and Plant Variety Protection Remedy Clarification Act</t>
  </si>
  <si>
    <t>Charity Games Advertising Clarification Act of 1988</t>
  </si>
  <si>
    <t>110 Stat. 2105</t>
  </si>
  <si>
    <t>Personal Responsibility and Work Opportunity Reconciliation Act of 1996</t>
  </si>
  <si>
    <t>Department of the Interior and Related Agencies Appropriations Act of 1991</t>
  </si>
  <si>
    <t>Energy Policy Act of 1992</t>
  </si>
  <si>
    <t>Line Item Veto Act</t>
  </si>
  <si>
    <t>Anti-Drug Abuse Act of 1986</t>
  </si>
  <si>
    <t>Federal Election Campaign Act of 1971</t>
  </si>
  <si>
    <t>Water and Resources Development Act of 1986</t>
  </si>
  <si>
    <t>Criminal Code Amendments</t>
  </si>
  <si>
    <t>Financial Institutions Reform, Recovery, and Enforcement Act of 1989</t>
  </si>
  <si>
    <t>Organized Crime Control Act of 1970</t>
  </si>
  <si>
    <t>Brady Handgun Violence Prevention Act</t>
  </si>
  <si>
    <t>Religious Freedom Restoration Act of 1993</t>
  </si>
  <si>
    <t>Agricultural Marketing Agreement Act of 1937</t>
  </si>
  <si>
    <t>Federal Aviation Act of 1958</t>
  </si>
  <si>
    <t>Cable Television Consumer Protection and Competition Act of 1992</t>
  </si>
  <si>
    <t>Worker Adjustment and Retraining Notification Act</t>
  </si>
  <si>
    <t>Indian Gambling Regulatory Act</t>
  </si>
  <si>
    <t>Federal Alcohol Administration Act</t>
  </si>
  <si>
    <t>Federal Deposit Insurance Corporation Improvement Act of 1991</t>
  </si>
  <si>
    <t>Ethics Reform Act of 1989</t>
  </si>
  <si>
    <t>Rail Passenger Service Act of 1970</t>
  </si>
  <si>
    <t>Protection of Children Against Sexual Exploitation Act</t>
  </si>
  <si>
    <t>Interstate Agreement on Detainers Act</t>
  </si>
  <si>
    <t>24 Stat. 635</t>
  </si>
  <si>
    <t>3/3/1887</t>
  </si>
  <si>
    <t>11 Stat. 119</t>
  </si>
  <si>
    <t>25 Stat. 783</t>
  </si>
  <si>
    <t>26 Stat. 313</t>
  </si>
  <si>
    <t>24 Stat. 79</t>
  </si>
  <si>
    <t>25 Stat. 855</t>
  </si>
  <si>
    <t>26 Stat. 1084</t>
  </si>
  <si>
    <t>26 Stat. 465</t>
  </si>
  <si>
    <t>26 Stat. 567</t>
  </si>
  <si>
    <t>26 Stat. 105</t>
  </si>
  <si>
    <t>26 Stat. 496</t>
  </si>
  <si>
    <t>5/6/1892</t>
  </si>
  <si>
    <t>22 Stat. 58</t>
  </si>
  <si>
    <t>23 Stat. 332</t>
  </si>
  <si>
    <t>26 Stat. 268</t>
  </si>
  <si>
    <t>26 Stat. 854</t>
  </si>
  <si>
    <t>26 Stat. 182</t>
  </si>
  <si>
    <t>25 Stat. 357</t>
  </si>
  <si>
    <t>28 Stat. 584</t>
  </si>
  <si>
    <t>27 Stat. 443</t>
  </si>
  <si>
    <t>28 Stat. 910</t>
  </si>
  <si>
    <t>24 Stat. 123</t>
  </si>
  <si>
    <t>24 Stat. 209</t>
  </si>
  <si>
    <t>11 Stat. 155</t>
  </si>
  <si>
    <t>23 Stat. 321</t>
  </si>
  <si>
    <t>27 Stat. 532</t>
  </si>
  <si>
    <t>28 Stat. 275</t>
  </si>
  <si>
    <t>28 Stat. 643</t>
  </si>
  <si>
    <t>27 Stat. 434</t>
  </si>
  <si>
    <t>28 Stat. 668</t>
  </si>
  <si>
    <t>30 Stat. 571</t>
  </si>
  <si>
    <t>29 Stat. 665</t>
  </si>
  <si>
    <t>27 Stat. 409</t>
  </si>
  <si>
    <t>31 Stat. 656</t>
  </si>
  <si>
    <t>29 Stat. 140</t>
  </si>
  <si>
    <t>28 Stat. 7</t>
  </si>
  <si>
    <t>30 Stat. 1344</t>
  </si>
  <si>
    <t>29 Stat. 510</t>
  </si>
  <si>
    <t>30 Stat. 151</t>
  </si>
  <si>
    <t>30 Stat. 544</t>
  </si>
  <si>
    <t>30 Stat. 496</t>
  </si>
  <si>
    <t>31 Stat. 672</t>
  </si>
  <si>
    <t>28 Stat. 963</t>
  </si>
  <si>
    <t>30 Stat. 755</t>
  </si>
  <si>
    <t>29 Stat. 253</t>
  </si>
  <si>
    <t>29 Stat. 604</t>
  </si>
  <si>
    <t>14 Stat. 546</t>
  </si>
  <si>
    <t>28 Stat. 372</t>
  </si>
  <si>
    <t>32 Stat. 909</t>
  </si>
  <si>
    <t>57-122</t>
  </si>
  <si>
    <t>30 Stat. 1121</t>
  </si>
  <si>
    <t>57-228</t>
  </si>
  <si>
    <t>32 Stat. 641</t>
  </si>
  <si>
    <t>28 Stat. 501</t>
  </si>
  <si>
    <t>27 Stat. 340</t>
  </si>
  <si>
    <t>34 Stat. 636</t>
  </si>
  <si>
    <t>27 Stat. 260</t>
  </si>
  <si>
    <t>32 Stat. 847</t>
  </si>
  <si>
    <t>57-103</t>
  </si>
  <si>
    <t>Omnibus Budget Reconciliation Act of 1987</t>
  </si>
  <si>
    <t>Federal Mine Safety and Health Amendments Act of 1977</t>
  </si>
  <si>
    <t>Military Justice Act of 1968</t>
  </si>
  <si>
    <t>Multiemployer Pension Plan Amendments of 1980</t>
  </si>
  <si>
    <t>Cable Communications Policy Act of 1984</t>
  </si>
  <si>
    <t>Low-Level Radioactive Waste Policy Amendments Act of 1985</t>
  </si>
  <si>
    <t>Endangered Species Act of 1973</t>
  </si>
  <si>
    <t>Federal Magistrates Act</t>
  </si>
  <si>
    <t>Tax Reform Act of 1986</t>
  </si>
  <si>
    <t>Family Planning Services and Population Research Act of 1970</t>
  </si>
  <si>
    <t>Deficit Reduction Act of 1984</t>
  </si>
  <si>
    <t>National Defense Authorization Act for Fiscal Year 1987</t>
  </si>
  <si>
    <t>Flag Protection Act of 1989</t>
  </si>
  <si>
    <t>Education for Economic Security Act</t>
  </si>
  <si>
    <t>Federal Coal Mine Helath and Safety Act of 1969</t>
  </si>
  <si>
    <t>Civil Rights Act of 1964</t>
  </si>
  <si>
    <t>Foreign Relations Authorization Act</t>
  </si>
  <si>
    <t>Federal Advisory Committee Act</t>
  </si>
  <si>
    <t>Civil Rights Attorney's Fees Awards Act of 1976</t>
  </si>
  <si>
    <t>Comprehensive Environmental Response, Compensation, and Liability Act of 1980</t>
  </si>
  <si>
    <t>Revenue Act of 1943</t>
  </si>
  <si>
    <t>Consolidate Omnibus Budget Reconciliation Act of 1985</t>
  </si>
  <si>
    <t>National Housing Act</t>
  </si>
  <si>
    <t>Ethics in Government Act of 1978</t>
  </si>
  <si>
    <t>Financial Institutions Supervisory Act of 1966</t>
  </si>
  <si>
    <t>Labor-Management Reporting and Disclosure Act of 1959</t>
  </si>
  <si>
    <t>Tax Equity and Fiscal Responsibility Act of 1982</t>
  </si>
  <si>
    <t>California Wilderness Act of 1984</t>
  </si>
  <si>
    <t>Amateur Sports Act of 1978</t>
  </si>
  <si>
    <t>Uniform Code of Military Justice Act</t>
  </si>
  <si>
    <t>Bankruptcy Amendments and Federal Judgeship Act of 1984</t>
  </si>
  <si>
    <t>Surface Transportation Assistance Act of 1982</t>
  </si>
  <si>
    <t>Communications Act Amendments of 1978</t>
  </si>
  <si>
    <t>Commodity Futures Trading Communication Act of 1974</t>
  </si>
  <si>
    <t>Omnibus Budget Reconciliation Act of 1982</t>
  </si>
  <si>
    <t>Tax Reform Act of 1976</t>
  </si>
  <si>
    <t>Housing and Community Development Act of 1977</t>
  </si>
  <si>
    <t>Federal Pesticide Act of 1978</t>
  </si>
  <si>
    <t>Elementary and Secondary Education Act of 1965</t>
  </si>
  <si>
    <t>Investment Company Act of 1940</t>
  </si>
  <si>
    <t>Fair Labor Standards Act of 1938</t>
  </si>
  <si>
    <t>Revenue Act of 1971</t>
  </si>
  <si>
    <t>Amtrak Reorganization Act of 1979</t>
  </si>
  <si>
    <t>Department of Defense Authorization Act of 1983</t>
  </si>
  <si>
    <t>Securities Exchange Act of 1934</t>
  </si>
  <si>
    <t>Railway Labor Act Amendment</t>
  </si>
  <si>
    <t>Social Security Amendments of 1977</t>
  </si>
  <si>
    <t>Federal Trade Commission Improvements Act of 1980</t>
  </si>
  <si>
    <t>Natural Gas Policy Act of 1978</t>
  </si>
  <si>
    <t>Crude Oil Windfall Profit Tax Act of 1980</t>
  </si>
  <si>
    <t>Foreign Sovereign Immunities Act of 1976</t>
  </si>
  <si>
    <t>Age Discrimination in Employment Act of 1967</t>
  </si>
  <si>
    <t>Social Security Amendments of 1967</t>
  </si>
  <si>
    <t>Public Utility Regulatory Policies Act of 1978</t>
  </si>
  <si>
    <t>Social Security Amendments of 1965</t>
  </si>
  <si>
    <t xml:space="preserve">Railway Labor Act  </t>
  </si>
  <si>
    <t>Staggers Rail Act of 1980</t>
  </si>
  <si>
    <t>Social Security Act Amendments of 1939</t>
  </si>
  <si>
    <t>Selective Services Act of 1948</t>
  </si>
  <si>
    <t>Surface Mining Control and Reclamation Act of 1977</t>
  </si>
  <si>
    <t>Social Security Amendments of 1972</t>
  </si>
  <si>
    <t>Treasury, Postal Service, and General Government Appropriations Act of 1980</t>
  </si>
  <si>
    <t>Railroad Retirement Act of 1937</t>
  </si>
  <si>
    <t>Occupational Safety and Health Act of 1970</t>
  </si>
  <si>
    <t>Public Works Employment Act of 1977</t>
  </si>
  <si>
    <t>Indian Claims Commission Act Amendment</t>
  </si>
  <si>
    <t>Departments of Labor and Health, Education, and Welfare Appropriate Act of 1977</t>
  </si>
  <si>
    <t>Water Pollution Control Act</t>
  </si>
  <si>
    <t>Social Security Act</t>
  </si>
  <si>
    <t>Voting Rights Act of 1965</t>
  </si>
  <si>
    <t>Consumer Goods Pricing Act of 1975</t>
  </si>
  <si>
    <t>Federal Salary and Fringe Benefits Act of 1966</t>
  </si>
  <si>
    <t>Revenue Act of 1924</t>
  </si>
  <si>
    <t>Railway Labor Act</t>
  </si>
  <si>
    <t>Revenue Act of 1928</t>
  </si>
  <si>
    <t>Revenue Act of 1925</t>
  </si>
  <si>
    <t xml:space="preserve">Transportation Act of 1920  </t>
  </si>
  <si>
    <t>United States Arbitration Act</t>
  </si>
  <si>
    <t xml:space="preserve">Revenue Act of 1918  </t>
  </si>
  <si>
    <t>Longshortmen's and Harbor Workers' Compensation Act</t>
  </si>
  <si>
    <t xml:space="preserve">Revenue Act of 1924  </t>
  </si>
  <si>
    <t>Radio Act of 1927</t>
  </si>
  <si>
    <t xml:space="preserve">Tariff Act of 1922  </t>
  </si>
  <si>
    <t>Independent Offices Appropriation Act of 1935</t>
  </si>
  <si>
    <t>Independent Offices Appropriation Act of 1933</t>
  </si>
  <si>
    <t>Merchant Marine Act of 1920</t>
  </si>
  <si>
    <t>Agricultural Adjustment Act</t>
  </si>
  <si>
    <t>Tennessee Valley Authority Act of 1933</t>
  </si>
  <si>
    <t>Bankruptcy Act of 1898 Amendments</t>
  </si>
  <si>
    <t>Silver Purchase Act of 1934</t>
  </si>
  <si>
    <t>Settlement of War Claims Act of 1928 Amendments</t>
  </si>
  <si>
    <t>National Firearms Act</t>
  </si>
  <si>
    <t>National Labor Relations Act</t>
  </si>
  <si>
    <t>Revenue Act of 1934</t>
  </si>
  <si>
    <t>Revenue Act of 1936</t>
  </si>
  <si>
    <t>Home Owners' Loan Act of 1933 Amendments</t>
  </si>
  <si>
    <t>Public Utility Act of 1935</t>
  </si>
  <si>
    <t>Revenue Act of 1932</t>
  </si>
  <si>
    <t>Shipping Act of 1916</t>
  </si>
  <si>
    <t>World War Veterans' Act of 1924</t>
  </si>
  <si>
    <t>Tobacco Inspections Act</t>
  </si>
  <si>
    <t>National Labor Relation Act</t>
  </si>
  <si>
    <t>Federal Fram Loan Act</t>
  </si>
  <si>
    <t>Agricultural Marketing Adjustment Act of 1937</t>
  </si>
  <si>
    <t>Communications Act of 1934</t>
  </si>
  <si>
    <t>Bituminous Coal Act of 1937</t>
  </si>
  <si>
    <t>Settlement of War Claims Act of 1928</t>
  </si>
  <si>
    <t xml:space="preserve">Federal Farm Loan Act  </t>
  </si>
  <si>
    <t>Natural Gas Act</t>
  </si>
  <si>
    <t>Agricultural Adjustment Act of 1938 Amendments</t>
  </si>
  <si>
    <t>Emergency Price Control Act of 1942</t>
  </si>
  <si>
    <t>Department of Agriculture Appropriation Act of 1943</t>
  </si>
  <si>
    <t>Federal Firearms Act</t>
  </si>
  <si>
    <t>Communications Act of 1934 Amendment</t>
  </si>
  <si>
    <t>District of Columbia Revenue Act of 1937</t>
  </si>
  <si>
    <t>Alien Registration Act of 1940</t>
  </si>
  <si>
    <t>Revenue Act of 1942</t>
  </si>
  <si>
    <t>Civil Aeronautics Act of 1938</t>
  </si>
  <si>
    <t>Urgent Deficiency Appropriation Act of 1943</t>
  </si>
  <si>
    <t>Nationality Act of 1940</t>
  </si>
  <si>
    <t>Selective Training and Service Act of 1940</t>
  </si>
  <si>
    <t>Banking Act of 1935</t>
  </si>
  <si>
    <t>Price Control Extension Act of 1946</t>
  </si>
  <si>
    <t>Federal Food, Drug, and Cosmetic Act</t>
  </si>
  <si>
    <t>Home Owners' Loan Act of 1933</t>
  </si>
  <si>
    <t>Housing and Rent Act of 1947</t>
  </si>
  <si>
    <t>Sixth Supplemental National Defense Appropriation Act of 1942</t>
  </si>
  <si>
    <t>Merchant Marine Act of 1936</t>
  </si>
  <si>
    <t>Sugar Act of 1948</t>
  </si>
  <si>
    <t>Interstate Commerce Act Amendment</t>
  </si>
  <si>
    <t>War Claims Act of 1948</t>
  </si>
  <si>
    <t>First War Powers Act of 1941</t>
  </si>
  <si>
    <t>Revenue Act of 1951</t>
  </si>
  <si>
    <t>Soldiers' and Sailors' Civil Relief Act Amendment</t>
  </si>
  <si>
    <t>Legislative Reorganization Act of 1946</t>
  </si>
  <si>
    <t>Antitrust Act of 1914 Amendment</t>
  </si>
  <si>
    <t>District of Columbia Redevelopment Act of 1945</t>
  </si>
  <si>
    <t xml:space="preserve">Uniform Code of Military Justice  </t>
  </si>
  <si>
    <t>Surplus Property Act of 1944</t>
  </si>
  <si>
    <t>Federal-Aid Highway Act of 1952</t>
  </si>
  <si>
    <t>Nationality Act of 1940 Amendment</t>
  </si>
  <si>
    <t>Housing Act of 1954</t>
  </si>
  <si>
    <t>Revenue Act of 1939</t>
  </si>
  <si>
    <t>Civil Rights Act of 1957</t>
  </si>
  <si>
    <t>Social Security Amendments of 1954</t>
  </si>
  <si>
    <t>Narcotic Control Act of 1956</t>
  </si>
  <si>
    <t>Selective Service Act of 1948</t>
  </si>
  <si>
    <t>Internal Security Act of 1950</t>
  </si>
  <si>
    <t>Gold Reserve Act of 1934</t>
  </si>
  <si>
    <t>Civil Rights Act of 1960</t>
  </si>
  <si>
    <t>Excise Tax Technical Changes Act of 1958</t>
  </si>
  <si>
    <t>Life Insurance Company Income Tax Act of 1959</t>
  </si>
  <si>
    <t>Postal Service and Federal Employees Salary Act of 1962</t>
  </si>
  <si>
    <t>Fair Labor Standards Amendments of 1966</t>
  </si>
  <si>
    <t>Universal Military Training and Service Act Amendments</t>
  </si>
  <si>
    <t>United States Housing Act of 1937</t>
  </si>
  <si>
    <t>Social Security Act Amendments of 1950</t>
  </si>
  <si>
    <t xml:space="preserve">Communications Act Amendment </t>
  </si>
  <si>
    <t>Postal Revenue and Federal Salary Act of 1967</t>
  </si>
  <si>
    <t>Voting Rights Act Amendments of 1970</t>
  </si>
  <si>
    <t>Gun Control Act of 1968</t>
  </si>
  <si>
    <t>Consumer Credit Protection Act</t>
  </si>
  <si>
    <t>District of Columbia Law Enforcement Act of 1953</t>
  </si>
  <si>
    <t>Higher Education Facilities Act of 1963</t>
  </si>
  <si>
    <t>Jury Selection and Service Act of 1968</t>
  </si>
  <si>
    <t>District of Columbia Court Reform and Criminal Procedure Act of 1970</t>
  </si>
  <si>
    <t>Food Stamp Act of 1964 Amendments</t>
  </si>
  <si>
    <t>Public Health Service Act Amendment</t>
  </si>
  <si>
    <t>Independent Offices Appropriation Act of 1952</t>
  </si>
  <si>
    <t>Veterans Hospitalization and Medical Services Modernization Amendments of 1966</t>
  </si>
  <si>
    <t>Federal Deposit Insurance Act Amendments</t>
  </si>
  <si>
    <t>Regional Rail Reorganization Act of 1973</t>
  </si>
  <si>
    <t>Omnibus Crime Control Act of 1970</t>
  </si>
  <si>
    <t>First Independent Offices Appropration Act of 1954</t>
  </si>
  <si>
    <t>Defense Production Act of 1950 Amendment</t>
  </si>
  <si>
    <t>Trade Act of 1974</t>
  </si>
  <si>
    <t>Equal Employment Opportunity Act of 1972</t>
  </si>
  <si>
    <t>Black Lung Benefit Act of 1972</t>
  </si>
  <si>
    <t>Parole Commission and Reorganization Act</t>
  </si>
  <si>
    <t>The Food Stamp Act of 1964</t>
  </si>
  <si>
    <t>Army and Air Force Vitalization and Retirement Equalization Act of 1948</t>
  </si>
  <si>
    <t>Organic Act of Guam</t>
  </si>
  <si>
    <t>Railroad Retirement Act of 1937 Amendment</t>
  </si>
  <si>
    <t>Presidential Recordings and Materials Preservation Act</t>
  </si>
  <si>
    <t>Social Security Act Amendments of 1958</t>
  </si>
  <si>
    <t>Veterans' Education and Employment Assistance Act of 1976</t>
  </si>
  <si>
    <t>National Labor Relations Act Amendments</t>
  </si>
  <si>
    <t>Foreign Service Act of 1946</t>
  </si>
  <si>
    <t>17 JCC 459</t>
  </si>
  <si>
    <t>4 Stat. 708</t>
  </si>
  <si>
    <t>Benner v. Porter</t>
  </si>
  <si>
    <t>Louisiana Statehood Act</t>
  </si>
  <si>
    <t>4 Stat. 531</t>
  </si>
  <si>
    <t>6/15/1832</t>
  </si>
  <si>
    <t>4 Stat. 398</t>
  </si>
  <si>
    <t>73-486</t>
  </si>
  <si>
    <t>Frazier-Lemke Act</t>
  </si>
  <si>
    <t>Potato Control Act</t>
  </si>
  <si>
    <t>74-320</t>
  </si>
  <si>
    <t>74-402</t>
  </si>
  <si>
    <t>Bituminous Coal Act of 1935</t>
  </si>
  <si>
    <t>94-573</t>
  </si>
  <si>
    <t>Federal Land Policy and Management Act</t>
  </si>
  <si>
    <t>Design Protection Act</t>
  </si>
  <si>
    <t>90 Stat. 2541</t>
  </si>
  <si>
    <t>Social Security Amendments Act</t>
  </si>
  <si>
    <t>97 Stat. 65</t>
  </si>
  <si>
    <t>98-21</t>
  </si>
  <si>
    <t>98-11</t>
  </si>
  <si>
    <t>National Trails System Act Amendments</t>
  </si>
  <si>
    <t>United States v. Ursery</t>
  </si>
  <si>
    <t>16 Stat. 433</t>
  </si>
  <si>
    <t>Enforcement Act of 1871</t>
  </si>
  <si>
    <t>2/18/1871</t>
  </si>
  <si>
    <t>15 Stat. 6</t>
  </si>
  <si>
    <t>9 Stat. 635</t>
  </si>
  <si>
    <t>17 Stat. 196</t>
  </si>
  <si>
    <t>Judiciary Act of 1875</t>
  </si>
  <si>
    <t>Currency Act</t>
  </si>
  <si>
    <t>Copyright Acts</t>
  </si>
  <si>
    <t>9 Stat. 629</t>
  </si>
  <si>
    <t>20 Stat. 334</t>
  </si>
  <si>
    <t>Internal Revenue Act of 1879</t>
  </si>
  <si>
    <t>3/1/1879</t>
  </si>
  <si>
    <t>17 Stat. 283</t>
  </si>
  <si>
    <t>41 Stat. 493</t>
  </si>
  <si>
    <t>Transportation Act of 1920</t>
  </si>
  <si>
    <t>An Act for Relief of Thomas C. Edwards</t>
  </si>
  <si>
    <t>35 Stat. 403</t>
  </si>
  <si>
    <t>60-146</t>
  </si>
  <si>
    <t>National Defense Act Amendments</t>
  </si>
  <si>
    <t>Copyright Act</t>
  </si>
  <si>
    <t>Penal Law Codification of 1909</t>
  </si>
  <si>
    <t>Federal Corrupt Practices Acts</t>
  </si>
  <si>
    <t>Nelson Act</t>
  </si>
  <si>
    <t>Hoch-Smith Resolution</t>
  </si>
  <si>
    <t xml:space="preserve">Gold Repeal Joint Resolution </t>
  </si>
  <si>
    <t>Winslow Act</t>
  </si>
  <si>
    <t>Mail Fraud Act</t>
  </si>
  <si>
    <t>Hawaiian Organic Act</t>
  </si>
  <si>
    <t>Hatch Act</t>
  </si>
  <si>
    <t>Alien Visa Act</t>
  </si>
  <si>
    <t>Gambling Devices Transportation Act</t>
  </si>
  <si>
    <t>Federal Arbitration Act of 1947</t>
  </si>
  <si>
    <t>Conspiracy Act of 1948</t>
  </si>
  <si>
    <t>Labor-Management Reporting and Disclosure Act</t>
  </si>
  <si>
    <t>Magnuson Act</t>
  </si>
  <si>
    <t>Capitol Grounds Act</t>
  </si>
  <si>
    <t>60 Stat. 718</t>
  </si>
  <si>
    <t>Fair Housing Act</t>
  </si>
  <si>
    <t>Social Security Act Amendments</t>
  </si>
  <si>
    <t>River and Harbors Act</t>
  </si>
  <si>
    <t>Taft-Hartley Act</t>
  </si>
  <si>
    <t>Balanced Budget and Emergency Deficit Control Reaffirmation Act</t>
  </si>
  <si>
    <t>Pittman Embassy Picketing Act</t>
  </si>
  <si>
    <t>Agriculture, Rural Development, and Related Agencies Appropriations Act</t>
  </si>
  <si>
    <t>Indian Land Consolidation Act Amendments</t>
  </si>
  <si>
    <t>U.S. Copyright Act of 1976</t>
  </si>
  <si>
    <t>Comprehensive Crime Control Act of 1984</t>
  </si>
  <si>
    <t>Controlled Substances Penalties Amendment Act</t>
  </si>
  <si>
    <t>Immigration Act of 1917</t>
  </si>
  <si>
    <t>63-16</t>
  </si>
  <si>
    <t>Filled Milk Act</t>
  </si>
  <si>
    <t>Walsh Act</t>
  </si>
  <si>
    <t>Economy Act of 1932</t>
  </si>
  <si>
    <t>Economy Act of 1933</t>
  </si>
  <si>
    <t>Federal Interpleader Act of 1936</t>
  </si>
  <si>
    <t>Crimes and Criminal Procedure Act</t>
  </si>
  <si>
    <t>Judiciary and Judicial Procedure Act</t>
  </si>
  <si>
    <t>Census Act</t>
  </si>
  <si>
    <t>International Emergency Economic Powers Act</t>
  </si>
  <si>
    <t>Bankruptcy Reform Act of 1978</t>
  </si>
  <si>
    <t>National Minimum Drinking Age Act</t>
  </si>
  <si>
    <t>Passenger Act</t>
  </si>
  <si>
    <t>Tariff Act of 1851</t>
  </si>
  <si>
    <t>Pacific Railroad Act</t>
  </si>
  <si>
    <t>Major Crime Act</t>
  </si>
  <si>
    <t>Appropriations Act of 1894</t>
  </si>
  <si>
    <t>Spooner Act</t>
  </si>
  <si>
    <t>Emergency Shipping Fund Act</t>
  </si>
  <si>
    <t>Renegotiation Act Extension</t>
  </si>
  <si>
    <t>United States v. National Treasury Employees Union</t>
  </si>
  <si>
    <t>Denver Area Educational Telecommunications Consortium v. Federal Communications Commission</t>
  </si>
  <si>
    <t>Davis v. Federal Election Commission</t>
  </si>
  <si>
    <t>547 U.S. 47</t>
  </si>
  <si>
    <t>546 U.S. 356</t>
  </si>
  <si>
    <t>563 U.S. 247</t>
  </si>
  <si>
    <t>564 U.S. 462</t>
  </si>
  <si>
    <t>566 U.S. 30</t>
  </si>
  <si>
    <t>567 U.S. 709</t>
  </si>
  <si>
    <t>567 U.S. 519</t>
  </si>
  <si>
    <t>565 U.S. 171</t>
  </si>
  <si>
    <t>569 U.S. 530</t>
  </si>
  <si>
    <t>Navy Appropriations Act of 1918</t>
  </si>
  <si>
    <t>40 Stat. 704</t>
  </si>
  <si>
    <t>65-182</t>
  </si>
  <si>
    <t>Gundy v. United States</t>
  </si>
  <si>
    <t>139 S.Ct. 2116</t>
  </si>
  <si>
    <t>United States v. Davis</t>
  </si>
  <si>
    <t>139 S.Ct. 2319</t>
  </si>
  <si>
    <t>Comphrensive Crime Control Act of 1984</t>
  </si>
  <si>
    <t>United States v. Haymond</t>
  </si>
  <si>
    <t>139 S.Ct. 2369</t>
  </si>
  <si>
    <t>Iancu v. Brunetti</t>
  </si>
  <si>
    <t>139 S.Ct. 2294</t>
  </si>
  <si>
    <t>Seila Law LLC v. Consumer Financial Protection Bureau</t>
  </si>
  <si>
    <t>140 S.Ct. 2183</t>
  </si>
  <si>
    <t>Dodd-Frank Wall Street Reform and Consumer Protection Act</t>
  </si>
  <si>
    <t>124 Stat. 1376</t>
  </si>
  <si>
    <t>111-203</t>
  </si>
  <si>
    <t>Allen v. Cooper</t>
  </si>
  <si>
    <t>140 S.Ct. 994</t>
  </si>
  <si>
    <t>Copyright Remedy Clarification Act</t>
  </si>
  <si>
    <t>104 Stat. 2749</t>
  </si>
  <si>
    <t>101-553</t>
  </si>
  <si>
    <t>Financial Oversight and Management Board for Puerto Rico v. Aurelius Investors, LLC</t>
  </si>
  <si>
    <t>140 S.Ct. 1649</t>
  </si>
  <si>
    <t>Puerto Rico Oversight, Management, and Economic Stability Act</t>
  </si>
  <si>
    <t>130 Stat. 549</t>
  </si>
  <si>
    <t>114-187</t>
  </si>
  <si>
    <t>Department of Homeland Security v. Thuraissigiam</t>
  </si>
  <si>
    <t>140 S.Ct. 1959</t>
  </si>
  <si>
    <t>Illegal Immigration Reform and Immigrant Responsibility Act</t>
  </si>
  <si>
    <t>Barr v. American Association of Political Consultants</t>
  </si>
  <si>
    <t>140 S.Ct. 2335</t>
  </si>
  <si>
    <t>Bipartisan Budget Act of 2015</t>
  </si>
  <si>
    <t>129 Stat. 588</t>
  </si>
  <si>
    <t>111-74</t>
  </si>
  <si>
    <t>140 S.Ct. 2082</t>
  </si>
  <si>
    <t>PennEast Pipeline Co., LLC v. New Jersey</t>
  </si>
  <si>
    <t>141 S.Ct. 2244</t>
  </si>
  <si>
    <t>Natural Gas Act Amendment Act</t>
  </si>
  <si>
    <t>61 Stat. 459</t>
  </si>
  <si>
    <t>80-245</t>
  </si>
  <si>
    <t>United States v. Arthrex, Inc.</t>
  </si>
  <si>
    <t>141 S.Ct. 1970</t>
  </si>
  <si>
    <t>Collins v. Yellen</t>
  </si>
  <si>
    <t>141 S.Ct. 1761</t>
  </si>
  <si>
    <t>Housing and Economic Recovery Act</t>
  </si>
  <si>
    <t>122 Stat. 2654</t>
  </si>
  <si>
    <t>110-289</t>
  </si>
  <si>
    <t>United States v. Vaello-Madero</t>
  </si>
  <si>
    <t>142 S.Ct. 1539</t>
  </si>
  <si>
    <t>Federal Elections Commission v. Cruz</t>
  </si>
  <si>
    <t>142 S.Ct. 1638</t>
  </si>
  <si>
    <t>Torres v. Texas Department of Public Safety</t>
  </si>
  <si>
    <t>Uniform Services Employment and Reemployment Rights Act of 1994</t>
  </si>
  <si>
    <t>108 Stat. 3149</t>
  </si>
  <si>
    <t>103-353</t>
  </si>
  <si>
    <t>N/A</t>
  </si>
  <si>
    <t>caseId.SCDB</t>
  </si>
  <si>
    <t>NA</t>
  </si>
  <si>
    <t>570 U.S. 205</t>
  </si>
  <si>
    <t>570 U.S. 387</t>
  </si>
  <si>
    <t>570 U.S. 529</t>
  </si>
  <si>
    <t>570 U.S. 744</t>
  </si>
  <si>
    <t>572 U.S. 185</t>
  </si>
  <si>
    <t>JRC caseID</t>
  </si>
  <si>
    <t>.1924.02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</si>
</sst>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sz val="11"/>
      <color indexed="63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14" fontId="0" fillId="0" borderId="0" xfId="0" applyNumberForma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14" fontId="7" fillId="0" borderId="0" xfId="0" applyNumberFormat="1" applyFont="1"/>
    <xf numFmtId="0" fontId="7" fillId="0" borderId="0" xfId="0" applyFont="1" applyAlignment="1">
      <alignment vertical="center"/>
    </xf>
    <xf numFmtId="164" fontId="14" fillId="0" borderId="0" xfId="0" applyNumberFormat="1" applyFont="1" applyAlignment="1" applyProtection="1">
      <alignment horizontal="center" vertical="top" wrapText="1"/>
      <protection locked="0"/>
    </xf>
    <xf numFmtId="164" fontId="13" fillId="0" borderId="0" xfId="1" applyNumberFormat="1" applyFont="1" applyAlignment="1">
      <alignment horizontal="center" vertical="top"/>
    </xf>
    <xf numFmtId="164" fontId="12" fillId="0" borderId="0" xfId="0" applyNumberFormat="1" applyFont="1" applyAlignment="1">
      <alignment horizontal="center"/>
    </xf>
    <xf numFmtId="164" fontId="15" fillId="0" borderId="0" xfId="0" applyNumberFormat="1" applyFont="1" applyAlignment="1" applyProtection="1">
      <alignment horizontal="center" vertical="top" wrapText="1"/>
      <protection locked="0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24"/>
  <sheetViews>
    <sheetView tabSelected="1" topLeftCell="B1" workbookViewId="0">
      <pane ySplit="1" topLeftCell="A104" activePane="bottomLeft" state="frozen"/>
      <selection activeCell="C1" sqref="C1"/>
      <selection pane="bottomLeft" activeCell="P113" sqref="P113"/>
    </sheetView>
  </sheetViews>
  <sheetFormatPr baseColWidth="10" defaultColWidth="8.83203125" defaultRowHeight="15" x14ac:dyDescent="0.2"/>
  <cols>
    <col min="1" max="1" width="26.6640625" style="3" customWidth="1"/>
    <col min="2" max="2" width="12.6640625" style="2" customWidth="1"/>
    <col min="3" max="3" width="10.6640625" style="2" customWidth="1"/>
    <col min="4" max="7" width="5.6640625" style="2" customWidth="1"/>
    <col min="8" max="8" width="12.6640625" style="3" customWidth="1"/>
    <col min="9" max="9" width="18" style="3" customWidth="1"/>
    <col min="10" max="10" width="15.33203125" style="3" bestFit="1" customWidth="1"/>
    <col min="11" max="11" width="12.33203125" style="3" bestFit="1" customWidth="1"/>
    <col min="12" max="12" width="10.6640625" style="4" customWidth="1"/>
    <col min="13" max="13" width="7.6640625" style="4" customWidth="1"/>
    <col min="14" max="16" width="6.6640625" style="2" customWidth="1"/>
    <col min="17" max="17" width="5.6640625" style="2" customWidth="1"/>
    <col min="18" max="18" width="6.6640625" style="2" customWidth="1"/>
    <col min="19" max="23" width="9.1640625" style="2" customWidth="1"/>
    <col min="24" max="24" width="9.1640625" customWidth="1"/>
    <col min="26" max="26" width="11.6640625" style="28" customWidth="1"/>
    <col min="27" max="27" width="10.6640625" style="31" customWidth="1"/>
    <col min="249" max="249" width="26.6640625" customWidth="1"/>
    <col min="250" max="250" width="12.6640625" customWidth="1"/>
    <col min="251" max="251" width="10.6640625" customWidth="1"/>
    <col min="252" max="252" width="5.6640625" customWidth="1"/>
    <col min="253" max="254" width="9" customWidth="1"/>
    <col min="255" max="255" width="5.6640625" customWidth="1"/>
    <col min="256" max="256" width="12.6640625" customWidth="1"/>
    <col min="257" max="259" width="15.6640625" customWidth="1"/>
    <col min="260" max="260" width="10.6640625" customWidth="1"/>
    <col min="261" max="261" width="7.6640625" customWidth="1"/>
    <col min="262" max="264" width="6.6640625" customWidth="1"/>
    <col min="265" max="265" width="5.6640625" customWidth="1"/>
    <col min="266" max="266" width="6.6640625" customWidth="1"/>
    <col min="267" max="272" width="9" customWidth="1"/>
    <col min="273" max="274" width="9.1640625" customWidth="1"/>
    <col min="277" max="279" width="9.1640625" customWidth="1"/>
    <col min="505" max="505" width="26.6640625" customWidth="1"/>
    <col min="506" max="506" width="12.6640625" customWidth="1"/>
    <col min="507" max="507" width="10.6640625" customWidth="1"/>
    <col min="508" max="508" width="5.6640625" customWidth="1"/>
    <col min="509" max="510" width="9" customWidth="1"/>
    <col min="511" max="511" width="5.6640625" customWidth="1"/>
    <col min="512" max="512" width="12.6640625" customWidth="1"/>
    <col min="513" max="515" width="15.6640625" customWidth="1"/>
    <col min="516" max="516" width="10.6640625" customWidth="1"/>
    <col min="517" max="517" width="7.6640625" customWidth="1"/>
    <col min="518" max="520" width="6.6640625" customWidth="1"/>
    <col min="521" max="521" width="5.6640625" customWidth="1"/>
    <col min="522" max="522" width="6.6640625" customWidth="1"/>
    <col min="523" max="528" width="9" customWidth="1"/>
    <col min="529" max="530" width="9.1640625" customWidth="1"/>
    <col min="533" max="535" width="9.1640625" customWidth="1"/>
    <col min="761" max="761" width="26.6640625" customWidth="1"/>
    <col min="762" max="762" width="12.6640625" customWidth="1"/>
    <col min="763" max="763" width="10.6640625" customWidth="1"/>
    <col min="764" max="764" width="5.6640625" customWidth="1"/>
    <col min="765" max="766" width="9" customWidth="1"/>
    <col min="767" max="767" width="5.6640625" customWidth="1"/>
    <col min="768" max="768" width="12.6640625" customWidth="1"/>
    <col min="769" max="771" width="15.6640625" customWidth="1"/>
    <col min="772" max="772" width="10.6640625" customWidth="1"/>
    <col min="773" max="773" width="7.6640625" customWidth="1"/>
    <col min="774" max="776" width="6.6640625" customWidth="1"/>
    <col min="777" max="777" width="5.6640625" customWidth="1"/>
    <col min="778" max="778" width="6.6640625" customWidth="1"/>
    <col min="779" max="784" width="9" customWidth="1"/>
    <col min="785" max="786" width="9.1640625" customWidth="1"/>
    <col min="789" max="791" width="9.1640625" customWidth="1"/>
    <col min="1017" max="1017" width="26.6640625" customWidth="1"/>
    <col min="1018" max="1018" width="12.6640625" customWidth="1"/>
    <col min="1019" max="1019" width="10.6640625" customWidth="1"/>
    <col min="1020" max="1020" width="5.6640625" customWidth="1"/>
    <col min="1021" max="1022" width="9" customWidth="1"/>
    <col min="1023" max="1023" width="5.6640625" customWidth="1"/>
    <col min="1024" max="1024" width="12.6640625" customWidth="1"/>
    <col min="1025" max="1027" width="15.6640625" customWidth="1"/>
    <col min="1028" max="1028" width="10.6640625" customWidth="1"/>
    <col min="1029" max="1029" width="7.6640625" customWidth="1"/>
    <col min="1030" max="1032" width="6.6640625" customWidth="1"/>
    <col min="1033" max="1033" width="5.6640625" customWidth="1"/>
    <col min="1034" max="1034" width="6.6640625" customWidth="1"/>
    <col min="1035" max="1040" width="9" customWidth="1"/>
    <col min="1041" max="1042" width="9.1640625" customWidth="1"/>
    <col min="1045" max="1047" width="9.1640625" customWidth="1"/>
    <col min="1273" max="1273" width="26.6640625" customWidth="1"/>
    <col min="1274" max="1274" width="12.6640625" customWidth="1"/>
    <col min="1275" max="1275" width="10.6640625" customWidth="1"/>
    <col min="1276" max="1276" width="5.6640625" customWidth="1"/>
    <col min="1277" max="1278" width="9" customWidth="1"/>
    <col min="1279" max="1279" width="5.6640625" customWidth="1"/>
    <col min="1280" max="1280" width="12.6640625" customWidth="1"/>
    <col min="1281" max="1283" width="15.6640625" customWidth="1"/>
    <col min="1284" max="1284" width="10.6640625" customWidth="1"/>
    <col min="1285" max="1285" width="7.6640625" customWidth="1"/>
    <col min="1286" max="1288" width="6.6640625" customWidth="1"/>
    <col min="1289" max="1289" width="5.6640625" customWidth="1"/>
    <col min="1290" max="1290" width="6.6640625" customWidth="1"/>
    <col min="1291" max="1296" width="9" customWidth="1"/>
    <col min="1297" max="1298" width="9.1640625" customWidth="1"/>
    <col min="1301" max="1303" width="9.1640625" customWidth="1"/>
    <col min="1529" max="1529" width="26.6640625" customWidth="1"/>
    <col min="1530" max="1530" width="12.6640625" customWidth="1"/>
    <col min="1531" max="1531" width="10.6640625" customWidth="1"/>
    <col min="1532" max="1532" width="5.6640625" customWidth="1"/>
    <col min="1533" max="1534" width="9" customWidth="1"/>
    <col min="1535" max="1535" width="5.6640625" customWidth="1"/>
    <col min="1536" max="1536" width="12.6640625" customWidth="1"/>
    <col min="1537" max="1539" width="15.6640625" customWidth="1"/>
    <col min="1540" max="1540" width="10.6640625" customWidth="1"/>
    <col min="1541" max="1541" width="7.6640625" customWidth="1"/>
    <col min="1542" max="1544" width="6.6640625" customWidth="1"/>
    <col min="1545" max="1545" width="5.6640625" customWidth="1"/>
    <col min="1546" max="1546" width="6.6640625" customWidth="1"/>
    <col min="1547" max="1552" width="9" customWidth="1"/>
    <col min="1553" max="1554" width="9.1640625" customWidth="1"/>
    <col min="1557" max="1559" width="9.1640625" customWidth="1"/>
    <col min="1785" max="1785" width="26.6640625" customWidth="1"/>
    <col min="1786" max="1786" width="12.6640625" customWidth="1"/>
    <col min="1787" max="1787" width="10.6640625" customWidth="1"/>
    <col min="1788" max="1788" width="5.6640625" customWidth="1"/>
    <col min="1789" max="1790" width="9" customWidth="1"/>
    <col min="1791" max="1791" width="5.6640625" customWidth="1"/>
    <col min="1792" max="1792" width="12.6640625" customWidth="1"/>
    <col min="1793" max="1795" width="15.6640625" customWidth="1"/>
    <col min="1796" max="1796" width="10.6640625" customWidth="1"/>
    <col min="1797" max="1797" width="7.6640625" customWidth="1"/>
    <col min="1798" max="1800" width="6.6640625" customWidth="1"/>
    <col min="1801" max="1801" width="5.6640625" customWidth="1"/>
    <col min="1802" max="1802" width="6.6640625" customWidth="1"/>
    <col min="1803" max="1808" width="9" customWidth="1"/>
    <col min="1809" max="1810" width="9.1640625" customWidth="1"/>
    <col min="1813" max="1815" width="9.1640625" customWidth="1"/>
    <col min="2041" max="2041" width="26.6640625" customWidth="1"/>
    <col min="2042" max="2042" width="12.6640625" customWidth="1"/>
    <col min="2043" max="2043" width="10.6640625" customWidth="1"/>
    <col min="2044" max="2044" width="5.6640625" customWidth="1"/>
    <col min="2045" max="2046" width="9" customWidth="1"/>
    <col min="2047" max="2047" width="5.6640625" customWidth="1"/>
    <col min="2048" max="2048" width="12.6640625" customWidth="1"/>
    <col min="2049" max="2051" width="15.6640625" customWidth="1"/>
    <col min="2052" max="2052" width="10.6640625" customWidth="1"/>
    <col min="2053" max="2053" width="7.6640625" customWidth="1"/>
    <col min="2054" max="2056" width="6.6640625" customWidth="1"/>
    <col min="2057" max="2057" width="5.6640625" customWidth="1"/>
    <col min="2058" max="2058" width="6.6640625" customWidth="1"/>
    <col min="2059" max="2064" width="9" customWidth="1"/>
    <col min="2065" max="2066" width="9.1640625" customWidth="1"/>
    <col min="2069" max="2071" width="9.1640625" customWidth="1"/>
    <col min="2297" max="2297" width="26.6640625" customWidth="1"/>
    <col min="2298" max="2298" width="12.6640625" customWidth="1"/>
    <col min="2299" max="2299" width="10.6640625" customWidth="1"/>
    <col min="2300" max="2300" width="5.6640625" customWidth="1"/>
    <col min="2301" max="2302" width="9" customWidth="1"/>
    <col min="2303" max="2303" width="5.6640625" customWidth="1"/>
    <col min="2304" max="2304" width="12.6640625" customWidth="1"/>
    <col min="2305" max="2307" width="15.6640625" customWidth="1"/>
    <col min="2308" max="2308" width="10.6640625" customWidth="1"/>
    <col min="2309" max="2309" width="7.6640625" customWidth="1"/>
    <col min="2310" max="2312" width="6.6640625" customWidth="1"/>
    <col min="2313" max="2313" width="5.6640625" customWidth="1"/>
    <col min="2314" max="2314" width="6.6640625" customWidth="1"/>
    <col min="2315" max="2320" width="9" customWidth="1"/>
    <col min="2321" max="2322" width="9.1640625" customWidth="1"/>
    <col min="2325" max="2327" width="9.1640625" customWidth="1"/>
    <col min="2553" max="2553" width="26.6640625" customWidth="1"/>
    <col min="2554" max="2554" width="12.6640625" customWidth="1"/>
    <col min="2555" max="2555" width="10.6640625" customWidth="1"/>
    <col min="2556" max="2556" width="5.6640625" customWidth="1"/>
    <col min="2557" max="2558" width="9" customWidth="1"/>
    <col min="2559" max="2559" width="5.6640625" customWidth="1"/>
    <col min="2560" max="2560" width="12.6640625" customWidth="1"/>
    <col min="2561" max="2563" width="15.6640625" customWidth="1"/>
    <col min="2564" max="2564" width="10.6640625" customWidth="1"/>
    <col min="2565" max="2565" width="7.6640625" customWidth="1"/>
    <col min="2566" max="2568" width="6.6640625" customWidth="1"/>
    <col min="2569" max="2569" width="5.6640625" customWidth="1"/>
    <col min="2570" max="2570" width="6.6640625" customWidth="1"/>
    <col min="2571" max="2576" width="9" customWidth="1"/>
    <col min="2577" max="2578" width="9.1640625" customWidth="1"/>
    <col min="2581" max="2583" width="9.1640625" customWidth="1"/>
    <col min="2809" max="2809" width="26.6640625" customWidth="1"/>
    <col min="2810" max="2810" width="12.6640625" customWidth="1"/>
    <col min="2811" max="2811" width="10.6640625" customWidth="1"/>
    <col min="2812" max="2812" width="5.6640625" customWidth="1"/>
    <col min="2813" max="2814" width="9" customWidth="1"/>
    <col min="2815" max="2815" width="5.6640625" customWidth="1"/>
    <col min="2816" max="2816" width="12.6640625" customWidth="1"/>
    <col min="2817" max="2819" width="15.6640625" customWidth="1"/>
    <col min="2820" max="2820" width="10.6640625" customWidth="1"/>
    <col min="2821" max="2821" width="7.6640625" customWidth="1"/>
    <col min="2822" max="2824" width="6.6640625" customWidth="1"/>
    <col min="2825" max="2825" width="5.6640625" customWidth="1"/>
    <col min="2826" max="2826" width="6.6640625" customWidth="1"/>
    <col min="2827" max="2832" width="9" customWidth="1"/>
    <col min="2833" max="2834" width="9.1640625" customWidth="1"/>
    <col min="2837" max="2839" width="9.1640625" customWidth="1"/>
    <col min="3065" max="3065" width="26.6640625" customWidth="1"/>
    <col min="3066" max="3066" width="12.6640625" customWidth="1"/>
    <col min="3067" max="3067" width="10.6640625" customWidth="1"/>
    <col min="3068" max="3068" width="5.6640625" customWidth="1"/>
    <col min="3069" max="3070" width="9" customWidth="1"/>
    <col min="3071" max="3071" width="5.6640625" customWidth="1"/>
    <col min="3072" max="3072" width="12.6640625" customWidth="1"/>
    <col min="3073" max="3075" width="15.6640625" customWidth="1"/>
    <col min="3076" max="3076" width="10.6640625" customWidth="1"/>
    <col min="3077" max="3077" width="7.6640625" customWidth="1"/>
    <col min="3078" max="3080" width="6.6640625" customWidth="1"/>
    <col min="3081" max="3081" width="5.6640625" customWidth="1"/>
    <col min="3082" max="3082" width="6.6640625" customWidth="1"/>
    <col min="3083" max="3088" width="9" customWidth="1"/>
    <col min="3089" max="3090" width="9.1640625" customWidth="1"/>
    <col min="3093" max="3095" width="9.1640625" customWidth="1"/>
    <col min="3321" max="3321" width="26.6640625" customWidth="1"/>
    <col min="3322" max="3322" width="12.6640625" customWidth="1"/>
    <col min="3323" max="3323" width="10.6640625" customWidth="1"/>
    <col min="3324" max="3324" width="5.6640625" customWidth="1"/>
    <col min="3325" max="3326" width="9" customWidth="1"/>
    <col min="3327" max="3327" width="5.6640625" customWidth="1"/>
    <col min="3328" max="3328" width="12.6640625" customWidth="1"/>
    <col min="3329" max="3331" width="15.6640625" customWidth="1"/>
    <col min="3332" max="3332" width="10.6640625" customWidth="1"/>
    <col min="3333" max="3333" width="7.6640625" customWidth="1"/>
    <col min="3334" max="3336" width="6.6640625" customWidth="1"/>
    <col min="3337" max="3337" width="5.6640625" customWidth="1"/>
    <col min="3338" max="3338" width="6.6640625" customWidth="1"/>
    <col min="3339" max="3344" width="9" customWidth="1"/>
    <col min="3345" max="3346" width="9.1640625" customWidth="1"/>
    <col min="3349" max="3351" width="9.1640625" customWidth="1"/>
    <col min="3577" max="3577" width="26.6640625" customWidth="1"/>
    <col min="3578" max="3578" width="12.6640625" customWidth="1"/>
    <col min="3579" max="3579" width="10.6640625" customWidth="1"/>
    <col min="3580" max="3580" width="5.6640625" customWidth="1"/>
    <col min="3581" max="3582" width="9" customWidth="1"/>
    <col min="3583" max="3583" width="5.6640625" customWidth="1"/>
    <col min="3584" max="3584" width="12.6640625" customWidth="1"/>
    <col min="3585" max="3587" width="15.6640625" customWidth="1"/>
    <col min="3588" max="3588" width="10.6640625" customWidth="1"/>
    <col min="3589" max="3589" width="7.6640625" customWidth="1"/>
    <col min="3590" max="3592" width="6.6640625" customWidth="1"/>
    <col min="3593" max="3593" width="5.6640625" customWidth="1"/>
    <col min="3594" max="3594" width="6.6640625" customWidth="1"/>
    <col min="3595" max="3600" width="9" customWidth="1"/>
    <col min="3601" max="3602" width="9.1640625" customWidth="1"/>
    <col min="3605" max="3607" width="9.1640625" customWidth="1"/>
    <col min="3833" max="3833" width="26.6640625" customWidth="1"/>
    <col min="3834" max="3834" width="12.6640625" customWidth="1"/>
    <col min="3835" max="3835" width="10.6640625" customWidth="1"/>
    <col min="3836" max="3836" width="5.6640625" customWidth="1"/>
    <col min="3837" max="3838" width="9" customWidth="1"/>
    <col min="3839" max="3839" width="5.6640625" customWidth="1"/>
    <col min="3840" max="3840" width="12.6640625" customWidth="1"/>
    <col min="3841" max="3843" width="15.6640625" customWidth="1"/>
    <col min="3844" max="3844" width="10.6640625" customWidth="1"/>
    <col min="3845" max="3845" width="7.6640625" customWidth="1"/>
    <col min="3846" max="3848" width="6.6640625" customWidth="1"/>
    <col min="3849" max="3849" width="5.6640625" customWidth="1"/>
    <col min="3850" max="3850" width="6.6640625" customWidth="1"/>
    <col min="3851" max="3856" width="9" customWidth="1"/>
    <col min="3857" max="3858" width="9.1640625" customWidth="1"/>
    <col min="3861" max="3863" width="9.1640625" customWidth="1"/>
    <col min="4089" max="4089" width="26.6640625" customWidth="1"/>
    <col min="4090" max="4090" width="12.6640625" customWidth="1"/>
    <col min="4091" max="4091" width="10.6640625" customWidth="1"/>
    <col min="4092" max="4092" width="5.6640625" customWidth="1"/>
    <col min="4093" max="4094" width="9" customWidth="1"/>
    <col min="4095" max="4095" width="5.6640625" customWidth="1"/>
    <col min="4096" max="4096" width="12.6640625" customWidth="1"/>
    <col min="4097" max="4099" width="15.6640625" customWidth="1"/>
    <col min="4100" max="4100" width="10.6640625" customWidth="1"/>
    <col min="4101" max="4101" width="7.6640625" customWidth="1"/>
    <col min="4102" max="4104" width="6.6640625" customWidth="1"/>
    <col min="4105" max="4105" width="5.6640625" customWidth="1"/>
    <col min="4106" max="4106" width="6.6640625" customWidth="1"/>
    <col min="4107" max="4112" width="9" customWidth="1"/>
    <col min="4113" max="4114" width="9.1640625" customWidth="1"/>
    <col min="4117" max="4119" width="9.1640625" customWidth="1"/>
    <col min="4345" max="4345" width="26.6640625" customWidth="1"/>
    <col min="4346" max="4346" width="12.6640625" customWidth="1"/>
    <col min="4347" max="4347" width="10.6640625" customWidth="1"/>
    <col min="4348" max="4348" width="5.6640625" customWidth="1"/>
    <col min="4349" max="4350" width="9" customWidth="1"/>
    <col min="4351" max="4351" width="5.6640625" customWidth="1"/>
    <col min="4352" max="4352" width="12.6640625" customWidth="1"/>
    <col min="4353" max="4355" width="15.6640625" customWidth="1"/>
    <col min="4356" max="4356" width="10.6640625" customWidth="1"/>
    <col min="4357" max="4357" width="7.6640625" customWidth="1"/>
    <col min="4358" max="4360" width="6.6640625" customWidth="1"/>
    <col min="4361" max="4361" width="5.6640625" customWidth="1"/>
    <col min="4362" max="4362" width="6.6640625" customWidth="1"/>
    <col min="4363" max="4368" width="9" customWidth="1"/>
    <col min="4369" max="4370" width="9.1640625" customWidth="1"/>
    <col min="4373" max="4375" width="9.1640625" customWidth="1"/>
    <col min="4601" max="4601" width="26.6640625" customWidth="1"/>
    <col min="4602" max="4602" width="12.6640625" customWidth="1"/>
    <col min="4603" max="4603" width="10.6640625" customWidth="1"/>
    <col min="4604" max="4604" width="5.6640625" customWidth="1"/>
    <col min="4605" max="4606" width="9" customWidth="1"/>
    <col min="4607" max="4607" width="5.6640625" customWidth="1"/>
    <col min="4608" max="4608" width="12.6640625" customWidth="1"/>
    <col min="4609" max="4611" width="15.6640625" customWidth="1"/>
    <col min="4612" max="4612" width="10.6640625" customWidth="1"/>
    <col min="4613" max="4613" width="7.6640625" customWidth="1"/>
    <col min="4614" max="4616" width="6.6640625" customWidth="1"/>
    <col min="4617" max="4617" width="5.6640625" customWidth="1"/>
    <col min="4618" max="4618" width="6.6640625" customWidth="1"/>
    <col min="4619" max="4624" width="9" customWidth="1"/>
    <col min="4625" max="4626" width="9.1640625" customWidth="1"/>
    <col min="4629" max="4631" width="9.1640625" customWidth="1"/>
    <col min="4857" max="4857" width="26.6640625" customWidth="1"/>
    <col min="4858" max="4858" width="12.6640625" customWidth="1"/>
    <col min="4859" max="4859" width="10.6640625" customWidth="1"/>
    <col min="4860" max="4860" width="5.6640625" customWidth="1"/>
    <col min="4861" max="4862" width="9" customWidth="1"/>
    <col min="4863" max="4863" width="5.6640625" customWidth="1"/>
    <col min="4864" max="4864" width="12.6640625" customWidth="1"/>
    <col min="4865" max="4867" width="15.6640625" customWidth="1"/>
    <col min="4868" max="4868" width="10.6640625" customWidth="1"/>
    <col min="4869" max="4869" width="7.6640625" customWidth="1"/>
    <col min="4870" max="4872" width="6.6640625" customWidth="1"/>
    <col min="4873" max="4873" width="5.6640625" customWidth="1"/>
    <col min="4874" max="4874" width="6.6640625" customWidth="1"/>
    <col min="4875" max="4880" width="9" customWidth="1"/>
    <col min="4881" max="4882" width="9.1640625" customWidth="1"/>
    <col min="4885" max="4887" width="9.1640625" customWidth="1"/>
    <col min="5113" max="5113" width="26.6640625" customWidth="1"/>
    <col min="5114" max="5114" width="12.6640625" customWidth="1"/>
    <col min="5115" max="5115" width="10.6640625" customWidth="1"/>
    <col min="5116" max="5116" width="5.6640625" customWidth="1"/>
    <col min="5117" max="5118" width="9" customWidth="1"/>
    <col min="5119" max="5119" width="5.6640625" customWidth="1"/>
    <col min="5120" max="5120" width="12.6640625" customWidth="1"/>
    <col min="5121" max="5123" width="15.6640625" customWidth="1"/>
    <col min="5124" max="5124" width="10.6640625" customWidth="1"/>
    <col min="5125" max="5125" width="7.6640625" customWidth="1"/>
    <col min="5126" max="5128" width="6.6640625" customWidth="1"/>
    <col min="5129" max="5129" width="5.6640625" customWidth="1"/>
    <col min="5130" max="5130" width="6.6640625" customWidth="1"/>
    <col min="5131" max="5136" width="9" customWidth="1"/>
    <col min="5137" max="5138" width="9.1640625" customWidth="1"/>
    <col min="5141" max="5143" width="9.1640625" customWidth="1"/>
    <col min="5369" max="5369" width="26.6640625" customWidth="1"/>
    <col min="5370" max="5370" width="12.6640625" customWidth="1"/>
    <col min="5371" max="5371" width="10.6640625" customWidth="1"/>
    <col min="5372" max="5372" width="5.6640625" customWidth="1"/>
    <col min="5373" max="5374" width="9" customWidth="1"/>
    <col min="5375" max="5375" width="5.6640625" customWidth="1"/>
    <col min="5376" max="5376" width="12.6640625" customWidth="1"/>
    <col min="5377" max="5379" width="15.6640625" customWidth="1"/>
    <col min="5380" max="5380" width="10.6640625" customWidth="1"/>
    <col min="5381" max="5381" width="7.6640625" customWidth="1"/>
    <col min="5382" max="5384" width="6.6640625" customWidth="1"/>
    <col min="5385" max="5385" width="5.6640625" customWidth="1"/>
    <col min="5386" max="5386" width="6.6640625" customWidth="1"/>
    <col min="5387" max="5392" width="9" customWidth="1"/>
    <col min="5393" max="5394" width="9.1640625" customWidth="1"/>
    <col min="5397" max="5399" width="9.1640625" customWidth="1"/>
    <col min="5625" max="5625" width="26.6640625" customWidth="1"/>
    <col min="5626" max="5626" width="12.6640625" customWidth="1"/>
    <col min="5627" max="5627" width="10.6640625" customWidth="1"/>
    <col min="5628" max="5628" width="5.6640625" customWidth="1"/>
    <col min="5629" max="5630" width="9" customWidth="1"/>
    <col min="5631" max="5631" width="5.6640625" customWidth="1"/>
    <col min="5632" max="5632" width="12.6640625" customWidth="1"/>
    <col min="5633" max="5635" width="15.6640625" customWidth="1"/>
    <col min="5636" max="5636" width="10.6640625" customWidth="1"/>
    <col min="5637" max="5637" width="7.6640625" customWidth="1"/>
    <col min="5638" max="5640" width="6.6640625" customWidth="1"/>
    <col min="5641" max="5641" width="5.6640625" customWidth="1"/>
    <col min="5642" max="5642" width="6.6640625" customWidth="1"/>
    <col min="5643" max="5648" width="9" customWidth="1"/>
    <col min="5649" max="5650" width="9.1640625" customWidth="1"/>
    <col min="5653" max="5655" width="9.1640625" customWidth="1"/>
    <col min="5881" max="5881" width="26.6640625" customWidth="1"/>
    <col min="5882" max="5882" width="12.6640625" customWidth="1"/>
    <col min="5883" max="5883" width="10.6640625" customWidth="1"/>
    <col min="5884" max="5884" width="5.6640625" customWidth="1"/>
    <col min="5885" max="5886" width="9" customWidth="1"/>
    <col min="5887" max="5887" width="5.6640625" customWidth="1"/>
    <col min="5888" max="5888" width="12.6640625" customWidth="1"/>
    <col min="5889" max="5891" width="15.6640625" customWidth="1"/>
    <col min="5892" max="5892" width="10.6640625" customWidth="1"/>
    <col min="5893" max="5893" width="7.6640625" customWidth="1"/>
    <col min="5894" max="5896" width="6.6640625" customWidth="1"/>
    <col min="5897" max="5897" width="5.6640625" customWidth="1"/>
    <col min="5898" max="5898" width="6.6640625" customWidth="1"/>
    <col min="5899" max="5904" width="9" customWidth="1"/>
    <col min="5905" max="5906" width="9.1640625" customWidth="1"/>
    <col min="5909" max="5911" width="9.1640625" customWidth="1"/>
    <col min="6137" max="6137" width="26.6640625" customWidth="1"/>
    <col min="6138" max="6138" width="12.6640625" customWidth="1"/>
    <col min="6139" max="6139" width="10.6640625" customWidth="1"/>
    <col min="6140" max="6140" width="5.6640625" customWidth="1"/>
    <col min="6141" max="6142" width="9" customWidth="1"/>
    <col min="6143" max="6143" width="5.6640625" customWidth="1"/>
    <col min="6144" max="6144" width="12.6640625" customWidth="1"/>
    <col min="6145" max="6147" width="15.6640625" customWidth="1"/>
    <col min="6148" max="6148" width="10.6640625" customWidth="1"/>
    <col min="6149" max="6149" width="7.6640625" customWidth="1"/>
    <col min="6150" max="6152" width="6.6640625" customWidth="1"/>
    <col min="6153" max="6153" width="5.6640625" customWidth="1"/>
    <col min="6154" max="6154" width="6.6640625" customWidth="1"/>
    <col min="6155" max="6160" width="9" customWidth="1"/>
    <col min="6161" max="6162" width="9.1640625" customWidth="1"/>
    <col min="6165" max="6167" width="9.1640625" customWidth="1"/>
    <col min="6393" max="6393" width="26.6640625" customWidth="1"/>
    <col min="6394" max="6394" width="12.6640625" customWidth="1"/>
    <col min="6395" max="6395" width="10.6640625" customWidth="1"/>
    <col min="6396" max="6396" width="5.6640625" customWidth="1"/>
    <col min="6397" max="6398" width="9" customWidth="1"/>
    <col min="6399" max="6399" width="5.6640625" customWidth="1"/>
    <col min="6400" max="6400" width="12.6640625" customWidth="1"/>
    <col min="6401" max="6403" width="15.6640625" customWidth="1"/>
    <col min="6404" max="6404" width="10.6640625" customWidth="1"/>
    <col min="6405" max="6405" width="7.6640625" customWidth="1"/>
    <col min="6406" max="6408" width="6.6640625" customWidth="1"/>
    <col min="6409" max="6409" width="5.6640625" customWidth="1"/>
    <col min="6410" max="6410" width="6.6640625" customWidth="1"/>
    <col min="6411" max="6416" width="9" customWidth="1"/>
    <col min="6417" max="6418" width="9.1640625" customWidth="1"/>
    <col min="6421" max="6423" width="9.1640625" customWidth="1"/>
    <col min="6649" max="6649" width="26.6640625" customWidth="1"/>
    <col min="6650" max="6650" width="12.6640625" customWidth="1"/>
    <col min="6651" max="6651" width="10.6640625" customWidth="1"/>
    <col min="6652" max="6652" width="5.6640625" customWidth="1"/>
    <col min="6653" max="6654" width="9" customWidth="1"/>
    <col min="6655" max="6655" width="5.6640625" customWidth="1"/>
    <col min="6656" max="6656" width="12.6640625" customWidth="1"/>
    <col min="6657" max="6659" width="15.6640625" customWidth="1"/>
    <col min="6660" max="6660" width="10.6640625" customWidth="1"/>
    <col min="6661" max="6661" width="7.6640625" customWidth="1"/>
    <col min="6662" max="6664" width="6.6640625" customWidth="1"/>
    <col min="6665" max="6665" width="5.6640625" customWidth="1"/>
    <col min="6666" max="6666" width="6.6640625" customWidth="1"/>
    <col min="6667" max="6672" width="9" customWidth="1"/>
    <col min="6673" max="6674" width="9.1640625" customWidth="1"/>
    <col min="6677" max="6679" width="9.1640625" customWidth="1"/>
    <col min="6905" max="6905" width="26.6640625" customWidth="1"/>
    <col min="6906" max="6906" width="12.6640625" customWidth="1"/>
    <col min="6907" max="6907" width="10.6640625" customWidth="1"/>
    <col min="6908" max="6908" width="5.6640625" customWidth="1"/>
    <col min="6909" max="6910" width="9" customWidth="1"/>
    <col min="6911" max="6911" width="5.6640625" customWidth="1"/>
    <col min="6912" max="6912" width="12.6640625" customWidth="1"/>
    <col min="6913" max="6915" width="15.6640625" customWidth="1"/>
    <col min="6916" max="6916" width="10.6640625" customWidth="1"/>
    <col min="6917" max="6917" width="7.6640625" customWidth="1"/>
    <col min="6918" max="6920" width="6.6640625" customWidth="1"/>
    <col min="6921" max="6921" width="5.6640625" customWidth="1"/>
    <col min="6922" max="6922" width="6.6640625" customWidth="1"/>
    <col min="6923" max="6928" width="9" customWidth="1"/>
    <col min="6929" max="6930" width="9.1640625" customWidth="1"/>
    <col min="6933" max="6935" width="9.1640625" customWidth="1"/>
    <col min="7161" max="7161" width="26.6640625" customWidth="1"/>
    <col min="7162" max="7162" width="12.6640625" customWidth="1"/>
    <col min="7163" max="7163" width="10.6640625" customWidth="1"/>
    <col min="7164" max="7164" width="5.6640625" customWidth="1"/>
    <col min="7165" max="7166" width="9" customWidth="1"/>
    <col min="7167" max="7167" width="5.6640625" customWidth="1"/>
    <col min="7168" max="7168" width="12.6640625" customWidth="1"/>
    <col min="7169" max="7171" width="15.6640625" customWidth="1"/>
    <col min="7172" max="7172" width="10.6640625" customWidth="1"/>
    <col min="7173" max="7173" width="7.6640625" customWidth="1"/>
    <col min="7174" max="7176" width="6.6640625" customWidth="1"/>
    <col min="7177" max="7177" width="5.6640625" customWidth="1"/>
    <col min="7178" max="7178" width="6.6640625" customWidth="1"/>
    <col min="7179" max="7184" width="9" customWidth="1"/>
    <col min="7185" max="7186" width="9.1640625" customWidth="1"/>
    <col min="7189" max="7191" width="9.1640625" customWidth="1"/>
    <col min="7417" max="7417" width="26.6640625" customWidth="1"/>
    <col min="7418" max="7418" width="12.6640625" customWidth="1"/>
    <col min="7419" max="7419" width="10.6640625" customWidth="1"/>
    <col min="7420" max="7420" width="5.6640625" customWidth="1"/>
    <col min="7421" max="7422" width="9" customWidth="1"/>
    <col min="7423" max="7423" width="5.6640625" customWidth="1"/>
    <col min="7424" max="7424" width="12.6640625" customWidth="1"/>
    <col min="7425" max="7427" width="15.6640625" customWidth="1"/>
    <col min="7428" max="7428" width="10.6640625" customWidth="1"/>
    <col min="7429" max="7429" width="7.6640625" customWidth="1"/>
    <col min="7430" max="7432" width="6.6640625" customWidth="1"/>
    <col min="7433" max="7433" width="5.6640625" customWidth="1"/>
    <col min="7434" max="7434" width="6.6640625" customWidth="1"/>
    <col min="7435" max="7440" width="9" customWidth="1"/>
    <col min="7441" max="7442" width="9.1640625" customWidth="1"/>
    <col min="7445" max="7447" width="9.1640625" customWidth="1"/>
    <col min="7673" max="7673" width="26.6640625" customWidth="1"/>
    <col min="7674" max="7674" width="12.6640625" customWidth="1"/>
    <col min="7675" max="7675" width="10.6640625" customWidth="1"/>
    <col min="7676" max="7676" width="5.6640625" customWidth="1"/>
    <col min="7677" max="7678" width="9" customWidth="1"/>
    <col min="7679" max="7679" width="5.6640625" customWidth="1"/>
    <col min="7680" max="7680" width="12.6640625" customWidth="1"/>
    <col min="7681" max="7683" width="15.6640625" customWidth="1"/>
    <col min="7684" max="7684" width="10.6640625" customWidth="1"/>
    <col min="7685" max="7685" width="7.6640625" customWidth="1"/>
    <col min="7686" max="7688" width="6.6640625" customWidth="1"/>
    <col min="7689" max="7689" width="5.6640625" customWidth="1"/>
    <col min="7690" max="7690" width="6.6640625" customWidth="1"/>
    <col min="7691" max="7696" width="9" customWidth="1"/>
    <col min="7697" max="7698" width="9.1640625" customWidth="1"/>
    <col min="7701" max="7703" width="9.1640625" customWidth="1"/>
    <col min="7929" max="7929" width="26.6640625" customWidth="1"/>
    <col min="7930" max="7930" width="12.6640625" customWidth="1"/>
    <col min="7931" max="7931" width="10.6640625" customWidth="1"/>
    <col min="7932" max="7932" width="5.6640625" customWidth="1"/>
    <col min="7933" max="7934" width="9" customWidth="1"/>
    <col min="7935" max="7935" width="5.6640625" customWidth="1"/>
    <col min="7936" max="7936" width="12.6640625" customWidth="1"/>
    <col min="7937" max="7939" width="15.6640625" customWidth="1"/>
    <col min="7940" max="7940" width="10.6640625" customWidth="1"/>
    <col min="7941" max="7941" width="7.6640625" customWidth="1"/>
    <col min="7942" max="7944" width="6.6640625" customWidth="1"/>
    <col min="7945" max="7945" width="5.6640625" customWidth="1"/>
    <col min="7946" max="7946" width="6.6640625" customWidth="1"/>
    <col min="7947" max="7952" width="9" customWidth="1"/>
    <col min="7953" max="7954" width="9.1640625" customWidth="1"/>
    <col min="7957" max="7959" width="9.1640625" customWidth="1"/>
    <col min="8185" max="8185" width="26.6640625" customWidth="1"/>
    <col min="8186" max="8186" width="12.6640625" customWidth="1"/>
    <col min="8187" max="8187" width="10.6640625" customWidth="1"/>
    <col min="8188" max="8188" width="5.6640625" customWidth="1"/>
    <col min="8189" max="8190" width="9" customWidth="1"/>
    <col min="8191" max="8191" width="5.6640625" customWidth="1"/>
    <col min="8192" max="8192" width="12.6640625" customWidth="1"/>
    <col min="8193" max="8195" width="15.6640625" customWidth="1"/>
    <col min="8196" max="8196" width="10.6640625" customWidth="1"/>
    <col min="8197" max="8197" width="7.6640625" customWidth="1"/>
    <col min="8198" max="8200" width="6.6640625" customWidth="1"/>
    <col min="8201" max="8201" width="5.6640625" customWidth="1"/>
    <col min="8202" max="8202" width="6.6640625" customWidth="1"/>
    <col min="8203" max="8208" width="9" customWidth="1"/>
    <col min="8209" max="8210" width="9.1640625" customWidth="1"/>
    <col min="8213" max="8215" width="9.1640625" customWidth="1"/>
    <col min="8441" max="8441" width="26.6640625" customWidth="1"/>
    <col min="8442" max="8442" width="12.6640625" customWidth="1"/>
    <col min="8443" max="8443" width="10.6640625" customWidth="1"/>
    <col min="8444" max="8444" width="5.6640625" customWidth="1"/>
    <col min="8445" max="8446" width="9" customWidth="1"/>
    <col min="8447" max="8447" width="5.6640625" customWidth="1"/>
    <col min="8448" max="8448" width="12.6640625" customWidth="1"/>
    <col min="8449" max="8451" width="15.6640625" customWidth="1"/>
    <col min="8452" max="8452" width="10.6640625" customWidth="1"/>
    <col min="8453" max="8453" width="7.6640625" customWidth="1"/>
    <col min="8454" max="8456" width="6.6640625" customWidth="1"/>
    <col min="8457" max="8457" width="5.6640625" customWidth="1"/>
    <col min="8458" max="8458" width="6.6640625" customWidth="1"/>
    <col min="8459" max="8464" width="9" customWidth="1"/>
    <col min="8465" max="8466" width="9.1640625" customWidth="1"/>
    <col min="8469" max="8471" width="9.1640625" customWidth="1"/>
    <col min="8697" max="8697" width="26.6640625" customWidth="1"/>
    <col min="8698" max="8698" width="12.6640625" customWidth="1"/>
    <col min="8699" max="8699" width="10.6640625" customWidth="1"/>
    <col min="8700" max="8700" width="5.6640625" customWidth="1"/>
    <col min="8701" max="8702" width="9" customWidth="1"/>
    <col min="8703" max="8703" width="5.6640625" customWidth="1"/>
    <col min="8704" max="8704" width="12.6640625" customWidth="1"/>
    <col min="8705" max="8707" width="15.6640625" customWidth="1"/>
    <col min="8708" max="8708" width="10.6640625" customWidth="1"/>
    <col min="8709" max="8709" width="7.6640625" customWidth="1"/>
    <col min="8710" max="8712" width="6.6640625" customWidth="1"/>
    <col min="8713" max="8713" width="5.6640625" customWidth="1"/>
    <col min="8714" max="8714" width="6.6640625" customWidth="1"/>
    <col min="8715" max="8720" width="9" customWidth="1"/>
    <col min="8721" max="8722" width="9.1640625" customWidth="1"/>
    <col min="8725" max="8727" width="9.1640625" customWidth="1"/>
    <col min="8953" max="8953" width="26.6640625" customWidth="1"/>
    <col min="8954" max="8954" width="12.6640625" customWidth="1"/>
    <col min="8955" max="8955" width="10.6640625" customWidth="1"/>
    <col min="8956" max="8956" width="5.6640625" customWidth="1"/>
    <col min="8957" max="8958" width="9" customWidth="1"/>
    <col min="8959" max="8959" width="5.6640625" customWidth="1"/>
    <col min="8960" max="8960" width="12.6640625" customWidth="1"/>
    <col min="8961" max="8963" width="15.6640625" customWidth="1"/>
    <col min="8964" max="8964" width="10.6640625" customWidth="1"/>
    <col min="8965" max="8965" width="7.6640625" customWidth="1"/>
    <col min="8966" max="8968" width="6.6640625" customWidth="1"/>
    <col min="8969" max="8969" width="5.6640625" customWidth="1"/>
    <col min="8970" max="8970" width="6.6640625" customWidth="1"/>
    <col min="8971" max="8976" width="9" customWidth="1"/>
    <col min="8977" max="8978" width="9.1640625" customWidth="1"/>
    <col min="8981" max="8983" width="9.1640625" customWidth="1"/>
    <col min="9209" max="9209" width="26.6640625" customWidth="1"/>
    <col min="9210" max="9210" width="12.6640625" customWidth="1"/>
    <col min="9211" max="9211" width="10.6640625" customWidth="1"/>
    <col min="9212" max="9212" width="5.6640625" customWidth="1"/>
    <col min="9213" max="9214" width="9" customWidth="1"/>
    <col min="9215" max="9215" width="5.6640625" customWidth="1"/>
    <col min="9216" max="9216" width="12.6640625" customWidth="1"/>
    <col min="9217" max="9219" width="15.6640625" customWidth="1"/>
    <col min="9220" max="9220" width="10.6640625" customWidth="1"/>
    <col min="9221" max="9221" width="7.6640625" customWidth="1"/>
    <col min="9222" max="9224" width="6.6640625" customWidth="1"/>
    <col min="9225" max="9225" width="5.6640625" customWidth="1"/>
    <col min="9226" max="9226" width="6.6640625" customWidth="1"/>
    <col min="9227" max="9232" width="9" customWidth="1"/>
    <col min="9233" max="9234" width="9.1640625" customWidth="1"/>
    <col min="9237" max="9239" width="9.1640625" customWidth="1"/>
    <col min="9465" max="9465" width="26.6640625" customWidth="1"/>
    <col min="9466" max="9466" width="12.6640625" customWidth="1"/>
    <col min="9467" max="9467" width="10.6640625" customWidth="1"/>
    <col min="9468" max="9468" width="5.6640625" customWidth="1"/>
    <col min="9469" max="9470" width="9" customWidth="1"/>
    <col min="9471" max="9471" width="5.6640625" customWidth="1"/>
    <col min="9472" max="9472" width="12.6640625" customWidth="1"/>
    <col min="9473" max="9475" width="15.6640625" customWidth="1"/>
    <col min="9476" max="9476" width="10.6640625" customWidth="1"/>
    <col min="9477" max="9477" width="7.6640625" customWidth="1"/>
    <col min="9478" max="9480" width="6.6640625" customWidth="1"/>
    <col min="9481" max="9481" width="5.6640625" customWidth="1"/>
    <col min="9482" max="9482" width="6.6640625" customWidth="1"/>
    <col min="9483" max="9488" width="9" customWidth="1"/>
    <col min="9489" max="9490" width="9.1640625" customWidth="1"/>
    <col min="9493" max="9495" width="9.1640625" customWidth="1"/>
    <col min="9721" max="9721" width="26.6640625" customWidth="1"/>
    <col min="9722" max="9722" width="12.6640625" customWidth="1"/>
    <col min="9723" max="9723" width="10.6640625" customWidth="1"/>
    <col min="9724" max="9724" width="5.6640625" customWidth="1"/>
    <col min="9725" max="9726" width="9" customWidth="1"/>
    <col min="9727" max="9727" width="5.6640625" customWidth="1"/>
    <col min="9728" max="9728" width="12.6640625" customWidth="1"/>
    <col min="9729" max="9731" width="15.6640625" customWidth="1"/>
    <col min="9732" max="9732" width="10.6640625" customWidth="1"/>
    <col min="9733" max="9733" width="7.6640625" customWidth="1"/>
    <col min="9734" max="9736" width="6.6640625" customWidth="1"/>
    <col min="9737" max="9737" width="5.6640625" customWidth="1"/>
    <col min="9738" max="9738" width="6.6640625" customWidth="1"/>
    <col min="9739" max="9744" width="9" customWidth="1"/>
    <col min="9745" max="9746" width="9.1640625" customWidth="1"/>
    <col min="9749" max="9751" width="9.1640625" customWidth="1"/>
    <col min="9977" max="9977" width="26.6640625" customWidth="1"/>
    <col min="9978" max="9978" width="12.6640625" customWidth="1"/>
    <col min="9979" max="9979" width="10.6640625" customWidth="1"/>
    <col min="9980" max="9980" width="5.6640625" customWidth="1"/>
    <col min="9981" max="9982" width="9" customWidth="1"/>
    <col min="9983" max="9983" width="5.6640625" customWidth="1"/>
    <col min="9984" max="9984" width="12.6640625" customWidth="1"/>
    <col min="9985" max="9987" width="15.6640625" customWidth="1"/>
    <col min="9988" max="9988" width="10.6640625" customWidth="1"/>
    <col min="9989" max="9989" width="7.6640625" customWidth="1"/>
    <col min="9990" max="9992" width="6.6640625" customWidth="1"/>
    <col min="9993" max="9993" width="5.6640625" customWidth="1"/>
    <col min="9994" max="9994" width="6.6640625" customWidth="1"/>
    <col min="9995" max="10000" width="9" customWidth="1"/>
    <col min="10001" max="10002" width="9.1640625" customWidth="1"/>
    <col min="10005" max="10007" width="9.1640625" customWidth="1"/>
    <col min="10233" max="10233" width="26.6640625" customWidth="1"/>
    <col min="10234" max="10234" width="12.6640625" customWidth="1"/>
    <col min="10235" max="10235" width="10.6640625" customWidth="1"/>
    <col min="10236" max="10236" width="5.6640625" customWidth="1"/>
    <col min="10237" max="10238" width="9" customWidth="1"/>
    <col min="10239" max="10239" width="5.6640625" customWidth="1"/>
    <col min="10240" max="10240" width="12.6640625" customWidth="1"/>
    <col min="10241" max="10243" width="15.6640625" customWidth="1"/>
    <col min="10244" max="10244" width="10.6640625" customWidth="1"/>
    <col min="10245" max="10245" width="7.6640625" customWidth="1"/>
    <col min="10246" max="10248" width="6.6640625" customWidth="1"/>
    <col min="10249" max="10249" width="5.6640625" customWidth="1"/>
    <col min="10250" max="10250" width="6.6640625" customWidth="1"/>
    <col min="10251" max="10256" width="9" customWidth="1"/>
    <col min="10257" max="10258" width="9.1640625" customWidth="1"/>
    <col min="10261" max="10263" width="9.1640625" customWidth="1"/>
    <col min="10489" max="10489" width="26.6640625" customWidth="1"/>
    <col min="10490" max="10490" width="12.6640625" customWidth="1"/>
    <col min="10491" max="10491" width="10.6640625" customWidth="1"/>
    <col min="10492" max="10492" width="5.6640625" customWidth="1"/>
    <col min="10493" max="10494" width="9" customWidth="1"/>
    <col min="10495" max="10495" width="5.6640625" customWidth="1"/>
    <col min="10496" max="10496" width="12.6640625" customWidth="1"/>
    <col min="10497" max="10499" width="15.6640625" customWidth="1"/>
    <col min="10500" max="10500" width="10.6640625" customWidth="1"/>
    <col min="10501" max="10501" width="7.6640625" customWidth="1"/>
    <col min="10502" max="10504" width="6.6640625" customWidth="1"/>
    <col min="10505" max="10505" width="5.6640625" customWidth="1"/>
    <col min="10506" max="10506" width="6.6640625" customWidth="1"/>
    <col min="10507" max="10512" width="9" customWidth="1"/>
    <col min="10513" max="10514" width="9.1640625" customWidth="1"/>
    <col min="10517" max="10519" width="9.1640625" customWidth="1"/>
    <col min="10745" max="10745" width="26.6640625" customWidth="1"/>
    <col min="10746" max="10746" width="12.6640625" customWidth="1"/>
    <col min="10747" max="10747" width="10.6640625" customWidth="1"/>
    <col min="10748" max="10748" width="5.6640625" customWidth="1"/>
    <col min="10749" max="10750" width="9" customWidth="1"/>
    <col min="10751" max="10751" width="5.6640625" customWidth="1"/>
    <col min="10752" max="10752" width="12.6640625" customWidth="1"/>
    <col min="10753" max="10755" width="15.6640625" customWidth="1"/>
    <col min="10756" max="10756" width="10.6640625" customWidth="1"/>
    <col min="10757" max="10757" width="7.6640625" customWidth="1"/>
    <col min="10758" max="10760" width="6.6640625" customWidth="1"/>
    <col min="10761" max="10761" width="5.6640625" customWidth="1"/>
    <col min="10762" max="10762" width="6.6640625" customWidth="1"/>
    <col min="10763" max="10768" width="9" customWidth="1"/>
    <col min="10769" max="10770" width="9.1640625" customWidth="1"/>
    <col min="10773" max="10775" width="9.1640625" customWidth="1"/>
    <col min="11001" max="11001" width="26.6640625" customWidth="1"/>
    <col min="11002" max="11002" width="12.6640625" customWidth="1"/>
    <col min="11003" max="11003" width="10.6640625" customWidth="1"/>
    <col min="11004" max="11004" width="5.6640625" customWidth="1"/>
    <col min="11005" max="11006" width="9" customWidth="1"/>
    <col min="11007" max="11007" width="5.6640625" customWidth="1"/>
    <col min="11008" max="11008" width="12.6640625" customWidth="1"/>
    <col min="11009" max="11011" width="15.6640625" customWidth="1"/>
    <col min="11012" max="11012" width="10.6640625" customWidth="1"/>
    <col min="11013" max="11013" width="7.6640625" customWidth="1"/>
    <col min="11014" max="11016" width="6.6640625" customWidth="1"/>
    <col min="11017" max="11017" width="5.6640625" customWidth="1"/>
    <col min="11018" max="11018" width="6.6640625" customWidth="1"/>
    <col min="11019" max="11024" width="9" customWidth="1"/>
    <col min="11025" max="11026" width="9.1640625" customWidth="1"/>
    <col min="11029" max="11031" width="9.1640625" customWidth="1"/>
    <col min="11257" max="11257" width="26.6640625" customWidth="1"/>
    <col min="11258" max="11258" width="12.6640625" customWidth="1"/>
    <col min="11259" max="11259" width="10.6640625" customWidth="1"/>
    <col min="11260" max="11260" width="5.6640625" customWidth="1"/>
    <col min="11261" max="11262" width="9" customWidth="1"/>
    <col min="11263" max="11263" width="5.6640625" customWidth="1"/>
    <col min="11264" max="11264" width="12.6640625" customWidth="1"/>
    <col min="11265" max="11267" width="15.6640625" customWidth="1"/>
    <col min="11268" max="11268" width="10.6640625" customWidth="1"/>
    <col min="11269" max="11269" width="7.6640625" customWidth="1"/>
    <col min="11270" max="11272" width="6.6640625" customWidth="1"/>
    <col min="11273" max="11273" width="5.6640625" customWidth="1"/>
    <col min="11274" max="11274" width="6.6640625" customWidth="1"/>
    <col min="11275" max="11280" width="9" customWidth="1"/>
    <col min="11281" max="11282" width="9.1640625" customWidth="1"/>
    <col min="11285" max="11287" width="9.1640625" customWidth="1"/>
    <col min="11513" max="11513" width="26.6640625" customWidth="1"/>
    <col min="11514" max="11514" width="12.6640625" customWidth="1"/>
    <col min="11515" max="11515" width="10.6640625" customWidth="1"/>
    <col min="11516" max="11516" width="5.6640625" customWidth="1"/>
    <col min="11517" max="11518" width="9" customWidth="1"/>
    <col min="11519" max="11519" width="5.6640625" customWidth="1"/>
    <col min="11520" max="11520" width="12.6640625" customWidth="1"/>
    <col min="11521" max="11523" width="15.6640625" customWidth="1"/>
    <col min="11524" max="11524" width="10.6640625" customWidth="1"/>
    <col min="11525" max="11525" width="7.6640625" customWidth="1"/>
    <col min="11526" max="11528" width="6.6640625" customWidth="1"/>
    <col min="11529" max="11529" width="5.6640625" customWidth="1"/>
    <col min="11530" max="11530" width="6.6640625" customWidth="1"/>
    <col min="11531" max="11536" width="9" customWidth="1"/>
    <col min="11537" max="11538" width="9.1640625" customWidth="1"/>
    <col min="11541" max="11543" width="9.1640625" customWidth="1"/>
    <col min="11769" max="11769" width="26.6640625" customWidth="1"/>
    <col min="11770" max="11770" width="12.6640625" customWidth="1"/>
    <col min="11771" max="11771" width="10.6640625" customWidth="1"/>
    <col min="11772" max="11772" width="5.6640625" customWidth="1"/>
    <col min="11773" max="11774" width="9" customWidth="1"/>
    <col min="11775" max="11775" width="5.6640625" customWidth="1"/>
    <col min="11776" max="11776" width="12.6640625" customWidth="1"/>
    <col min="11777" max="11779" width="15.6640625" customWidth="1"/>
    <col min="11780" max="11780" width="10.6640625" customWidth="1"/>
    <col min="11781" max="11781" width="7.6640625" customWidth="1"/>
    <col min="11782" max="11784" width="6.6640625" customWidth="1"/>
    <col min="11785" max="11785" width="5.6640625" customWidth="1"/>
    <col min="11786" max="11786" width="6.6640625" customWidth="1"/>
    <col min="11787" max="11792" width="9" customWidth="1"/>
    <col min="11793" max="11794" width="9.1640625" customWidth="1"/>
    <col min="11797" max="11799" width="9.1640625" customWidth="1"/>
    <col min="12025" max="12025" width="26.6640625" customWidth="1"/>
    <col min="12026" max="12026" width="12.6640625" customWidth="1"/>
    <col min="12027" max="12027" width="10.6640625" customWidth="1"/>
    <col min="12028" max="12028" width="5.6640625" customWidth="1"/>
    <col min="12029" max="12030" width="9" customWidth="1"/>
    <col min="12031" max="12031" width="5.6640625" customWidth="1"/>
    <col min="12032" max="12032" width="12.6640625" customWidth="1"/>
    <col min="12033" max="12035" width="15.6640625" customWidth="1"/>
    <col min="12036" max="12036" width="10.6640625" customWidth="1"/>
    <col min="12037" max="12037" width="7.6640625" customWidth="1"/>
    <col min="12038" max="12040" width="6.6640625" customWidth="1"/>
    <col min="12041" max="12041" width="5.6640625" customWidth="1"/>
    <col min="12042" max="12042" width="6.6640625" customWidth="1"/>
    <col min="12043" max="12048" width="9" customWidth="1"/>
    <col min="12049" max="12050" width="9.1640625" customWidth="1"/>
    <col min="12053" max="12055" width="9.1640625" customWidth="1"/>
    <col min="12281" max="12281" width="26.6640625" customWidth="1"/>
    <col min="12282" max="12282" width="12.6640625" customWidth="1"/>
    <col min="12283" max="12283" width="10.6640625" customWidth="1"/>
    <col min="12284" max="12284" width="5.6640625" customWidth="1"/>
    <col min="12285" max="12286" width="9" customWidth="1"/>
    <col min="12287" max="12287" width="5.6640625" customWidth="1"/>
    <col min="12288" max="12288" width="12.6640625" customWidth="1"/>
    <col min="12289" max="12291" width="15.6640625" customWidth="1"/>
    <col min="12292" max="12292" width="10.6640625" customWidth="1"/>
    <col min="12293" max="12293" width="7.6640625" customWidth="1"/>
    <col min="12294" max="12296" width="6.6640625" customWidth="1"/>
    <col min="12297" max="12297" width="5.6640625" customWidth="1"/>
    <col min="12298" max="12298" width="6.6640625" customWidth="1"/>
    <col min="12299" max="12304" width="9" customWidth="1"/>
    <col min="12305" max="12306" width="9.1640625" customWidth="1"/>
    <col min="12309" max="12311" width="9.1640625" customWidth="1"/>
    <col min="12537" max="12537" width="26.6640625" customWidth="1"/>
    <col min="12538" max="12538" width="12.6640625" customWidth="1"/>
    <col min="12539" max="12539" width="10.6640625" customWidth="1"/>
    <col min="12540" max="12540" width="5.6640625" customWidth="1"/>
    <col min="12541" max="12542" width="9" customWidth="1"/>
    <col min="12543" max="12543" width="5.6640625" customWidth="1"/>
    <col min="12544" max="12544" width="12.6640625" customWidth="1"/>
    <col min="12545" max="12547" width="15.6640625" customWidth="1"/>
    <col min="12548" max="12548" width="10.6640625" customWidth="1"/>
    <col min="12549" max="12549" width="7.6640625" customWidth="1"/>
    <col min="12550" max="12552" width="6.6640625" customWidth="1"/>
    <col min="12553" max="12553" width="5.6640625" customWidth="1"/>
    <col min="12554" max="12554" width="6.6640625" customWidth="1"/>
    <col min="12555" max="12560" width="9" customWidth="1"/>
    <col min="12561" max="12562" width="9.1640625" customWidth="1"/>
    <col min="12565" max="12567" width="9.1640625" customWidth="1"/>
    <col min="12793" max="12793" width="26.6640625" customWidth="1"/>
    <col min="12794" max="12794" width="12.6640625" customWidth="1"/>
    <col min="12795" max="12795" width="10.6640625" customWidth="1"/>
    <col min="12796" max="12796" width="5.6640625" customWidth="1"/>
    <col min="12797" max="12798" width="9" customWidth="1"/>
    <col min="12799" max="12799" width="5.6640625" customWidth="1"/>
    <col min="12800" max="12800" width="12.6640625" customWidth="1"/>
    <col min="12801" max="12803" width="15.6640625" customWidth="1"/>
    <col min="12804" max="12804" width="10.6640625" customWidth="1"/>
    <col min="12805" max="12805" width="7.6640625" customWidth="1"/>
    <col min="12806" max="12808" width="6.6640625" customWidth="1"/>
    <col min="12809" max="12809" width="5.6640625" customWidth="1"/>
    <col min="12810" max="12810" width="6.6640625" customWidth="1"/>
    <col min="12811" max="12816" width="9" customWidth="1"/>
    <col min="12817" max="12818" width="9.1640625" customWidth="1"/>
    <col min="12821" max="12823" width="9.1640625" customWidth="1"/>
    <col min="13049" max="13049" width="26.6640625" customWidth="1"/>
    <col min="13050" max="13050" width="12.6640625" customWidth="1"/>
    <col min="13051" max="13051" width="10.6640625" customWidth="1"/>
    <col min="13052" max="13052" width="5.6640625" customWidth="1"/>
    <col min="13053" max="13054" width="9" customWidth="1"/>
    <col min="13055" max="13055" width="5.6640625" customWidth="1"/>
    <col min="13056" max="13056" width="12.6640625" customWidth="1"/>
    <col min="13057" max="13059" width="15.6640625" customWidth="1"/>
    <col min="13060" max="13060" width="10.6640625" customWidth="1"/>
    <col min="13061" max="13061" width="7.6640625" customWidth="1"/>
    <col min="13062" max="13064" width="6.6640625" customWidth="1"/>
    <col min="13065" max="13065" width="5.6640625" customWidth="1"/>
    <col min="13066" max="13066" width="6.6640625" customWidth="1"/>
    <col min="13067" max="13072" width="9" customWidth="1"/>
    <col min="13073" max="13074" width="9.1640625" customWidth="1"/>
    <col min="13077" max="13079" width="9.1640625" customWidth="1"/>
    <col min="13305" max="13305" width="26.6640625" customWidth="1"/>
    <col min="13306" max="13306" width="12.6640625" customWidth="1"/>
    <col min="13307" max="13307" width="10.6640625" customWidth="1"/>
    <col min="13308" max="13308" width="5.6640625" customWidth="1"/>
    <col min="13309" max="13310" width="9" customWidth="1"/>
    <col min="13311" max="13311" width="5.6640625" customWidth="1"/>
    <col min="13312" max="13312" width="12.6640625" customWidth="1"/>
    <col min="13313" max="13315" width="15.6640625" customWidth="1"/>
    <col min="13316" max="13316" width="10.6640625" customWidth="1"/>
    <col min="13317" max="13317" width="7.6640625" customWidth="1"/>
    <col min="13318" max="13320" width="6.6640625" customWidth="1"/>
    <col min="13321" max="13321" width="5.6640625" customWidth="1"/>
    <col min="13322" max="13322" width="6.6640625" customWidth="1"/>
    <col min="13323" max="13328" width="9" customWidth="1"/>
    <col min="13329" max="13330" width="9.1640625" customWidth="1"/>
    <col min="13333" max="13335" width="9.1640625" customWidth="1"/>
    <col min="13561" max="13561" width="26.6640625" customWidth="1"/>
    <col min="13562" max="13562" width="12.6640625" customWidth="1"/>
    <col min="13563" max="13563" width="10.6640625" customWidth="1"/>
    <col min="13564" max="13564" width="5.6640625" customWidth="1"/>
    <col min="13565" max="13566" width="9" customWidth="1"/>
    <col min="13567" max="13567" width="5.6640625" customWidth="1"/>
    <col min="13568" max="13568" width="12.6640625" customWidth="1"/>
    <col min="13569" max="13571" width="15.6640625" customWidth="1"/>
    <col min="13572" max="13572" width="10.6640625" customWidth="1"/>
    <col min="13573" max="13573" width="7.6640625" customWidth="1"/>
    <col min="13574" max="13576" width="6.6640625" customWidth="1"/>
    <col min="13577" max="13577" width="5.6640625" customWidth="1"/>
    <col min="13578" max="13578" width="6.6640625" customWidth="1"/>
    <col min="13579" max="13584" width="9" customWidth="1"/>
    <col min="13585" max="13586" width="9.1640625" customWidth="1"/>
    <col min="13589" max="13591" width="9.1640625" customWidth="1"/>
    <col min="13817" max="13817" width="26.6640625" customWidth="1"/>
    <col min="13818" max="13818" width="12.6640625" customWidth="1"/>
    <col min="13819" max="13819" width="10.6640625" customWidth="1"/>
    <col min="13820" max="13820" width="5.6640625" customWidth="1"/>
    <col min="13821" max="13822" width="9" customWidth="1"/>
    <col min="13823" max="13823" width="5.6640625" customWidth="1"/>
    <col min="13824" max="13824" width="12.6640625" customWidth="1"/>
    <col min="13825" max="13827" width="15.6640625" customWidth="1"/>
    <col min="13828" max="13828" width="10.6640625" customWidth="1"/>
    <col min="13829" max="13829" width="7.6640625" customWidth="1"/>
    <col min="13830" max="13832" width="6.6640625" customWidth="1"/>
    <col min="13833" max="13833" width="5.6640625" customWidth="1"/>
    <col min="13834" max="13834" width="6.6640625" customWidth="1"/>
    <col min="13835" max="13840" width="9" customWidth="1"/>
    <col min="13841" max="13842" width="9.1640625" customWidth="1"/>
    <col min="13845" max="13847" width="9.1640625" customWidth="1"/>
    <col min="14073" max="14073" width="26.6640625" customWidth="1"/>
    <col min="14074" max="14074" width="12.6640625" customWidth="1"/>
    <col min="14075" max="14075" width="10.6640625" customWidth="1"/>
    <col min="14076" max="14076" width="5.6640625" customWidth="1"/>
    <col min="14077" max="14078" width="9" customWidth="1"/>
    <col min="14079" max="14079" width="5.6640625" customWidth="1"/>
    <col min="14080" max="14080" width="12.6640625" customWidth="1"/>
    <col min="14081" max="14083" width="15.6640625" customWidth="1"/>
    <col min="14084" max="14084" width="10.6640625" customWidth="1"/>
    <col min="14085" max="14085" width="7.6640625" customWidth="1"/>
    <col min="14086" max="14088" width="6.6640625" customWidth="1"/>
    <col min="14089" max="14089" width="5.6640625" customWidth="1"/>
    <col min="14090" max="14090" width="6.6640625" customWidth="1"/>
    <col min="14091" max="14096" width="9" customWidth="1"/>
    <col min="14097" max="14098" width="9.1640625" customWidth="1"/>
    <col min="14101" max="14103" width="9.1640625" customWidth="1"/>
    <col min="14329" max="14329" width="26.6640625" customWidth="1"/>
    <col min="14330" max="14330" width="12.6640625" customWidth="1"/>
    <col min="14331" max="14331" width="10.6640625" customWidth="1"/>
    <col min="14332" max="14332" width="5.6640625" customWidth="1"/>
    <col min="14333" max="14334" width="9" customWidth="1"/>
    <col min="14335" max="14335" width="5.6640625" customWidth="1"/>
    <col min="14336" max="14336" width="12.6640625" customWidth="1"/>
    <col min="14337" max="14339" width="15.6640625" customWidth="1"/>
    <col min="14340" max="14340" width="10.6640625" customWidth="1"/>
    <col min="14341" max="14341" width="7.6640625" customWidth="1"/>
    <col min="14342" max="14344" width="6.6640625" customWidth="1"/>
    <col min="14345" max="14345" width="5.6640625" customWidth="1"/>
    <col min="14346" max="14346" width="6.6640625" customWidth="1"/>
    <col min="14347" max="14352" width="9" customWidth="1"/>
    <col min="14353" max="14354" width="9.1640625" customWidth="1"/>
    <col min="14357" max="14359" width="9.1640625" customWidth="1"/>
    <col min="14585" max="14585" width="26.6640625" customWidth="1"/>
    <col min="14586" max="14586" width="12.6640625" customWidth="1"/>
    <col min="14587" max="14587" width="10.6640625" customWidth="1"/>
    <col min="14588" max="14588" width="5.6640625" customWidth="1"/>
    <col min="14589" max="14590" width="9" customWidth="1"/>
    <col min="14591" max="14591" width="5.6640625" customWidth="1"/>
    <col min="14592" max="14592" width="12.6640625" customWidth="1"/>
    <col min="14593" max="14595" width="15.6640625" customWidth="1"/>
    <col min="14596" max="14596" width="10.6640625" customWidth="1"/>
    <col min="14597" max="14597" width="7.6640625" customWidth="1"/>
    <col min="14598" max="14600" width="6.6640625" customWidth="1"/>
    <col min="14601" max="14601" width="5.6640625" customWidth="1"/>
    <col min="14602" max="14602" width="6.6640625" customWidth="1"/>
    <col min="14603" max="14608" width="9" customWidth="1"/>
    <col min="14609" max="14610" width="9.1640625" customWidth="1"/>
    <col min="14613" max="14615" width="9.1640625" customWidth="1"/>
    <col min="14841" max="14841" width="26.6640625" customWidth="1"/>
    <col min="14842" max="14842" width="12.6640625" customWidth="1"/>
    <col min="14843" max="14843" width="10.6640625" customWidth="1"/>
    <col min="14844" max="14844" width="5.6640625" customWidth="1"/>
    <col min="14845" max="14846" width="9" customWidth="1"/>
    <col min="14847" max="14847" width="5.6640625" customWidth="1"/>
    <col min="14848" max="14848" width="12.6640625" customWidth="1"/>
    <col min="14849" max="14851" width="15.6640625" customWidth="1"/>
    <col min="14852" max="14852" width="10.6640625" customWidth="1"/>
    <col min="14853" max="14853" width="7.6640625" customWidth="1"/>
    <col min="14854" max="14856" width="6.6640625" customWidth="1"/>
    <col min="14857" max="14857" width="5.6640625" customWidth="1"/>
    <col min="14858" max="14858" width="6.6640625" customWidth="1"/>
    <col min="14859" max="14864" width="9" customWidth="1"/>
    <col min="14865" max="14866" width="9.1640625" customWidth="1"/>
    <col min="14869" max="14871" width="9.1640625" customWidth="1"/>
    <col min="15097" max="15097" width="26.6640625" customWidth="1"/>
    <col min="15098" max="15098" width="12.6640625" customWidth="1"/>
    <col min="15099" max="15099" width="10.6640625" customWidth="1"/>
    <col min="15100" max="15100" width="5.6640625" customWidth="1"/>
    <col min="15101" max="15102" width="9" customWidth="1"/>
    <col min="15103" max="15103" width="5.6640625" customWidth="1"/>
    <col min="15104" max="15104" width="12.6640625" customWidth="1"/>
    <col min="15105" max="15107" width="15.6640625" customWidth="1"/>
    <col min="15108" max="15108" width="10.6640625" customWidth="1"/>
    <col min="15109" max="15109" width="7.6640625" customWidth="1"/>
    <col min="15110" max="15112" width="6.6640625" customWidth="1"/>
    <col min="15113" max="15113" width="5.6640625" customWidth="1"/>
    <col min="15114" max="15114" width="6.6640625" customWidth="1"/>
    <col min="15115" max="15120" width="9" customWidth="1"/>
    <col min="15121" max="15122" width="9.1640625" customWidth="1"/>
    <col min="15125" max="15127" width="9.1640625" customWidth="1"/>
    <col min="15353" max="15353" width="26.6640625" customWidth="1"/>
    <col min="15354" max="15354" width="12.6640625" customWidth="1"/>
    <col min="15355" max="15355" width="10.6640625" customWidth="1"/>
    <col min="15356" max="15356" width="5.6640625" customWidth="1"/>
    <col min="15357" max="15358" width="9" customWidth="1"/>
    <col min="15359" max="15359" width="5.6640625" customWidth="1"/>
    <col min="15360" max="15360" width="12.6640625" customWidth="1"/>
    <col min="15361" max="15363" width="15.6640625" customWidth="1"/>
    <col min="15364" max="15364" width="10.6640625" customWidth="1"/>
    <col min="15365" max="15365" width="7.6640625" customWidth="1"/>
    <col min="15366" max="15368" width="6.6640625" customWidth="1"/>
    <col min="15369" max="15369" width="5.6640625" customWidth="1"/>
    <col min="15370" max="15370" width="6.6640625" customWidth="1"/>
    <col min="15371" max="15376" width="9" customWidth="1"/>
    <col min="15377" max="15378" width="9.1640625" customWidth="1"/>
    <col min="15381" max="15383" width="9.1640625" customWidth="1"/>
    <col min="15609" max="15609" width="26.6640625" customWidth="1"/>
    <col min="15610" max="15610" width="12.6640625" customWidth="1"/>
    <col min="15611" max="15611" width="10.6640625" customWidth="1"/>
    <col min="15612" max="15612" width="5.6640625" customWidth="1"/>
    <col min="15613" max="15614" width="9" customWidth="1"/>
    <col min="15615" max="15615" width="5.6640625" customWidth="1"/>
    <col min="15616" max="15616" width="12.6640625" customWidth="1"/>
    <col min="15617" max="15619" width="15.6640625" customWidth="1"/>
    <col min="15620" max="15620" width="10.6640625" customWidth="1"/>
    <col min="15621" max="15621" width="7.6640625" customWidth="1"/>
    <col min="15622" max="15624" width="6.6640625" customWidth="1"/>
    <col min="15625" max="15625" width="5.6640625" customWidth="1"/>
    <col min="15626" max="15626" width="6.6640625" customWidth="1"/>
    <col min="15627" max="15632" width="9" customWidth="1"/>
    <col min="15633" max="15634" width="9.1640625" customWidth="1"/>
    <col min="15637" max="15639" width="9.1640625" customWidth="1"/>
    <col min="15865" max="15865" width="26.6640625" customWidth="1"/>
    <col min="15866" max="15866" width="12.6640625" customWidth="1"/>
    <col min="15867" max="15867" width="10.6640625" customWidth="1"/>
    <col min="15868" max="15868" width="5.6640625" customWidth="1"/>
    <col min="15869" max="15870" width="9" customWidth="1"/>
    <col min="15871" max="15871" width="5.6640625" customWidth="1"/>
    <col min="15872" max="15872" width="12.6640625" customWidth="1"/>
    <col min="15873" max="15875" width="15.6640625" customWidth="1"/>
    <col min="15876" max="15876" width="10.6640625" customWidth="1"/>
    <col min="15877" max="15877" width="7.6640625" customWidth="1"/>
    <col min="15878" max="15880" width="6.6640625" customWidth="1"/>
    <col min="15881" max="15881" width="5.6640625" customWidth="1"/>
    <col min="15882" max="15882" width="6.6640625" customWidth="1"/>
    <col min="15883" max="15888" width="9" customWidth="1"/>
    <col min="15889" max="15890" width="9.1640625" customWidth="1"/>
    <col min="15893" max="15895" width="9.1640625" customWidth="1"/>
    <col min="16121" max="16121" width="26.6640625" customWidth="1"/>
    <col min="16122" max="16122" width="12.6640625" customWidth="1"/>
    <col min="16123" max="16123" width="10.6640625" customWidth="1"/>
    <col min="16124" max="16124" width="5.6640625" customWidth="1"/>
    <col min="16125" max="16126" width="9" customWidth="1"/>
    <col min="16127" max="16127" width="5.6640625" customWidth="1"/>
    <col min="16128" max="16128" width="12.6640625" customWidth="1"/>
    <col min="16129" max="16131" width="15.6640625" customWidth="1"/>
    <col min="16132" max="16132" width="10.6640625" customWidth="1"/>
    <col min="16133" max="16133" width="7.6640625" customWidth="1"/>
    <col min="16134" max="16136" width="6.6640625" customWidth="1"/>
    <col min="16137" max="16137" width="5.6640625" customWidth="1"/>
    <col min="16138" max="16138" width="6.6640625" customWidth="1"/>
    <col min="16139" max="16144" width="9" customWidth="1"/>
    <col min="16145" max="16146" width="9.1640625" customWidth="1"/>
    <col min="16149" max="16151" width="9.1640625" customWidth="1"/>
  </cols>
  <sheetData>
    <row r="1" spans="1:27" s="2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4" t="s">
        <v>4569</v>
      </c>
      <c r="Z1" s="29" t="s">
        <v>5166</v>
      </c>
      <c r="AA1" s="30" t="s">
        <v>5173</v>
      </c>
    </row>
    <row r="2" spans="1:27" ht="16" x14ac:dyDescent="0.2">
      <c r="A2" s="3" t="s">
        <v>3431</v>
      </c>
      <c r="B2" s="2" t="s">
        <v>3432</v>
      </c>
      <c r="C2" s="2" t="s">
        <v>3433</v>
      </c>
      <c r="D2" s="2">
        <v>1794</v>
      </c>
      <c r="E2" s="2">
        <v>1790</v>
      </c>
      <c r="F2" s="2">
        <v>2</v>
      </c>
      <c r="G2" s="2">
        <v>1</v>
      </c>
      <c r="H2" s="3" t="s">
        <v>3434</v>
      </c>
      <c r="I2" s="3" t="s">
        <v>3435</v>
      </c>
      <c r="J2" s="3" t="s">
        <v>3436</v>
      </c>
      <c r="K2" s="18" t="s">
        <v>3437</v>
      </c>
      <c r="L2" s="4" t="s">
        <v>3438</v>
      </c>
      <c r="M2" s="4">
        <v>23</v>
      </c>
      <c r="N2" s="2">
        <v>2</v>
      </c>
      <c r="O2" s="2">
        <v>6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1</v>
      </c>
      <c r="X2" s="2">
        <v>0</v>
      </c>
      <c r="Y2" s="2">
        <v>0</v>
      </c>
      <c r="Z2" s="26" t="s">
        <v>5167</v>
      </c>
      <c r="AA2" s="31">
        <v>1794.01</v>
      </c>
    </row>
    <row r="3" spans="1:27" ht="16" x14ac:dyDescent="0.2">
      <c r="A3" s="3" t="s">
        <v>24</v>
      </c>
      <c r="B3" s="2" t="s">
        <v>25</v>
      </c>
      <c r="C3" s="2" t="s">
        <v>26</v>
      </c>
      <c r="D3" s="2">
        <v>1795</v>
      </c>
      <c r="E3" s="2">
        <v>1790</v>
      </c>
      <c r="F3" s="2">
        <v>0</v>
      </c>
      <c r="G3" s="2">
        <v>0</v>
      </c>
      <c r="H3" s="3" t="s">
        <v>27</v>
      </c>
      <c r="I3" s="3" t="s">
        <v>28</v>
      </c>
      <c r="J3" s="3" t="s">
        <v>5004</v>
      </c>
      <c r="L3" s="4" t="s">
        <v>29</v>
      </c>
      <c r="M3" s="4">
        <f>(14*12)+9</f>
        <v>177</v>
      </c>
      <c r="N3" s="2">
        <v>0</v>
      </c>
      <c r="O3" s="2">
        <v>5</v>
      </c>
      <c r="Q3" s="2">
        <v>0</v>
      </c>
      <c r="R3" s="2">
        <v>0</v>
      </c>
      <c r="S3" s="2">
        <v>1</v>
      </c>
      <c r="T3" s="2">
        <v>0</v>
      </c>
      <c r="U3" s="2">
        <v>1</v>
      </c>
      <c r="V3" s="2">
        <v>0</v>
      </c>
      <c r="W3" s="2">
        <v>0</v>
      </c>
      <c r="X3" s="2">
        <v>0</v>
      </c>
      <c r="Y3" s="2">
        <v>1</v>
      </c>
      <c r="Z3" s="26" t="s">
        <v>5167</v>
      </c>
      <c r="AA3" s="31">
        <v>1795.01</v>
      </c>
    </row>
    <row r="4" spans="1:27" ht="16" x14ac:dyDescent="0.2">
      <c r="A4" s="3" t="s">
        <v>30</v>
      </c>
      <c r="B4" s="2" t="s">
        <v>31</v>
      </c>
      <c r="C4" s="2" t="s">
        <v>32</v>
      </c>
      <c r="D4" s="2">
        <v>1796</v>
      </c>
      <c r="E4" s="2">
        <v>1790</v>
      </c>
      <c r="F4" s="2">
        <v>0</v>
      </c>
      <c r="G4" s="2">
        <v>0</v>
      </c>
      <c r="H4" s="3" t="s">
        <v>27</v>
      </c>
      <c r="I4" s="3" t="s">
        <v>33</v>
      </c>
      <c r="J4" s="3" t="s">
        <v>34</v>
      </c>
      <c r="K4" s="18" t="s">
        <v>35</v>
      </c>
      <c r="L4" s="4" t="s">
        <v>36</v>
      </c>
      <c r="M4" s="4">
        <v>21</v>
      </c>
      <c r="N4" s="2">
        <v>3</v>
      </c>
      <c r="O4" s="2">
        <v>5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2">
        <v>0</v>
      </c>
      <c r="W4" s="2">
        <v>1</v>
      </c>
      <c r="X4" s="2">
        <v>0</v>
      </c>
      <c r="Y4" s="2">
        <v>1</v>
      </c>
      <c r="Z4" s="26" t="s">
        <v>5167</v>
      </c>
      <c r="AA4" s="31">
        <v>1796.01</v>
      </c>
    </row>
    <row r="5" spans="1:27" ht="16" x14ac:dyDescent="0.2">
      <c r="A5" s="3" t="s">
        <v>37</v>
      </c>
      <c r="B5" s="2" t="s">
        <v>38</v>
      </c>
      <c r="C5" s="2" t="s">
        <v>39</v>
      </c>
      <c r="D5" s="2">
        <v>1796</v>
      </c>
      <c r="E5" s="2">
        <v>1790</v>
      </c>
      <c r="F5" s="2">
        <v>0</v>
      </c>
      <c r="G5" s="2">
        <v>0</v>
      </c>
      <c r="H5" s="3" t="s">
        <v>27</v>
      </c>
      <c r="I5" s="3" t="s">
        <v>40</v>
      </c>
      <c r="J5" s="3" t="s">
        <v>41</v>
      </c>
      <c r="K5" s="18" t="s">
        <v>42</v>
      </c>
      <c r="L5" s="4" t="s">
        <v>43</v>
      </c>
      <c r="M5" s="4">
        <v>28</v>
      </c>
      <c r="N5" s="2">
        <v>3</v>
      </c>
      <c r="O5" s="2">
        <v>6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Y5" s="2">
        <v>1</v>
      </c>
      <c r="Z5" s="26" t="s">
        <v>5167</v>
      </c>
      <c r="AA5" s="31">
        <v>1796.02</v>
      </c>
    </row>
    <row r="6" spans="1:27" ht="16" x14ac:dyDescent="0.2">
      <c r="A6" t="s">
        <v>3439</v>
      </c>
      <c r="B6" s="2" t="s">
        <v>3440</v>
      </c>
      <c r="C6" s="2" t="s">
        <v>3441</v>
      </c>
      <c r="D6" s="2">
        <v>1800</v>
      </c>
      <c r="E6" s="2">
        <v>1800</v>
      </c>
      <c r="F6" s="2">
        <v>1</v>
      </c>
      <c r="G6" s="2">
        <v>1</v>
      </c>
      <c r="H6" t="s">
        <v>3442</v>
      </c>
      <c r="I6" t="s">
        <v>61</v>
      </c>
      <c r="J6" s="3" t="s">
        <v>62</v>
      </c>
      <c r="K6" s="18" t="s">
        <v>63</v>
      </c>
      <c r="L6" s="4" t="s">
        <v>64</v>
      </c>
      <c r="M6">
        <f>11+120</f>
        <v>131</v>
      </c>
      <c r="N6" s="2">
        <v>1</v>
      </c>
      <c r="O6" s="2">
        <v>5</v>
      </c>
      <c r="P6" s="2">
        <v>6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6" t="s">
        <v>5167</v>
      </c>
      <c r="AA6" s="31">
        <v>1800.01</v>
      </c>
    </row>
    <row r="7" spans="1:27" ht="16" x14ac:dyDescent="0.2">
      <c r="A7" s="3" t="s">
        <v>3443</v>
      </c>
      <c r="B7" s="2" t="s">
        <v>3444</v>
      </c>
      <c r="C7" s="2" t="s">
        <v>3445</v>
      </c>
      <c r="D7" s="2">
        <v>1803</v>
      </c>
      <c r="E7" s="2">
        <v>1800</v>
      </c>
      <c r="F7" s="2">
        <v>2</v>
      </c>
      <c r="G7" s="2">
        <v>1</v>
      </c>
      <c r="H7" s="3" t="s">
        <v>3434</v>
      </c>
      <c r="I7" s="3" t="s">
        <v>61</v>
      </c>
      <c r="J7" s="3" t="s">
        <v>62</v>
      </c>
      <c r="K7" s="18" t="s">
        <v>63</v>
      </c>
      <c r="L7" s="4" t="s">
        <v>64</v>
      </c>
      <c r="M7" s="4">
        <f>(13*12)+5</f>
        <v>161</v>
      </c>
      <c r="N7" s="2">
        <v>1</v>
      </c>
      <c r="O7" s="2">
        <v>6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1</v>
      </c>
      <c r="X7" s="2">
        <v>0</v>
      </c>
      <c r="Y7" s="2">
        <v>0</v>
      </c>
      <c r="Z7" s="26" t="s">
        <v>5167</v>
      </c>
      <c r="AA7" s="31">
        <v>1803.01</v>
      </c>
    </row>
    <row r="8" spans="1:27" ht="16" x14ac:dyDescent="0.2">
      <c r="A8" s="3" t="s">
        <v>44</v>
      </c>
      <c r="B8" s="2" t="s">
        <v>45</v>
      </c>
      <c r="C8" s="2" t="s">
        <v>46</v>
      </c>
      <c r="D8" s="2">
        <v>1803</v>
      </c>
      <c r="E8" s="2">
        <v>1800</v>
      </c>
      <c r="F8" s="2">
        <v>0</v>
      </c>
      <c r="G8" s="2">
        <v>0</v>
      </c>
      <c r="H8" s="3" t="s">
        <v>27</v>
      </c>
      <c r="I8" s="3" t="s">
        <v>47</v>
      </c>
      <c r="J8" s="19" t="s">
        <v>48</v>
      </c>
      <c r="K8" s="18" t="s">
        <v>49</v>
      </c>
      <c r="L8" s="4" t="s">
        <v>50</v>
      </c>
      <c r="M8" s="4">
        <v>12</v>
      </c>
      <c r="N8" s="2">
        <v>7</v>
      </c>
      <c r="O8" s="2">
        <v>6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6" t="s">
        <v>5167</v>
      </c>
      <c r="AA8" s="31">
        <v>1803.02</v>
      </c>
    </row>
    <row r="9" spans="1:27" ht="16" x14ac:dyDescent="0.2">
      <c r="A9" s="3" t="s">
        <v>51</v>
      </c>
      <c r="B9" s="2" t="s">
        <v>52</v>
      </c>
      <c r="C9" s="2" t="s">
        <v>53</v>
      </c>
      <c r="D9" s="2">
        <v>1805</v>
      </c>
      <c r="E9" s="2">
        <v>1800</v>
      </c>
      <c r="F9" s="2">
        <v>0</v>
      </c>
      <c r="G9" s="2">
        <v>0</v>
      </c>
      <c r="H9" s="3" t="s">
        <v>27</v>
      </c>
      <c r="I9" s="3" t="s">
        <v>54</v>
      </c>
      <c r="J9" s="3" t="s">
        <v>55</v>
      </c>
      <c r="K9" s="18" t="s">
        <v>56</v>
      </c>
      <c r="L9" s="4" t="s">
        <v>57</v>
      </c>
      <c r="M9" s="4">
        <f>(6*12)+11</f>
        <v>83</v>
      </c>
      <c r="N9" s="2">
        <v>4</v>
      </c>
      <c r="O9" s="2">
        <v>5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2">
        <v>1</v>
      </c>
      <c r="X9" s="2">
        <v>0</v>
      </c>
      <c r="Y9" s="2">
        <v>0</v>
      </c>
      <c r="Z9" s="26" t="s">
        <v>5167</v>
      </c>
      <c r="AA9" s="31">
        <v>1805.01</v>
      </c>
    </row>
    <row r="10" spans="1:27" ht="16" x14ac:dyDescent="0.2">
      <c r="A10" s="3" t="s">
        <v>58</v>
      </c>
      <c r="B10" s="2" t="s">
        <v>59</v>
      </c>
      <c r="C10" s="2" t="s">
        <v>60</v>
      </c>
      <c r="D10" s="2">
        <v>1807</v>
      </c>
      <c r="E10" s="2">
        <v>1800</v>
      </c>
      <c r="F10" s="2">
        <v>0</v>
      </c>
      <c r="G10" s="2">
        <v>0</v>
      </c>
      <c r="H10" s="3" t="s">
        <v>27</v>
      </c>
      <c r="I10" s="3" t="s">
        <v>61</v>
      </c>
      <c r="J10" s="3" t="s">
        <v>62</v>
      </c>
      <c r="K10" s="18" t="s">
        <v>63</v>
      </c>
      <c r="L10" s="4" t="s">
        <v>64</v>
      </c>
      <c r="M10" s="4">
        <f>(12*17)+5</f>
        <v>209</v>
      </c>
      <c r="N10" s="2">
        <v>1</v>
      </c>
      <c r="O10" s="2">
        <v>6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0</v>
      </c>
      <c r="Z10" s="26" t="s">
        <v>5167</v>
      </c>
      <c r="AA10" s="31">
        <v>1807.01</v>
      </c>
    </row>
    <row r="11" spans="1:27" ht="16" x14ac:dyDescent="0.2">
      <c r="A11" s="3" t="s">
        <v>3446</v>
      </c>
      <c r="B11" s="2" t="s">
        <v>3447</v>
      </c>
      <c r="C11" s="2" t="s">
        <v>3448</v>
      </c>
      <c r="D11" s="2">
        <v>1807</v>
      </c>
      <c r="E11" s="2">
        <v>1800</v>
      </c>
      <c r="F11" s="2">
        <v>2</v>
      </c>
      <c r="G11" s="2">
        <v>1</v>
      </c>
      <c r="H11" s="3" t="s">
        <v>3434</v>
      </c>
      <c r="I11" s="3" t="s">
        <v>3449</v>
      </c>
      <c r="J11" s="3" t="s">
        <v>3450</v>
      </c>
      <c r="K11" s="18" t="s">
        <v>3451</v>
      </c>
      <c r="L11" s="4" t="s">
        <v>3452</v>
      </c>
      <c r="M11" s="4">
        <f>(8*12)+8</f>
        <v>104</v>
      </c>
      <c r="N11" s="2">
        <v>5</v>
      </c>
      <c r="O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6" t="s">
        <v>5167</v>
      </c>
      <c r="AA11" s="31">
        <v>1807.02</v>
      </c>
    </row>
    <row r="12" spans="1:27" ht="16" x14ac:dyDescent="0.2">
      <c r="A12" s="3" t="s">
        <v>65</v>
      </c>
      <c r="B12" s="2" t="s">
        <v>66</v>
      </c>
      <c r="C12" s="2" t="s">
        <v>67</v>
      </c>
      <c r="D12" s="2">
        <v>1807</v>
      </c>
      <c r="E12" s="2">
        <v>1800</v>
      </c>
      <c r="F12" s="2">
        <v>0</v>
      </c>
      <c r="G12" s="2">
        <v>0</v>
      </c>
      <c r="H12" s="3" t="s">
        <v>27</v>
      </c>
      <c r="I12" s="3" t="s">
        <v>68</v>
      </c>
      <c r="J12" s="19" t="s">
        <v>69</v>
      </c>
      <c r="K12" s="18" t="s">
        <v>70</v>
      </c>
      <c r="L12" s="4" t="s">
        <v>71</v>
      </c>
      <c r="M12" s="4">
        <v>13</v>
      </c>
      <c r="N12" s="2">
        <v>9</v>
      </c>
      <c r="O12" s="2">
        <v>1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0</v>
      </c>
      <c r="W12" s="2">
        <v>1</v>
      </c>
      <c r="X12" s="2">
        <v>0</v>
      </c>
      <c r="Y12" s="2">
        <v>1</v>
      </c>
      <c r="Z12" s="26" t="s">
        <v>5167</v>
      </c>
      <c r="AA12" s="31">
        <v>1807.03</v>
      </c>
    </row>
    <row r="13" spans="1:27" ht="16" x14ac:dyDescent="0.2">
      <c r="A13" t="s">
        <v>3453</v>
      </c>
      <c r="B13" s="2" t="s">
        <v>3454</v>
      </c>
      <c r="C13" s="2" t="s">
        <v>3455</v>
      </c>
      <c r="D13" s="2">
        <v>1809</v>
      </c>
      <c r="E13" s="2">
        <v>1800</v>
      </c>
      <c r="F13" s="2">
        <v>1</v>
      </c>
      <c r="G13" s="2">
        <v>1</v>
      </c>
      <c r="H13" t="s">
        <v>3442</v>
      </c>
      <c r="I13" t="s">
        <v>61</v>
      </c>
      <c r="J13" s="3" t="s">
        <v>62</v>
      </c>
      <c r="K13" s="18" t="s">
        <v>63</v>
      </c>
      <c r="L13" s="4" t="s">
        <v>64</v>
      </c>
      <c r="M13">
        <f>5+(12*19)</f>
        <v>233</v>
      </c>
      <c r="N13" s="2">
        <v>1</v>
      </c>
      <c r="O13" s="2">
        <v>5</v>
      </c>
      <c r="P13" s="2">
        <v>6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6" t="s">
        <v>5167</v>
      </c>
      <c r="AA13" s="31">
        <v>1809.01</v>
      </c>
    </row>
    <row r="14" spans="1:27" ht="16" x14ac:dyDescent="0.2">
      <c r="A14" s="3" t="s">
        <v>72</v>
      </c>
      <c r="B14" s="2" t="s">
        <v>73</v>
      </c>
      <c r="C14" s="2" t="s">
        <v>74</v>
      </c>
      <c r="D14" s="2">
        <v>1813</v>
      </c>
      <c r="E14" s="2">
        <v>1810</v>
      </c>
      <c r="F14" s="2">
        <v>0</v>
      </c>
      <c r="G14" s="2">
        <v>0</v>
      </c>
      <c r="H14" s="3" t="s">
        <v>27</v>
      </c>
      <c r="I14" s="3" t="s">
        <v>75</v>
      </c>
      <c r="J14" s="3" t="s">
        <v>4610</v>
      </c>
      <c r="K14" s="15"/>
      <c r="L14" s="4" t="s">
        <v>76</v>
      </c>
      <c r="M14">
        <f>9+24</f>
        <v>33</v>
      </c>
      <c r="N14" s="2">
        <v>11</v>
      </c>
      <c r="O14" s="2">
        <v>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6" t="s">
        <v>5167</v>
      </c>
      <c r="AA14" s="31">
        <v>1813.01</v>
      </c>
    </row>
    <row r="15" spans="1:27" ht="16" x14ac:dyDescent="0.2">
      <c r="A15" s="3" t="s">
        <v>77</v>
      </c>
      <c r="B15" s="2" t="s">
        <v>78</v>
      </c>
      <c r="C15" s="2" t="s">
        <v>79</v>
      </c>
      <c r="D15" s="2">
        <v>1816</v>
      </c>
      <c r="E15" s="2">
        <v>1810</v>
      </c>
      <c r="F15" s="2">
        <v>0</v>
      </c>
      <c r="G15" s="2">
        <v>0</v>
      </c>
      <c r="H15" s="3" t="s">
        <v>27</v>
      </c>
      <c r="I15" s="3" t="s">
        <v>61</v>
      </c>
      <c r="J15" s="3" t="s">
        <v>62</v>
      </c>
      <c r="K15" s="18" t="s">
        <v>63</v>
      </c>
      <c r="L15" s="4" t="s">
        <v>64</v>
      </c>
      <c r="M15" s="4">
        <f>(12*27)+6</f>
        <v>330</v>
      </c>
      <c r="N15" s="2">
        <v>1</v>
      </c>
      <c r="O15" s="2">
        <v>5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6" t="s">
        <v>5167</v>
      </c>
      <c r="AA15" s="31">
        <v>1816.01</v>
      </c>
    </row>
    <row r="16" spans="1:27" ht="16" x14ac:dyDescent="0.2">
      <c r="A16" s="3" t="s">
        <v>80</v>
      </c>
      <c r="B16" s="2" t="s">
        <v>81</v>
      </c>
      <c r="C16" s="2" t="s">
        <v>82</v>
      </c>
      <c r="D16" s="2">
        <v>1819</v>
      </c>
      <c r="E16" s="2">
        <v>1810</v>
      </c>
      <c r="F16" s="2">
        <v>0</v>
      </c>
      <c r="G16" s="2">
        <v>0</v>
      </c>
      <c r="H16" s="3" t="s">
        <v>27</v>
      </c>
      <c r="I16" s="3" t="s">
        <v>83</v>
      </c>
      <c r="J16" s="3" t="s">
        <v>4570</v>
      </c>
      <c r="K16" s="15" t="s">
        <v>4571</v>
      </c>
      <c r="L16" s="4" t="s">
        <v>84</v>
      </c>
      <c r="M16" s="4">
        <f>(12*2)+11</f>
        <v>35</v>
      </c>
      <c r="N16" s="2">
        <v>14</v>
      </c>
      <c r="O16" s="2">
        <v>5</v>
      </c>
      <c r="Q16" s="2">
        <v>1</v>
      </c>
      <c r="R16" s="2">
        <v>1</v>
      </c>
      <c r="S16" s="2">
        <v>1</v>
      </c>
      <c r="T16" s="2">
        <v>0</v>
      </c>
      <c r="U16" s="2">
        <v>1</v>
      </c>
      <c r="V16" s="2">
        <v>0</v>
      </c>
      <c r="W16" s="2">
        <v>1</v>
      </c>
      <c r="X16" s="2">
        <v>0</v>
      </c>
      <c r="Y16" s="2">
        <v>0</v>
      </c>
      <c r="Z16" s="26" t="s">
        <v>5167</v>
      </c>
      <c r="AA16" s="31">
        <v>1819.01</v>
      </c>
    </row>
    <row r="17" spans="1:27" ht="16" x14ac:dyDescent="0.2">
      <c r="A17" s="3" t="s">
        <v>90</v>
      </c>
      <c r="B17" s="2" t="s">
        <v>91</v>
      </c>
      <c r="C17" s="2" t="s">
        <v>92</v>
      </c>
      <c r="D17" s="2">
        <v>1820</v>
      </c>
      <c r="E17" s="2">
        <v>1820</v>
      </c>
      <c r="F17" s="2">
        <v>0</v>
      </c>
      <c r="G17" s="2">
        <v>0</v>
      </c>
      <c r="H17" s="3" t="s">
        <v>27</v>
      </c>
      <c r="I17" s="3" t="s">
        <v>93</v>
      </c>
      <c r="J17" s="3" t="s">
        <v>4572</v>
      </c>
      <c r="K17" s="15"/>
      <c r="L17" s="4" t="s">
        <v>94</v>
      </c>
      <c r="M17" s="4">
        <f>11</f>
        <v>11</v>
      </c>
      <c r="N17" s="2">
        <v>15</v>
      </c>
      <c r="O17" s="2">
        <v>6</v>
      </c>
      <c r="P17" s="2">
        <v>1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1</v>
      </c>
      <c r="X17" s="2">
        <v>1</v>
      </c>
      <c r="Y17" s="2">
        <v>0</v>
      </c>
      <c r="Z17" s="26" t="s">
        <v>5167</v>
      </c>
      <c r="AA17" s="31">
        <v>1820.01</v>
      </c>
    </row>
    <row r="18" spans="1:27" ht="16" x14ac:dyDescent="0.2">
      <c r="A18" s="3" t="s">
        <v>85</v>
      </c>
      <c r="B18" s="2" t="s">
        <v>86</v>
      </c>
      <c r="C18" s="2" t="s">
        <v>87</v>
      </c>
      <c r="D18" s="2">
        <v>1820</v>
      </c>
      <c r="E18" s="2">
        <v>1820</v>
      </c>
      <c r="F18" s="2">
        <v>0</v>
      </c>
      <c r="G18" s="2">
        <v>0</v>
      </c>
      <c r="H18" s="3" t="s">
        <v>27</v>
      </c>
      <c r="I18" s="3" t="s">
        <v>88</v>
      </c>
      <c r="J18" s="3" t="s">
        <v>4573</v>
      </c>
      <c r="K18" s="15"/>
      <c r="L18" s="4" t="s">
        <v>89</v>
      </c>
      <c r="M18" s="4">
        <f>(5*12)+1</f>
        <v>61</v>
      </c>
      <c r="N18" s="2">
        <v>13</v>
      </c>
      <c r="O18" s="2">
        <v>4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6" t="s">
        <v>5167</v>
      </c>
      <c r="AA18" s="31">
        <v>1820.02</v>
      </c>
    </row>
    <row r="19" spans="1:27" ht="16" x14ac:dyDescent="0.2">
      <c r="A19" s="3" t="s">
        <v>95</v>
      </c>
      <c r="B19" s="2" t="s">
        <v>96</v>
      </c>
      <c r="C19" s="2" t="s">
        <v>97</v>
      </c>
      <c r="D19" s="2">
        <v>1821</v>
      </c>
      <c r="E19" s="2">
        <v>1820</v>
      </c>
      <c r="F19" s="2">
        <v>0</v>
      </c>
      <c r="G19" s="2">
        <v>0</v>
      </c>
      <c r="H19" s="3" t="s">
        <v>27</v>
      </c>
      <c r="I19" s="3" t="s">
        <v>61</v>
      </c>
      <c r="J19" s="3" t="s">
        <v>62</v>
      </c>
      <c r="K19" s="18" t="s">
        <v>63</v>
      </c>
      <c r="L19" s="4" t="s">
        <v>64</v>
      </c>
      <c r="M19" s="4">
        <f>(5*12)+330</f>
        <v>390</v>
      </c>
      <c r="N19" s="2">
        <v>1</v>
      </c>
      <c r="O19" s="2">
        <v>5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</v>
      </c>
      <c r="Z19" s="26" t="s">
        <v>5167</v>
      </c>
      <c r="AA19" s="31">
        <v>1821.01</v>
      </c>
    </row>
    <row r="20" spans="1:27" ht="16" x14ac:dyDescent="0.2">
      <c r="A20" s="3" t="s">
        <v>98</v>
      </c>
      <c r="B20" s="2" t="s">
        <v>99</v>
      </c>
      <c r="C20" s="2" t="s">
        <v>100</v>
      </c>
      <c r="D20" s="2">
        <v>1824</v>
      </c>
      <c r="E20" s="2">
        <v>1820</v>
      </c>
      <c r="F20" s="2">
        <v>0</v>
      </c>
      <c r="G20" s="2">
        <v>0</v>
      </c>
      <c r="H20" s="3" t="s">
        <v>27</v>
      </c>
      <c r="I20" s="3" t="s">
        <v>101</v>
      </c>
      <c r="J20" s="3" t="s">
        <v>102</v>
      </c>
      <c r="K20" s="18" t="s">
        <v>103</v>
      </c>
      <c r="L20" s="4" t="s">
        <v>104</v>
      </c>
      <c r="M20" s="4">
        <f>(12*20)+11</f>
        <v>251</v>
      </c>
      <c r="N20" s="2">
        <v>2</v>
      </c>
      <c r="O20" s="2">
        <v>5</v>
      </c>
      <c r="Q20" s="2">
        <v>0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6" t="s">
        <v>5167</v>
      </c>
      <c r="AA20" s="31">
        <v>1824.01</v>
      </c>
    </row>
    <row r="21" spans="1:27" ht="16" x14ac:dyDescent="0.2">
      <c r="A21" s="3" t="s">
        <v>105</v>
      </c>
      <c r="B21" s="2" t="s">
        <v>106</v>
      </c>
      <c r="C21" s="2" t="s">
        <v>107</v>
      </c>
      <c r="D21" s="2">
        <v>1824</v>
      </c>
      <c r="E21" s="2">
        <v>1820</v>
      </c>
      <c r="F21" s="2">
        <v>0</v>
      </c>
      <c r="G21" s="2">
        <v>0</v>
      </c>
      <c r="H21" s="3" t="s">
        <v>27</v>
      </c>
      <c r="I21" s="3" t="s">
        <v>83</v>
      </c>
      <c r="J21" s="3" t="s">
        <v>4570</v>
      </c>
      <c r="K21" s="15" t="s">
        <v>4571</v>
      </c>
      <c r="L21" s="4" t="s">
        <v>84</v>
      </c>
      <c r="M21" s="4">
        <f>11+(12*7)</f>
        <v>95</v>
      </c>
      <c r="N21" s="2">
        <v>14</v>
      </c>
      <c r="O21" s="2">
        <v>5</v>
      </c>
      <c r="P21" s="2">
        <v>6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2">
        <v>1</v>
      </c>
      <c r="Y21" s="2">
        <v>0</v>
      </c>
      <c r="Z21" s="26" t="s">
        <v>5167</v>
      </c>
      <c r="AA21" s="31">
        <v>1824.02</v>
      </c>
    </row>
    <row r="22" spans="1:27" ht="16" x14ac:dyDescent="0.2">
      <c r="A22" s="3" t="s">
        <v>115</v>
      </c>
      <c r="B22" s="2" t="s">
        <v>116</v>
      </c>
      <c r="C22" s="2" t="s">
        <v>117</v>
      </c>
      <c r="D22" s="2">
        <v>1825</v>
      </c>
      <c r="E22" s="2">
        <v>1820</v>
      </c>
      <c r="F22" s="2">
        <v>0</v>
      </c>
      <c r="G22" s="2">
        <v>0</v>
      </c>
      <c r="H22" s="3" t="s">
        <v>27</v>
      </c>
      <c r="I22" s="3" t="s">
        <v>61</v>
      </c>
      <c r="J22" s="3" t="s">
        <v>62</v>
      </c>
      <c r="K22" s="18" t="s">
        <v>63</v>
      </c>
      <c r="L22" s="4" t="s">
        <v>64</v>
      </c>
      <c r="M22" s="4">
        <f>390+(12*4)</f>
        <v>438</v>
      </c>
      <c r="N22" s="2">
        <v>1</v>
      </c>
      <c r="O22" s="2">
        <v>6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6" t="s">
        <v>5167</v>
      </c>
      <c r="AA22" s="31">
        <v>1825.01</v>
      </c>
    </row>
    <row r="23" spans="1:27" ht="16" x14ac:dyDescent="0.2">
      <c r="A23" s="3" t="s">
        <v>108</v>
      </c>
      <c r="B23" s="2" t="s">
        <v>109</v>
      </c>
      <c r="C23" s="2" t="s">
        <v>110</v>
      </c>
      <c r="D23" s="2">
        <v>1825</v>
      </c>
      <c r="E23" s="2">
        <v>1820</v>
      </c>
      <c r="F23" s="2">
        <v>0</v>
      </c>
      <c r="G23" s="2">
        <v>0</v>
      </c>
      <c r="H23" s="3" t="s">
        <v>27</v>
      </c>
      <c r="I23" s="3" t="s">
        <v>111</v>
      </c>
      <c r="J23" s="3" t="s">
        <v>112</v>
      </c>
      <c r="K23" s="18" t="s">
        <v>113</v>
      </c>
      <c r="L23" s="4" t="s">
        <v>114</v>
      </c>
      <c r="M23" s="4">
        <f>(32*12)+10</f>
        <v>394</v>
      </c>
      <c r="N23" s="2">
        <v>2</v>
      </c>
      <c r="O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1</v>
      </c>
      <c r="Z23" s="26" t="s">
        <v>5167</v>
      </c>
      <c r="AA23" s="31">
        <v>1825.02</v>
      </c>
    </row>
    <row r="24" spans="1:27" ht="16" x14ac:dyDescent="0.2">
      <c r="A24" s="3" t="s">
        <v>118</v>
      </c>
      <c r="B24" s="2" t="s">
        <v>119</v>
      </c>
      <c r="C24" s="2" t="s">
        <v>120</v>
      </c>
      <c r="D24" s="2">
        <v>1828</v>
      </c>
      <c r="E24" s="2">
        <v>1820</v>
      </c>
      <c r="F24" s="2">
        <v>0</v>
      </c>
      <c r="G24" s="2">
        <v>0</v>
      </c>
      <c r="H24" s="3" t="s">
        <v>27</v>
      </c>
      <c r="I24" s="3" t="s">
        <v>121</v>
      </c>
      <c r="J24" s="3" t="s">
        <v>4574</v>
      </c>
      <c r="K24" s="15"/>
      <c r="L24" s="4" t="s">
        <v>122</v>
      </c>
      <c r="M24" s="4">
        <f>(5*12)</f>
        <v>60</v>
      </c>
      <c r="N24" s="2">
        <v>17</v>
      </c>
      <c r="O24" s="2">
        <v>6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6" t="s">
        <v>5167</v>
      </c>
      <c r="AA24" s="31">
        <v>1828.01</v>
      </c>
    </row>
    <row r="25" spans="1:27" ht="16" x14ac:dyDescent="0.2">
      <c r="A25" t="s">
        <v>3456</v>
      </c>
      <c r="B25" s="2" t="s">
        <v>3457</v>
      </c>
      <c r="C25" s="2" t="s">
        <v>3458</v>
      </c>
      <c r="D25" s="2">
        <v>1829</v>
      </c>
      <c r="E25" s="2">
        <v>1820</v>
      </c>
      <c r="F25" s="2">
        <v>1</v>
      </c>
      <c r="G25" s="2">
        <v>1</v>
      </c>
      <c r="H25" t="s">
        <v>3442</v>
      </c>
      <c r="I25" t="s">
        <v>61</v>
      </c>
      <c r="J25" s="3" t="s">
        <v>62</v>
      </c>
      <c r="K25" s="18" t="s">
        <v>63</v>
      </c>
      <c r="L25" s="4" t="s">
        <v>64</v>
      </c>
      <c r="M25">
        <f>5+(12*39)</f>
        <v>473</v>
      </c>
      <c r="N25" s="2">
        <v>1</v>
      </c>
      <c r="O25" s="2">
        <v>5</v>
      </c>
      <c r="P25" s="2">
        <v>6</v>
      </c>
      <c r="Q25" s="2">
        <v>1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6" t="s">
        <v>5167</v>
      </c>
      <c r="AA25" s="31">
        <v>1829.01</v>
      </c>
    </row>
    <row r="26" spans="1:27" ht="16" x14ac:dyDescent="0.2">
      <c r="A26" s="3" t="s">
        <v>123</v>
      </c>
      <c r="B26" s="2" t="s">
        <v>124</v>
      </c>
      <c r="C26" s="2" t="s">
        <v>125</v>
      </c>
      <c r="D26" s="2">
        <v>1829</v>
      </c>
      <c r="E26" s="2">
        <v>1820</v>
      </c>
      <c r="F26" s="2">
        <v>0</v>
      </c>
      <c r="G26" s="2">
        <v>0</v>
      </c>
      <c r="H26" s="3" t="s">
        <v>27</v>
      </c>
      <c r="I26" s="3" t="s">
        <v>126</v>
      </c>
      <c r="J26" s="19" t="s">
        <v>127</v>
      </c>
      <c r="K26" s="18" t="s">
        <v>128</v>
      </c>
      <c r="L26" s="4" t="s">
        <v>129</v>
      </c>
      <c r="M26" s="4">
        <f>(25*12)</f>
        <v>300</v>
      </c>
      <c r="N26" s="2">
        <v>8</v>
      </c>
      <c r="O26" s="2">
        <v>4</v>
      </c>
      <c r="P26" s="2">
        <v>6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6" t="s">
        <v>5167</v>
      </c>
      <c r="AA26" s="31">
        <v>1829.02</v>
      </c>
    </row>
    <row r="27" spans="1:27" ht="16" x14ac:dyDescent="0.2">
      <c r="A27" s="3" t="s">
        <v>3459</v>
      </c>
      <c r="B27" s="2" t="s">
        <v>3460</v>
      </c>
      <c r="C27" s="2" t="s">
        <v>3461</v>
      </c>
      <c r="D27" s="2">
        <v>1829</v>
      </c>
      <c r="E27" s="2">
        <v>1820</v>
      </c>
      <c r="F27" s="2">
        <v>1</v>
      </c>
      <c r="G27" s="2">
        <v>1</v>
      </c>
      <c r="H27" s="3" t="s">
        <v>3442</v>
      </c>
      <c r="I27" s="3" t="s">
        <v>3462</v>
      </c>
      <c r="J27" s="3" t="s">
        <v>3463</v>
      </c>
      <c r="K27" s="15"/>
      <c r="L27" s="4" t="s">
        <v>3464</v>
      </c>
      <c r="M27" s="4">
        <f>(12*10)+10</f>
        <v>130</v>
      </c>
      <c r="N27" s="2">
        <v>15</v>
      </c>
      <c r="O27" s="2">
        <v>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6" t="s">
        <v>5167</v>
      </c>
      <c r="AA27" s="31">
        <v>1829.03</v>
      </c>
    </row>
    <row r="28" spans="1:27" ht="16" x14ac:dyDescent="0.2">
      <c r="A28" s="3" t="s">
        <v>3465</v>
      </c>
      <c r="B28" s="2" t="s">
        <v>3466</v>
      </c>
      <c r="C28" s="2" t="s">
        <v>3467</v>
      </c>
      <c r="D28" s="2">
        <v>1830</v>
      </c>
      <c r="E28" s="2">
        <v>1830</v>
      </c>
      <c r="F28" s="2">
        <v>1</v>
      </c>
      <c r="G28" s="2">
        <v>1</v>
      </c>
      <c r="H28" s="3" t="s">
        <v>3442</v>
      </c>
      <c r="I28" s="3" t="s">
        <v>3468</v>
      </c>
      <c r="J28" s="3" t="s">
        <v>3469</v>
      </c>
      <c r="K28" s="15"/>
      <c r="L28" s="4" t="s">
        <v>3470</v>
      </c>
      <c r="M28" s="4">
        <f>(5*12)+9</f>
        <v>69</v>
      </c>
      <c r="N28" s="2">
        <v>18</v>
      </c>
      <c r="O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1</v>
      </c>
      <c r="Y28" s="2">
        <v>0</v>
      </c>
      <c r="Z28" s="26" t="s">
        <v>5167</v>
      </c>
      <c r="AA28" s="31">
        <v>1830.01</v>
      </c>
    </row>
    <row r="29" spans="1:27" ht="16" x14ac:dyDescent="0.2">
      <c r="A29" s="3" t="s">
        <v>130</v>
      </c>
      <c r="B29" s="2" t="s">
        <v>131</v>
      </c>
      <c r="C29" s="2" t="s">
        <v>132</v>
      </c>
      <c r="D29" s="2">
        <v>1832</v>
      </c>
      <c r="E29" s="2">
        <v>1830</v>
      </c>
      <c r="F29" s="2">
        <v>0</v>
      </c>
      <c r="G29" s="2">
        <v>0</v>
      </c>
      <c r="H29" s="3" t="s">
        <v>27</v>
      </c>
      <c r="I29" s="3" t="s">
        <v>133</v>
      </c>
      <c r="J29" s="19" t="s">
        <v>134</v>
      </c>
      <c r="K29" s="18" t="s">
        <v>135</v>
      </c>
      <c r="L29" s="4" t="s">
        <v>136</v>
      </c>
      <c r="M29" s="4">
        <f>30*12</f>
        <v>360</v>
      </c>
      <c r="N29" s="2">
        <v>7</v>
      </c>
      <c r="O29" s="2">
        <v>5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0</v>
      </c>
      <c r="W29" s="2">
        <v>0</v>
      </c>
      <c r="X29" s="2">
        <v>1</v>
      </c>
      <c r="Y29" s="2">
        <v>0</v>
      </c>
      <c r="Z29" s="26" t="s">
        <v>5167</v>
      </c>
      <c r="AA29" s="31">
        <v>1832.01</v>
      </c>
    </row>
    <row r="30" spans="1:27" ht="16" x14ac:dyDescent="0.2">
      <c r="A30" s="3" t="s">
        <v>3471</v>
      </c>
      <c r="B30" s="2" t="s">
        <v>3472</v>
      </c>
      <c r="C30" s="2" t="s">
        <v>3473</v>
      </c>
      <c r="D30" s="2">
        <v>1833</v>
      </c>
      <c r="E30" s="2">
        <v>1830</v>
      </c>
      <c r="F30" s="2">
        <v>1</v>
      </c>
      <c r="G30" s="2">
        <v>1</v>
      </c>
      <c r="H30" s="3" t="s">
        <v>3442</v>
      </c>
      <c r="I30" s="3" t="s">
        <v>3474</v>
      </c>
      <c r="J30" s="3" t="s">
        <v>3475</v>
      </c>
      <c r="K30" s="15"/>
      <c r="L30" s="4" t="s">
        <v>3476</v>
      </c>
      <c r="M30" s="4">
        <f>120+9</f>
        <v>129</v>
      </c>
      <c r="N30" s="2">
        <v>17</v>
      </c>
      <c r="O30" s="2">
        <v>4</v>
      </c>
      <c r="P30" s="2">
        <v>6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6" t="s">
        <v>5167</v>
      </c>
      <c r="AA30" s="31">
        <v>1833.01</v>
      </c>
    </row>
    <row r="31" spans="1:27" ht="16" x14ac:dyDescent="0.2">
      <c r="A31" s="3" t="s">
        <v>137</v>
      </c>
      <c r="B31" s="2" t="s">
        <v>138</v>
      </c>
      <c r="C31" s="2" t="s">
        <v>139</v>
      </c>
      <c r="D31" s="2">
        <v>1833</v>
      </c>
      <c r="E31" s="2">
        <v>1830</v>
      </c>
      <c r="F31" s="2">
        <v>0</v>
      </c>
      <c r="G31" s="2">
        <v>0</v>
      </c>
      <c r="H31" s="3" t="s">
        <v>27</v>
      </c>
      <c r="I31" s="3" t="s">
        <v>140</v>
      </c>
      <c r="J31" s="3" t="s">
        <v>5010</v>
      </c>
      <c r="K31" s="15"/>
      <c r="L31" s="4" t="s">
        <v>141</v>
      </c>
      <c r="M31" s="4">
        <f>24+10</f>
        <v>34</v>
      </c>
      <c r="N31" s="2">
        <v>21</v>
      </c>
      <c r="O31" s="2">
        <v>6</v>
      </c>
      <c r="P31" s="2">
        <v>4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1</v>
      </c>
      <c r="Z31" s="26" t="s">
        <v>5167</v>
      </c>
      <c r="AA31" s="31">
        <v>1833.02</v>
      </c>
    </row>
    <row r="32" spans="1:27" ht="16" x14ac:dyDescent="0.2">
      <c r="A32" s="3" t="s">
        <v>3477</v>
      </c>
      <c r="B32" s="2" t="s">
        <v>3478</v>
      </c>
      <c r="C32" s="2" t="s">
        <v>3479</v>
      </c>
      <c r="D32" s="2">
        <v>1834</v>
      </c>
      <c r="E32" s="2">
        <v>1830</v>
      </c>
      <c r="F32" s="2">
        <v>1</v>
      </c>
      <c r="G32" s="2">
        <v>1</v>
      </c>
      <c r="H32" s="3" t="s">
        <v>3442</v>
      </c>
      <c r="I32" s="3" t="s">
        <v>3480</v>
      </c>
      <c r="J32" s="19" t="s">
        <v>3481</v>
      </c>
      <c r="K32" s="18" t="s">
        <v>1462</v>
      </c>
      <c r="L32" s="13" t="s">
        <v>1463</v>
      </c>
      <c r="M32" s="4">
        <f>35*12</f>
        <v>420</v>
      </c>
      <c r="N32" s="2">
        <v>5</v>
      </c>
      <c r="O32" s="2">
        <v>1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1</v>
      </c>
      <c r="Z32" s="26" t="s">
        <v>5167</v>
      </c>
      <c r="AA32" s="31">
        <v>1834.01</v>
      </c>
    </row>
    <row r="33" spans="1:27" ht="16" x14ac:dyDescent="0.2">
      <c r="A33" s="3" t="s">
        <v>3482</v>
      </c>
      <c r="B33" s="2" t="s">
        <v>3483</v>
      </c>
      <c r="C33" s="2" t="s">
        <v>3484</v>
      </c>
      <c r="D33" s="2">
        <v>1836</v>
      </c>
      <c r="E33" s="2">
        <v>1830</v>
      </c>
      <c r="F33" s="2">
        <v>1</v>
      </c>
      <c r="G33" s="2">
        <v>1</v>
      </c>
      <c r="H33" s="3" t="s">
        <v>3442</v>
      </c>
      <c r="I33" s="3" t="s">
        <v>5007</v>
      </c>
      <c r="J33" s="3" t="s">
        <v>3485</v>
      </c>
      <c r="K33" s="15"/>
      <c r="L33" s="4" t="s">
        <v>3486</v>
      </c>
      <c r="M33" s="4">
        <f>10+(12*23)</f>
        <v>286</v>
      </c>
      <c r="N33" s="2">
        <v>12</v>
      </c>
      <c r="O33" s="2">
        <v>5</v>
      </c>
      <c r="Q33" s="2">
        <v>1</v>
      </c>
      <c r="R33" s="2">
        <v>0</v>
      </c>
      <c r="S33" s="2">
        <v>1</v>
      </c>
      <c r="T33" s="2">
        <v>0</v>
      </c>
      <c r="U33" s="2">
        <v>1</v>
      </c>
      <c r="V33" s="2">
        <v>0</v>
      </c>
      <c r="W33" s="2">
        <v>1</v>
      </c>
      <c r="X33" s="2">
        <v>0</v>
      </c>
      <c r="Y33" s="2">
        <v>0</v>
      </c>
      <c r="Z33" s="26" t="s">
        <v>5167</v>
      </c>
      <c r="AA33" s="31">
        <v>1836.01</v>
      </c>
    </row>
    <row r="34" spans="1:27" ht="16" x14ac:dyDescent="0.2">
      <c r="A34" s="3" t="s">
        <v>145</v>
      </c>
      <c r="B34" s="2" t="s">
        <v>146</v>
      </c>
      <c r="C34" s="2" t="s">
        <v>147</v>
      </c>
      <c r="D34" s="2">
        <v>1838</v>
      </c>
      <c r="E34" s="2">
        <v>1830</v>
      </c>
      <c r="F34" s="2">
        <v>0</v>
      </c>
      <c r="G34" s="2">
        <v>0</v>
      </c>
      <c r="H34" s="3" t="s">
        <v>27</v>
      </c>
      <c r="I34" s="3" t="s">
        <v>199</v>
      </c>
      <c r="J34" s="3" t="s">
        <v>4575</v>
      </c>
      <c r="K34" s="15"/>
      <c r="L34" s="4" t="s">
        <v>148</v>
      </c>
      <c r="M34" s="4">
        <f>(12*12)+10</f>
        <v>154</v>
      </c>
      <c r="N34" s="2">
        <v>18</v>
      </c>
      <c r="O34" s="2">
        <v>5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2">
        <v>1</v>
      </c>
      <c r="Z34" s="26" t="s">
        <v>5167</v>
      </c>
      <c r="AA34" s="31">
        <v>1838.01</v>
      </c>
    </row>
    <row r="35" spans="1:27" ht="16" x14ac:dyDescent="0.2">
      <c r="A35" s="3" t="s">
        <v>142</v>
      </c>
      <c r="B35" s="2" t="s">
        <v>143</v>
      </c>
      <c r="C35" s="2" t="s">
        <v>144</v>
      </c>
      <c r="D35" s="2">
        <v>1838</v>
      </c>
      <c r="E35" s="2">
        <v>1830</v>
      </c>
      <c r="F35" s="2">
        <v>0</v>
      </c>
      <c r="G35" s="2">
        <v>0</v>
      </c>
      <c r="H35" s="3" t="s">
        <v>27</v>
      </c>
      <c r="I35" s="3" t="s">
        <v>126</v>
      </c>
      <c r="J35" s="19" t="s">
        <v>127</v>
      </c>
      <c r="K35" s="18" t="s">
        <v>128</v>
      </c>
      <c r="L35" s="4" t="s">
        <v>129</v>
      </c>
      <c r="M35" s="4">
        <f>12*34</f>
        <v>408</v>
      </c>
      <c r="N35" s="2">
        <v>8</v>
      </c>
      <c r="O35" s="2">
        <v>6</v>
      </c>
      <c r="P35" s="2">
        <v>4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  <c r="Z35" s="26" t="s">
        <v>5167</v>
      </c>
      <c r="AA35" s="31">
        <v>1838.02</v>
      </c>
    </row>
    <row r="36" spans="1:27" ht="16" x14ac:dyDescent="0.2">
      <c r="A36" s="3" t="s">
        <v>149</v>
      </c>
      <c r="B36" s="2" t="s">
        <v>150</v>
      </c>
      <c r="C36" s="2" t="s">
        <v>151</v>
      </c>
      <c r="D36" s="2">
        <v>1840</v>
      </c>
      <c r="E36" s="2">
        <v>1840</v>
      </c>
      <c r="F36" s="2">
        <v>0</v>
      </c>
      <c r="G36" s="2">
        <v>0</v>
      </c>
      <c r="H36" s="3" t="s">
        <v>27</v>
      </c>
      <c r="I36" s="3" t="s">
        <v>152</v>
      </c>
      <c r="J36" s="19" t="s">
        <v>153</v>
      </c>
      <c r="K36" s="18" t="s">
        <v>154</v>
      </c>
      <c r="L36" s="4" t="s">
        <v>155</v>
      </c>
      <c r="M36" s="4">
        <f>33*12</f>
        <v>396</v>
      </c>
      <c r="N36" s="2">
        <v>9</v>
      </c>
      <c r="O36" s="2">
        <v>5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1</v>
      </c>
      <c r="Z36" s="26" t="s">
        <v>5167</v>
      </c>
      <c r="AA36" s="31">
        <v>1840.01</v>
      </c>
    </row>
    <row r="37" spans="1:27" ht="16" x14ac:dyDescent="0.2">
      <c r="A37" s="3" t="s">
        <v>156</v>
      </c>
      <c r="B37" s="2" t="s">
        <v>157</v>
      </c>
      <c r="C37" s="2" t="s">
        <v>158</v>
      </c>
      <c r="D37" s="2">
        <v>1842</v>
      </c>
      <c r="E37" s="2">
        <v>1840</v>
      </c>
      <c r="F37" s="2">
        <v>0</v>
      </c>
      <c r="G37" s="2">
        <v>0</v>
      </c>
      <c r="H37" s="3" t="s">
        <v>27</v>
      </c>
      <c r="I37" s="3" t="s">
        <v>159</v>
      </c>
      <c r="J37" s="3" t="s">
        <v>160</v>
      </c>
      <c r="K37" s="18" t="s">
        <v>161</v>
      </c>
      <c r="L37" s="4" t="s">
        <v>162</v>
      </c>
      <c r="M37" s="4">
        <f>(12*49)+1</f>
        <v>589</v>
      </c>
      <c r="N37" s="2">
        <v>2</v>
      </c>
      <c r="O37" s="2">
        <v>5</v>
      </c>
      <c r="Q37" s="2">
        <v>1</v>
      </c>
      <c r="R37" s="2">
        <v>1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6" t="s">
        <v>5167</v>
      </c>
      <c r="AA37" s="31">
        <v>1842.01</v>
      </c>
    </row>
    <row r="38" spans="1:27" ht="16" x14ac:dyDescent="0.2">
      <c r="A38" s="3" t="s">
        <v>163</v>
      </c>
      <c r="B38" s="2" t="s">
        <v>164</v>
      </c>
      <c r="C38" s="2" t="s">
        <v>165</v>
      </c>
      <c r="D38" s="2">
        <v>1843</v>
      </c>
      <c r="E38" s="2">
        <v>1840</v>
      </c>
      <c r="F38" s="2">
        <v>0</v>
      </c>
      <c r="G38" s="2">
        <v>0</v>
      </c>
      <c r="H38" s="3" t="s">
        <v>27</v>
      </c>
      <c r="I38" s="3" t="s">
        <v>166</v>
      </c>
      <c r="J38" s="3" t="s">
        <v>4576</v>
      </c>
      <c r="K38" s="15"/>
      <c r="L38" s="4" t="s">
        <v>167</v>
      </c>
      <c r="M38" s="4">
        <f>12+6</f>
        <v>18</v>
      </c>
      <c r="N38" s="2">
        <v>27</v>
      </c>
      <c r="O38" s="2">
        <v>4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1</v>
      </c>
      <c r="Z38" s="26" t="s">
        <v>5167</v>
      </c>
      <c r="AA38" s="31">
        <v>1843.01</v>
      </c>
    </row>
    <row r="39" spans="1:27" ht="16" x14ac:dyDescent="0.2">
      <c r="A39" s="3" t="s">
        <v>168</v>
      </c>
      <c r="B39" s="2" t="s">
        <v>169</v>
      </c>
      <c r="C39" s="2" t="s">
        <v>170</v>
      </c>
      <c r="D39" s="2">
        <v>1844</v>
      </c>
      <c r="E39" s="2">
        <v>1840</v>
      </c>
      <c r="F39" s="2">
        <v>0</v>
      </c>
      <c r="G39" s="2">
        <v>0</v>
      </c>
      <c r="H39" s="3" t="s">
        <v>27</v>
      </c>
      <c r="I39" s="3" t="s">
        <v>171</v>
      </c>
      <c r="J39" s="3" t="s">
        <v>3490</v>
      </c>
      <c r="K39" s="15"/>
      <c r="L39" s="4" t="s">
        <v>172</v>
      </c>
      <c r="M39" s="4">
        <f>10+(12*7)</f>
        <v>94</v>
      </c>
      <c r="N39" s="2">
        <v>24</v>
      </c>
      <c r="O39" s="2">
        <v>4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6" t="s">
        <v>5167</v>
      </c>
      <c r="AA39" s="31">
        <v>1844.01</v>
      </c>
    </row>
    <row r="40" spans="1:27" ht="16" x14ac:dyDescent="0.2">
      <c r="A40" s="3" t="s">
        <v>178</v>
      </c>
      <c r="B40" s="2" t="s">
        <v>179</v>
      </c>
      <c r="C40" s="2" t="s">
        <v>180</v>
      </c>
      <c r="D40" s="2">
        <v>1845</v>
      </c>
      <c r="E40" s="2">
        <v>1840</v>
      </c>
      <c r="F40" s="2">
        <v>0</v>
      </c>
      <c r="G40" s="2">
        <v>0</v>
      </c>
      <c r="H40" s="3" t="s">
        <v>27</v>
      </c>
      <c r="I40" s="3" t="s">
        <v>181</v>
      </c>
      <c r="J40" s="3" t="s">
        <v>181</v>
      </c>
      <c r="K40" s="15"/>
      <c r="L40" s="4" t="s">
        <v>182</v>
      </c>
      <c r="M40" s="4">
        <f>11+(12*9)</f>
        <v>119</v>
      </c>
      <c r="N40" s="2">
        <v>24</v>
      </c>
      <c r="O40" s="2">
        <v>5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2</v>
      </c>
      <c r="Y40" s="2">
        <v>0</v>
      </c>
      <c r="Z40" s="26" t="s">
        <v>5167</v>
      </c>
      <c r="AA40" s="31">
        <v>1845.01</v>
      </c>
    </row>
    <row r="41" spans="1:27" ht="16" x14ac:dyDescent="0.2">
      <c r="A41" s="3" t="s">
        <v>3487</v>
      </c>
      <c r="B41" s="2" t="s">
        <v>3488</v>
      </c>
      <c r="C41" s="2" t="s">
        <v>3489</v>
      </c>
      <c r="D41" s="2">
        <v>1845</v>
      </c>
      <c r="E41" s="2">
        <v>1840</v>
      </c>
      <c r="F41" s="2">
        <v>2</v>
      </c>
      <c r="G41" s="2">
        <v>1</v>
      </c>
      <c r="H41" s="3" t="s">
        <v>3434</v>
      </c>
      <c r="I41" s="3" t="s">
        <v>171</v>
      </c>
      <c r="J41" s="3" t="s">
        <v>3490</v>
      </c>
      <c r="K41" s="15"/>
      <c r="L41" s="4" t="s">
        <v>172</v>
      </c>
      <c r="M41" s="4">
        <f>(8*12)+7</f>
        <v>103</v>
      </c>
      <c r="N41" s="2">
        <v>24</v>
      </c>
      <c r="O41" s="2">
        <v>5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6" t="s">
        <v>5167</v>
      </c>
      <c r="AA41" s="31">
        <v>1845.02</v>
      </c>
    </row>
    <row r="42" spans="1:27" ht="16" x14ac:dyDescent="0.2">
      <c r="A42" s="3" t="s">
        <v>173</v>
      </c>
      <c r="B42" s="2" t="s">
        <v>174</v>
      </c>
      <c r="C42" s="2" t="s">
        <v>175</v>
      </c>
      <c r="D42" s="2">
        <v>1845</v>
      </c>
      <c r="E42" s="2">
        <v>1840</v>
      </c>
      <c r="F42" s="2">
        <v>0</v>
      </c>
      <c r="G42" s="2">
        <v>0</v>
      </c>
      <c r="H42" s="3" t="s">
        <v>27</v>
      </c>
      <c r="I42" s="3" t="s">
        <v>176</v>
      </c>
      <c r="J42" s="3" t="s">
        <v>4577</v>
      </c>
      <c r="K42" s="15"/>
      <c r="L42" s="4" t="s">
        <v>177</v>
      </c>
      <c r="M42" s="4">
        <f>60+10</f>
        <v>70</v>
      </c>
      <c r="N42" s="2">
        <v>25</v>
      </c>
      <c r="O42" s="2">
        <v>5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1</v>
      </c>
      <c r="X42" s="2">
        <v>2</v>
      </c>
      <c r="Y42" s="2">
        <v>0</v>
      </c>
      <c r="Z42" s="26" t="s">
        <v>5167</v>
      </c>
      <c r="AA42" s="31">
        <v>1845.03</v>
      </c>
    </row>
    <row r="43" spans="1:27" ht="16" x14ac:dyDescent="0.2">
      <c r="A43" s="3" t="s">
        <v>183</v>
      </c>
      <c r="B43" s="2" t="s">
        <v>184</v>
      </c>
      <c r="C43" s="2" t="s">
        <v>185</v>
      </c>
      <c r="D43" s="2">
        <v>1847</v>
      </c>
      <c r="E43" s="2">
        <v>1840</v>
      </c>
      <c r="F43" s="2">
        <v>0</v>
      </c>
      <c r="G43" s="2">
        <v>0</v>
      </c>
      <c r="H43" s="3" t="s">
        <v>27</v>
      </c>
      <c r="I43" s="3" t="s">
        <v>159</v>
      </c>
      <c r="J43" s="3" t="s">
        <v>160</v>
      </c>
      <c r="K43" s="18" t="s">
        <v>161</v>
      </c>
      <c r="L43" s="4" t="s">
        <v>162</v>
      </c>
      <c r="M43" s="4">
        <f>1+(12*54)</f>
        <v>649</v>
      </c>
      <c r="N43" s="2">
        <v>2</v>
      </c>
      <c r="O43" s="2">
        <v>5</v>
      </c>
      <c r="P43" s="2">
        <v>4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6" t="s">
        <v>5167</v>
      </c>
      <c r="AA43" s="31">
        <v>1847.01</v>
      </c>
    </row>
    <row r="44" spans="1:27" ht="16" x14ac:dyDescent="0.2">
      <c r="A44" s="3" t="s">
        <v>186</v>
      </c>
      <c r="B44" s="2" t="s">
        <v>187</v>
      </c>
      <c r="C44" s="2" t="s">
        <v>188</v>
      </c>
      <c r="D44" s="2">
        <v>1847</v>
      </c>
      <c r="E44" s="2">
        <v>1840</v>
      </c>
      <c r="F44" s="2">
        <v>0</v>
      </c>
      <c r="G44" s="2">
        <v>0</v>
      </c>
      <c r="H44" s="3" t="s">
        <v>27</v>
      </c>
      <c r="I44" t="s">
        <v>61</v>
      </c>
      <c r="J44" s="3" t="s">
        <v>62</v>
      </c>
      <c r="K44" s="18" t="s">
        <v>63</v>
      </c>
      <c r="L44" s="4" t="s">
        <v>64</v>
      </c>
      <c r="M44" s="4">
        <f>6+(12*57)</f>
        <v>690</v>
      </c>
      <c r="N44" s="2">
        <v>1</v>
      </c>
      <c r="O44" s="2">
        <v>5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3</v>
      </c>
      <c r="Y44" s="2">
        <v>1</v>
      </c>
      <c r="Z44" s="26" t="s">
        <v>5167</v>
      </c>
      <c r="AA44" s="31">
        <v>1847.02</v>
      </c>
    </row>
    <row r="45" spans="1:27" ht="16" x14ac:dyDescent="0.2">
      <c r="A45" s="3" t="s">
        <v>189</v>
      </c>
      <c r="B45" s="2" t="s">
        <v>190</v>
      </c>
      <c r="C45" s="2" t="s">
        <v>191</v>
      </c>
      <c r="D45" s="2">
        <v>1848</v>
      </c>
      <c r="E45" s="2">
        <v>1840</v>
      </c>
      <c r="F45" s="2">
        <v>0</v>
      </c>
      <c r="G45" s="2">
        <v>0</v>
      </c>
      <c r="H45" s="3" t="s">
        <v>27</v>
      </c>
      <c r="I45" s="3" t="s">
        <v>61</v>
      </c>
      <c r="J45" s="3" t="s">
        <v>62</v>
      </c>
      <c r="K45" s="18" t="s">
        <v>63</v>
      </c>
      <c r="L45" s="4" t="s">
        <v>64</v>
      </c>
      <c r="M45" s="4">
        <f>(12*58)+6</f>
        <v>702</v>
      </c>
      <c r="N45" s="2">
        <v>1</v>
      </c>
      <c r="O45" s="2">
        <v>6</v>
      </c>
      <c r="P45" s="2">
        <v>5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1</v>
      </c>
      <c r="Z45" s="26" t="s">
        <v>5167</v>
      </c>
      <c r="AA45" s="31">
        <v>1848.01</v>
      </c>
    </row>
    <row r="46" spans="1:27" ht="16" x14ac:dyDescent="0.2">
      <c r="A46" s="3" t="s">
        <v>192</v>
      </c>
      <c r="B46" s="2" t="s">
        <v>193</v>
      </c>
      <c r="C46" s="2" t="s">
        <v>194</v>
      </c>
      <c r="D46" s="2">
        <v>1850</v>
      </c>
      <c r="E46" s="2">
        <v>1850</v>
      </c>
      <c r="F46" s="2">
        <v>0</v>
      </c>
      <c r="G46" s="2">
        <v>0</v>
      </c>
      <c r="H46" s="3" t="s">
        <v>27</v>
      </c>
      <c r="I46" s="3" t="s">
        <v>61</v>
      </c>
      <c r="J46" s="3" t="s">
        <v>62</v>
      </c>
      <c r="K46" s="18" t="s">
        <v>63</v>
      </c>
      <c r="L46" s="4" t="s">
        <v>195</v>
      </c>
      <c r="M46" s="4">
        <f>(46*12)+5</f>
        <v>557</v>
      </c>
      <c r="N46" s="2">
        <v>1</v>
      </c>
      <c r="O46" s="2">
        <v>6</v>
      </c>
      <c r="Q46" s="2">
        <v>1</v>
      </c>
      <c r="R46" s="2">
        <v>0</v>
      </c>
      <c r="S46" s="2">
        <v>0</v>
      </c>
      <c r="T46" s="2">
        <v>0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6" t="s">
        <v>5167</v>
      </c>
      <c r="AA46" s="31">
        <v>1850.01</v>
      </c>
    </row>
    <row r="47" spans="1:27" ht="16" x14ac:dyDescent="0.2">
      <c r="A47" t="s">
        <v>5006</v>
      </c>
      <c r="B47" s="2" t="s">
        <v>3491</v>
      </c>
      <c r="C47" s="2" t="s">
        <v>3492</v>
      </c>
      <c r="D47" s="2">
        <v>1850</v>
      </c>
      <c r="E47" s="2">
        <v>1850</v>
      </c>
      <c r="F47" s="2">
        <v>1</v>
      </c>
      <c r="G47" s="2">
        <v>1</v>
      </c>
      <c r="H47" t="s">
        <v>3442</v>
      </c>
      <c r="I47" t="s">
        <v>5089</v>
      </c>
      <c r="J47" t="s">
        <v>3493</v>
      </c>
      <c r="K47" s="16"/>
      <c r="L47" s="4" t="s">
        <v>3494</v>
      </c>
      <c r="M47">
        <f>2+36</f>
        <v>38</v>
      </c>
      <c r="N47" s="2">
        <v>29</v>
      </c>
      <c r="O47" s="2">
        <v>6</v>
      </c>
      <c r="P47" s="2">
        <v>5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6" t="s">
        <v>5167</v>
      </c>
      <c r="AA47" s="31">
        <v>1850.02</v>
      </c>
    </row>
    <row r="48" spans="1:27" ht="16" x14ac:dyDescent="0.2">
      <c r="A48" t="s">
        <v>3495</v>
      </c>
      <c r="B48" s="2" t="s">
        <v>3496</v>
      </c>
      <c r="C48" s="2" t="s">
        <v>3497</v>
      </c>
      <c r="D48" s="2">
        <v>1850</v>
      </c>
      <c r="E48" s="2">
        <v>1850</v>
      </c>
      <c r="F48" s="2">
        <v>1</v>
      </c>
      <c r="G48" s="2">
        <v>1</v>
      </c>
      <c r="H48" t="s">
        <v>3442</v>
      </c>
      <c r="I48" t="s">
        <v>5008</v>
      </c>
      <c r="J48" t="s">
        <v>5008</v>
      </c>
      <c r="K48" s="16"/>
      <c r="L48" s="4" t="s">
        <v>5009</v>
      </c>
      <c r="M48">
        <f>12*17+11</f>
        <v>215</v>
      </c>
      <c r="N48" s="2">
        <v>22</v>
      </c>
      <c r="O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  <c r="W48" s="2">
        <v>0</v>
      </c>
      <c r="X48" s="2">
        <v>3</v>
      </c>
      <c r="Y48" s="2">
        <v>0</v>
      </c>
      <c r="Z48" s="26" t="s">
        <v>5167</v>
      </c>
      <c r="AA48" s="31">
        <v>1850.03</v>
      </c>
    </row>
    <row r="49" spans="1:27" ht="16" x14ac:dyDescent="0.2">
      <c r="A49" s="3" t="s">
        <v>196</v>
      </c>
      <c r="B49" s="2" t="s">
        <v>197</v>
      </c>
      <c r="C49" s="2" t="s">
        <v>198</v>
      </c>
      <c r="D49" s="2">
        <v>1850</v>
      </c>
      <c r="E49" s="2">
        <v>1850</v>
      </c>
      <c r="F49" s="2">
        <v>0</v>
      </c>
      <c r="G49" s="2">
        <v>0</v>
      </c>
      <c r="H49" s="3" t="s">
        <v>27</v>
      </c>
      <c r="I49" s="3" t="s">
        <v>199</v>
      </c>
      <c r="J49" s="3" t="s">
        <v>4575</v>
      </c>
      <c r="K49" s="15"/>
      <c r="L49" s="4" t="s">
        <v>148</v>
      </c>
      <c r="M49" s="4">
        <f>(12*25)+2</f>
        <v>302</v>
      </c>
      <c r="N49" s="2">
        <v>18</v>
      </c>
      <c r="O49" s="2">
        <v>5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1</v>
      </c>
      <c r="Z49" s="26" t="s">
        <v>5167</v>
      </c>
      <c r="AA49" s="31">
        <v>1850.04</v>
      </c>
    </row>
    <row r="50" spans="1:27" ht="16" x14ac:dyDescent="0.2">
      <c r="A50" t="s">
        <v>3498</v>
      </c>
      <c r="B50" s="2" t="s">
        <v>3499</v>
      </c>
      <c r="C50" s="2" t="s">
        <v>3500</v>
      </c>
      <c r="D50" s="2">
        <v>1851</v>
      </c>
      <c r="E50" s="2">
        <v>1850</v>
      </c>
      <c r="F50" s="2">
        <v>1</v>
      </c>
      <c r="G50" s="2">
        <v>1</v>
      </c>
      <c r="H50" t="s">
        <v>3442</v>
      </c>
      <c r="I50" t="s">
        <v>5089</v>
      </c>
      <c r="J50" t="s">
        <v>3501</v>
      </c>
      <c r="K50" s="16"/>
      <c r="L50" s="4" t="s">
        <v>3494</v>
      </c>
      <c r="M50">
        <f>11+(12*3)</f>
        <v>47</v>
      </c>
      <c r="N50" s="2">
        <v>29</v>
      </c>
      <c r="O50" s="2">
        <v>6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6" t="s">
        <v>5167</v>
      </c>
      <c r="AA50" s="31">
        <v>1851.01</v>
      </c>
    </row>
    <row r="51" spans="1:27" ht="12.75" customHeight="1" x14ac:dyDescent="0.2">
      <c r="A51" s="3" t="s">
        <v>200</v>
      </c>
      <c r="B51" s="2" t="s">
        <v>201</v>
      </c>
      <c r="C51" s="2" t="s">
        <v>202</v>
      </c>
      <c r="D51" s="2">
        <v>1852</v>
      </c>
      <c r="E51" s="2">
        <v>1850</v>
      </c>
      <c r="F51" s="2">
        <v>0</v>
      </c>
      <c r="G51" s="2">
        <v>0</v>
      </c>
      <c r="H51" s="3" t="s">
        <v>27</v>
      </c>
      <c r="I51" s="3" t="s">
        <v>203</v>
      </c>
      <c r="J51" s="3" t="s">
        <v>4578</v>
      </c>
      <c r="K51" s="15"/>
      <c r="L51" s="4" t="s">
        <v>204</v>
      </c>
      <c r="M51" s="4">
        <f>12*7</f>
        <v>84</v>
      </c>
      <c r="N51" s="2">
        <v>28</v>
      </c>
      <c r="O51" s="2">
        <v>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6" t="s">
        <v>5167</v>
      </c>
      <c r="AA51" s="31">
        <v>1852.01</v>
      </c>
    </row>
    <row r="52" spans="1:27" ht="12.75" customHeight="1" x14ac:dyDescent="0.2">
      <c r="A52" t="s">
        <v>3502</v>
      </c>
      <c r="B52" s="2" t="s">
        <v>3503</v>
      </c>
      <c r="C52" s="2" t="s">
        <v>3504</v>
      </c>
      <c r="D52" s="2">
        <v>1853</v>
      </c>
      <c r="E52" s="2">
        <v>1850</v>
      </c>
      <c r="F52" s="2">
        <v>1</v>
      </c>
      <c r="G52" s="2">
        <v>1</v>
      </c>
      <c r="H52" t="s">
        <v>3442</v>
      </c>
      <c r="I52" t="s">
        <v>101</v>
      </c>
      <c r="J52" s="3" t="s">
        <v>102</v>
      </c>
      <c r="K52" s="20" t="s">
        <v>103</v>
      </c>
      <c r="L52" s="4" t="s">
        <v>104</v>
      </c>
      <c r="M52">
        <f>1+(12*60)</f>
        <v>721</v>
      </c>
      <c r="N52" s="2">
        <v>2</v>
      </c>
      <c r="O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6" t="s">
        <v>5167</v>
      </c>
      <c r="AA52" s="31">
        <v>1853.01</v>
      </c>
    </row>
    <row r="53" spans="1:27" ht="16" x14ac:dyDescent="0.2">
      <c r="A53" s="3" t="s">
        <v>205</v>
      </c>
      <c r="B53" s="2" t="s">
        <v>206</v>
      </c>
      <c r="C53" s="2" t="s">
        <v>207</v>
      </c>
      <c r="D53" s="2">
        <v>1855</v>
      </c>
      <c r="E53" s="2">
        <v>1850</v>
      </c>
      <c r="F53" s="2">
        <v>0</v>
      </c>
      <c r="G53" s="2">
        <v>0</v>
      </c>
      <c r="H53" s="3" t="s">
        <v>27</v>
      </c>
      <c r="I53" s="3" t="s">
        <v>208</v>
      </c>
      <c r="J53" s="3" t="s">
        <v>4580</v>
      </c>
      <c r="K53" s="15"/>
      <c r="L53" s="4" t="s">
        <v>209</v>
      </c>
      <c r="M53" s="4">
        <f>12*44</f>
        <v>528</v>
      </c>
      <c r="N53" s="2">
        <v>11</v>
      </c>
      <c r="O53" s="2">
        <v>6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6" t="s">
        <v>5167</v>
      </c>
      <c r="AA53" s="31">
        <v>1855.01</v>
      </c>
    </row>
    <row r="54" spans="1:27" ht="16" x14ac:dyDescent="0.2">
      <c r="A54" s="3" t="s">
        <v>215</v>
      </c>
      <c r="B54" s="2" t="s">
        <v>216</v>
      </c>
      <c r="C54" s="2" t="s">
        <v>217</v>
      </c>
      <c r="D54" s="2">
        <v>1855</v>
      </c>
      <c r="E54" s="2">
        <v>1850</v>
      </c>
      <c r="F54" s="2">
        <v>0</v>
      </c>
      <c r="G54" s="2">
        <v>0</v>
      </c>
      <c r="H54" s="3" t="s">
        <v>27</v>
      </c>
      <c r="I54" s="3" t="s">
        <v>218</v>
      </c>
      <c r="J54" s="19" t="s">
        <v>219</v>
      </c>
      <c r="K54" s="18" t="s">
        <v>220</v>
      </c>
      <c r="L54" s="4" t="s">
        <v>155</v>
      </c>
      <c r="M54" s="4">
        <f>(12*47)+11</f>
        <v>575</v>
      </c>
      <c r="N54" s="2">
        <v>9</v>
      </c>
      <c r="O54" s="2">
        <v>4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1</v>
      </c>
      <c r="Z54" s="26" t="s">
        <v>5167</v>
      </c>
      <c r="AA54" s="31">
        <v>1855.02</v>
      </c>
    </row>
    <row r="55" spans="1:27" ht="16" x14ac:dyDescent="0.2">
      <c r="A55" s="3" t="s">
        <v>210</v>
      </c>
      <c r="B55" s="2" t="s">
        <v>211</v>
      </c>
      <c r="C55" s="2" t="s">
        <v>212</v>
      </c>
      <c r="D55" s="2">
        <v>1855</v>
      </c>
      <c r="E55" s="2">
        <v>1850</v>
      </c>
      <c r="F55" s="2">
        <v>0</v>
      </c>
      <c r="G55" s="2">
        <v>0</v>
      </c>
      <c r="H55" s="3" t="s">
        <v>27</v>
      </c>
      <c r="I55" s="3" t="s">
        <v>213</v>
      </c>
      <c r="J55" s="3" t="s">
        <v>4581</v>
      </c>
      <c r="K55" s="15"/>
      <c r="L55" s="4" t="s">
        <v>214</v>
      </c>
      <c r="M55" s="4">
        <f>4*12</f>
        <v>48</v>
      </c>
      <c r="N55" s="2">
        <v>31</v>
      </c>
      <c r="O55" s="2">
        <v>4</v>
      </c>
      <c r="P55" s="2">
        <v>1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6" t="s">
        <v>5167</v>
      </c>
      <c r="AA55" s="31">
        <v>1855.03</v>
      </c>
    </row>
    <row r="56" spans="1:27" ht="16" x14ac:dyDescent="0.2">
      <c r="A56" s="3" t="s">
        <v>221</v>
      </c>
      <c r="B56" s="2" t="s">
        <v>222</v>
      </c>
      <c r="C56" s="2" t="s">
        <v>223</v>
      </c>
      <c r="D56" s="2">
        <v>1856</v>
      </c>
      <c r="E56" s="2">
        <v>1850</v>
      </c>
      <c r="F56" s="2">
        <v>0</v>
      </c>
      <c r="G56" s="2">
        <v>0</v>
      </c>
      <c r="H56" s="3" t="s">
        <v>27</v>
      </c>
      <c r="I56" s="3" t="s">
        <v>224</v>
      </c>
      <c r="J56" s="3" t="s">
        <v>4582</v>
      </c>
      <c r="K56" s="15"/>
      <c r="L56" s="4" t="s">
        <v>225</v>
      </c>
      <c r="M56" s="4">
        <f>9+(12*35)</f>
        <v>429</v>
      </c>
      <c r="N56" s="2">
        <v>16</v>
      </c>
      <c r="O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6" t="s">
        <v>5167</v>
      </c>
      <c r="AA56" s="31">
        <v>1856.01</v>
      </c>
    </row>
    <row r="57" spans="1:27" ht="16" x14ac:dyDescent="0.2">
      <c r="A57" s="3" t="s">
        <v>226</v>
      </c>
      <c r="B57" s="2" t="s">
        <v>227</v>
      </c>
      <c r="C57" s="2" t="s">
        <v>228</v>
      </c>
      <c r="D57" s="2">
        <v>1856</v>
      </c>
      <c r="E57" s="2">
        <v>1850</v>
      </c>
      <c r="F57" s="2">
        <v>0</v>
      </c>
      <c r="G57" s="2">
        <v>0</v>
      </c>
      <c r="H57" s="3" t="s">
        <v>27</v>
      </c>
      <c r="I57" s="3" t="s">
        <v>229</v>
      </c>
      <c r="J57" s="3" t="s">
        <v>4583</v>
      </c>
      <c r="K57" s="15"/>
      <c r="L57" s="4" t="s">
        <v>230</v>
      </c>
      <c r="M57" s="4">
        <f>36+8</f>
        <v>44</v>
      </c>
      <c r="N57" s="2">
        <v>32</v>
      </c>
      <c r="O57" s="2">
        <v>6</v>
      </c>
      <c r="P57" s="2">
        <v>5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3</v>
      </c>
      <c r="Y57" s="2">
        <v>0</v>
      </c>
      <c r="Z57" s="26" t="s">
        <v>5167</v>
      </c>
      <c r="AA57" s="31">
        <v>1856.02</v>
      </c>
    </row>
    <row r="58" spans="1:27" ht="16" x14ac:dyDescent="0.2">
      <c r="A58" s="3" t="s">
        <v>3505</v>
      </c>
      <c r="B58" s="2" t="s">
        <v>3506</v>
      </c>
      <c r="C58" s="2" t="s">
        <v>3507</v>
      </c>
      <c r="D58" s="2">
        <v>1857</v>
      </c>
      <c r="E58" s="2">
        <v>1850</v>
      </c>
      <c r="F58" s="2">
        <v>2</v>
      </c>
      <c r="G58" s="2">
        <v>1</v>
      </c>
      <c r="H58" s="3" t="s">
        <v>3434</v>
      </c>
      <c r="I58" s="3" t="s">
        <v>3508</v>
      </c>
      <c r="J58" s="3" t="s">
        <v>3509</v>
      </c>
      <c r="K58" s="15"/>
      <c r="L58" s="4" t="s">
        <v>3510</v>
      </c>
      <c r="M58" s="4">
        <f>10+(12*37)</f>
        <v>454</v>
      </c>
      <c r="N58" s="2">
        <v>16</v>
      </c>
      <c r="O58" s="2">
        <v>5</v>
      </c>
      <c r="P58" s="2">
        <v>4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2</v>
      </c>
      <c r="Y58" s="2">
        <v>1</v>
      </c>
      <c r="Z58" s="26" t="s">
        <v>5167</v>
      </c>
      <c r="AA58" s="31">
        <v>1857.01</v>
      </c>
    </row>
    <row r="59" spans="1:27" ht="16" x14ac:dyDescent="0.2">
      <c r="A59" t="s">
        <v>3511</v>
      </c>
      <c r="B59" s="2" t="s">
        <v>3512</v>
      </c>
      <c r="C59" s="2" t="s">
        <v>3513</v>
      </c>
      <c r="D59" s="2">
        <v>1858</v>
      </c>
      <c r="E59" s="2">
        <v>1850</v>
      </c>
      <c r="F59" s="2">
        <v>1</v>
      </c>
      <c r="G59" s="2">
        <v>1</v>
      </c>
      <c r="H59" t="s">
        <v>3442</v>
      </c>
      <c r="I59" t="s">
        <v>61</v>
      </c>
      <c r="J59" s="3" t="s">
        <v>62</v>
      </c>
      <c r="K59" s="18" t="s">
        <v>63</v>
      </c>
      <c r="L59" s="4" t="s">
        <v>64</v>
      </c>
      <c r="M59">
        <f>8+(12*68)</f>
        <v>824</v>
      </c>
      <c r="N59" s="2">
        <v>1</v>
      </c>
      <c r="O59" s="2">
        <v>5</v>
      </c>
      <c r="Q59" s="2">
        <v>1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1</v>
      </c>
      <c r="Z59" s="26" t="s">
        <v>5167</v>
      </c>
      <c r="AA59" s="31">
        <v>1858.01</v>
      </c>
    </row>
    <row r="60" spans="1:27" ht="16" x14ac:dyDescent="0.2">
      <c r="A60" s="3" t="s">
        <v>231</v>
      </c>
      <c r="B60" s="2" t="s">
        <v>232</v>
      </c>
      <c r="C60" s="2" t="s">
        <v>233</v>
      </c>
      <c r="D60" s="2">
        <v>1858</v>
      </c>
      <c r="E60" s="2">
        <v>1850</v>
      </c>
      <c r="F60" s="2">
        <v>0</v>
      </c>
      <c r="G60" s="2">
        <v>0</v>
      </c>
      <c r="H60" s="3" t="s">
        <v>27</v>
      </c>
      <c r="I60" s="3" t="s">
        <v>234</v>
      </c>
      <c r="J60" s="19" t="s">
        <v>235</v>
      </c>
      <c r="K60" s="18" t="s">
        <v>236</v>
      </c>
      <c r="L60" s="4" t="s">
        <v>237</v>
      </c>
      <c r="M60" s="4">
        <f>10+(12*57)</f>
        <v>694</v>
      </c>
      <c r="N60" s="2">
        <v>6</v>
      </c>
      <c r="O60" s="2">
        <v>6</v>
      </c>
      <c r="P60" s="2">
        <v>1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1</v>
      </c>
      <c r="Z60" s="26" t="s">
        <v>5167</v>
      </c>
      <c r="AA60" s="31">
        <v>1858.02</v>
      </c>
    </row>
    <row r="61" spans="1:27" ht="16" x14ac:dyDescent="0.2">
      <c r="A61" t="s">
        <v>3514</v>
      </c>
      <c r="B61" s="2" t="s">
        <v>3515</v>
      </c>
      <c r="C61" s="2" t="s">
        <v>3516</v>
      </c>
      <c r="D61" s="2">
        <v>1858</v>
      </c>
      <c r="E61" s="2">
        <v>1850</v>
      </c>
      <c r="F61" s="2">
        <v>1</v>
      </c>
      <c r="G61" s="2">
        <v>1</v>
      </c>
      <c r="H61" t="s">
        <v>3442</v>
      </c>
      <c r="I61" t="s">
        <v>3517</v>
      </c>
      <c r="J61" t="s">
        <v>3517</v>
      </c>
      <c r="K61" s="16"/>
      <c r="L61" s="4" t="s">
        <v>3518</v>
      </c>
      <c r="M61">
        <f>10+(12*40)</f>
        <v>490</v>
      </c>
      <c r="N61" s="2">
        <v>14</v>
      </c>
      <c r="O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6" t="s">
        <v>5167</v>
      </c>
      <c r="AA61" s="31">
        <v>1858.03</v>
      </c>
    </row>
    <row r="62" spans="1:27" ht="12.75" customHeight="1" x14ac:dyDescent="0.2">
      <c r="A62" s="3" t="s">
        <v>238</v>
      </c>
      <c r="B62" s="2" t="s">
        <v>239</v>
      </c>
      <c r="C62" s="2" t="s">
        <v>240</v>
      </c>
      <c r="D62" s="2">
        <v>1859</v>
      </c>
      <c r="E62" s="2">
        <v>1850</v>
      </c>
      <c r="F62" s="2">
        <v>0</v>
      </c>
      <c r="G62" s="2">
        <v>0</v>
      </c>
      <c r="H62" s="3" t="s">
        <v>27</v>
      </c>
      <c r="I62" s="3" t="s">
        <v>241</v>
      </c>
      <c r="J62" s="3" t="s">
        <v>4584</v>
      </c>
      <c r="K62" s="15"/>
      <c r="L62" s="4" t="s">
        <v>242</v>
      </c>
      <c r="M62" s="4">
        <f>(12*8)+6</f>
        <v>102</v>
      </c>
      <c r="N62" s="2">
        <v>31</v>
      </c>
      <c r="O62" s="2">
        <v>5</v>
      </c>
      <c r="Q62" s="2">
        <v>1</v>
      </c>
      <c r="R62" s="2">
        <v>1</v>
      </c>
      <c r="S62" s="2">
        <v>1</v>
      </c>
      <c r="T62" s="2">
        <v>0</v>
      </c>
      <c r="U62" s="2">
        <v>1</v>
      </c>
      <c r="V62" s="2">
        <v>0</v>
      </c>
      <c r="W62" s="2">
        <v>1</v>
      </c>
      <c r="X62" s="2">
        <v>0</v>
      </c>
      <c r="Y62" s="2">
        <v>0</v>
      </c>
      <c r="Z62" s="26" t="s">
        <v>5167</v>
      </c>
      <c r="AA62" s="31">
        <v>1859.01</v>
      </c>
    </row>
    <row r="63" spans="1:27" ht="16" x14ac:dyDescent="0.2">
      <c r="A63" s="3" t="s">
        <v>3519</v>
      </c>
      <c r="B63" s="2" t="s">
        <v>3520</v>
      </c>
      <c r="C63" s="2" t="s">
        <v>3521</v>
      </c>
      <c r="D63" s="2">
        <v>1861</v>
      </c>
      <c r="E63" s="2">
        <v>1860</v>
      </c>
      <c r="F63" s="2">
        <v>1</v>
      </c>
      <c r="G63" s="2">
        <v>1</v>
      </c>
      <c r="H63" s="3" t="s">
        <v>3442</v>
      </c>
      <c r="I63" s="3" t="s">
        <v>159</v>
      </c>
      <c r="J63" s="3" t="s">
        <v>160</v>
      </c>
      <c r="K63" s="18" t="s">
        <v>161</v>
      </c>
      <c r="L63" s="4" t="s">
        <v>162</v>
      </c>
      <c r="M63" s="4">
        <f>(68*12)+1</f>
        <v>817</v>
      </c>
      <c r="N63" s="2">
        <v>2</v>
      </c>
      <c r="O63" s="2">
        <v>5</v>
      </c>
      <c r="Q63" s="2">
        <v>1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</v>
      </c>
      <c r="Z63" s="26" t="s">
        <v>5167</v>
      </c>
      <c r="AA63" s="31">
        <v>1861.01</v>
      </c>
    </row>
    <row r="64" spans="1:27" ht="16" x14ac:dyDescent="0.2">
      <c r="A64" s="3" t="s">
        <v>243</v>
      </c>
      <c r="B64" s="2" t="s">
        <v>244</v>
      </c>
      <c r="C64" s="2" t="s">
        <v>245</v>
      </c>
      <c r="D64" s="2">
        <v>1865</v>
      </c>
      <c r="E64" s="2">
        <v>1860</v>
      </c>
      <c r="F64" s="2">
        <v>0</v>
      </c>
      <c r="G64" s="2">
        <v>0</v>
      </c>
      <c r="H64" s="3" t="s">
        <v>27</v>
      </c>
      <c r="I64" s="3" t="s">
        <v>246</v>
      </c>
      <c r="J64" s="3" t="s">
        <v>4585</v>
      </c>
      <c r="K64" s="15"/>
      <c r="L64" s="4" t="s">
        <v>247</v>
      </c>
      <c r="M64" s="4">
        <v>1</v>
      </c>
      <c r="N64" s="2">
        <v>38</v>
      </c>
      <c r="O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6" t="s">
        <v>5167</v>
      </c>
      <c r="AA64" s="31">
        <v>1865.01</v>
      </c>
    </row>
    <row r="65" spans="1:27" ht="16" x14ac:dyDescent="0.2">
      <c r="A65" s="3" t="s">
        <v>3522</v>
      </c>
      <c r="B65" s="2" t="s">
        <v>3523</v>
      </c>
      <c r="C65" s="2" t="s">
        <v>245</v>
      </c>
      <c r="D65" s="2">
        <v>1865</v>
      </c>
      <c r="E65" s="2">
        <v>1860</v>
      </c>
      <c r="F65" s="2">
        <v>2</v>
      </c>
      <c r="G65" s="2">
        <v>1</v>
      </c>
      <c r="H65" s="3" t="s">
        <v>3524</v>
      </c>
      <c r="I65" s="3" t="s">
        <v>3525</v>
      </c>
      <c r="J65" s="3" t="s">
        <v>3526</v>
      </c>
      <c r="K65" s="15"/>
      <c r="L65" s="4" t="s">
        <v>275</v>
      </c>
      <c r="M65" s="4">
        <v>24</v>
      </c>
      <c r="N65" s="2">
        <v>37</v>
      </c>
      <c r="O65" s="2">
        <v>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1</v>
      </c>
      <c r="X65" s="2">
        <v>2</v>
      </c>
      <c r="Y65" s="2">
        <v>0</v>
      </c>
      <c r="Z65" s="26" t="s">
        <v>5167</v>
      </c>
      <c r="AA65" s="31">
        <v>1865.02</v>
      </c>
    </row>
    <row r="66" spans="1:27" ht="16" x14ac:dyDescent="0.2">
      <c r="A66" s="3" t="s">
        <v>248</v>
      </c>
      <c r="B66" s="2" t="s">
        <v>249</v>
      </c>
      <c r="C66" s="2" t="s">
        <v>250</v>
      </c>
      <c r="D66" s="2">
        <v>1866</v>
      </c>
      <c r="E66" s="2">
        <v>1860</v>
      </c>
      <c r="F66" s="2">
        <v>0</v>
      </c>
      <c r="G66" s="2">
        <v>0</v>
      </c>
      <c r="H66" s="3" t="s">
        <v>27</v>
      </c>
      <c r="I66" s="3" t="s">
        <v>251</v>
      </c>
      <c r="J66" s="3" t="s">
        <v>4586</v>
      </c>
      <c r="K66" s="15"/>
      <c r="L66" s="4" t="s">
        <v>252</v>
      </c>
      <c r="M66" s="4">
        <f>1+(4*12)</f>
        <v>49</v>
      </c>
      <c r="N66" s="2">
        <v>37</v>
      </c>
      <c r="O66" s="2">
        <v>5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0</v>
      </c>
      <c r="Z66" s="26" t="s">
        <v>5167</v>
      </c>
      <c r="AA66" s="31">
        <v>1866.01</v>
      </c>
    </row>
    <row r="67" spans="1:27" ht="16" x14ac:dyDescent="0.2">
      <c r="A67" s="3" t="s">
        <v>253</v>
      </c>
      <c r="B67" s="2" t="s">
        <v>254</v>
      </c>
      <c r="C67" s="2" t="s">
        <v>255</v>
      </c>
      <c r="D67" s="2">
        <v>1866</v>
      </c>
      <c r="E67" s="2">
        <v>1860</v>
      </c>
      <c r="F67" s="2">
        <v>0</v>
      </c>
      <c r="G67" s="2">
        <v>0</v>
      </c>
      <c r="H67" s="3" t="s">
        <v>27</v>
      </c>
      <c r="I67" s="3" t="s">
        <v>256</v>
      </c>
      <c r="J67" s="3" t="s">
        <v>4587</v>
      </c>
      <c r="K67" s="15"/>
      <c r="L67" s="4" t="s">
        <v>257</v>
      </c>
      <c r="M67" s="4">
        <f>(12*1)+9</f>
        <v>21</v>
      </c>
      <c r="N67" s="2">
        <v>38</v>
      </c>
      <c r="O67" s="2">
        <v>5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3</v>
      </c>
      <c r="Y67" s="2">
        <v>0</v>
      </c>
      <c r="Z67" s="26" t="s">
        <v>5167</v>
      </c>
      <c r="AA67" s="31">
        <v>1866.02</v>
      </c>
    </row>
    <row r="68" spans="1:27" ht="16" x14ac:dyDescent="0.2">
      <c r="A68" s="3" t="s">
        <v>3527</v>
      </c>
      <c r="B68" s="2" t="s">
        <v>3528</v>
      </c>
      <c r="C68" s="2" t="s">
        <v>3529</v>
      </c>
      <c r="D68" s="2">
        <v>1867</v>
      </c>
      <c r="E68" s="2">
        <v>1860</v>
      </c>
      <c r="F68" s="2">
        <v>2</v>
      </c>
      <c r="G68" s="2">
        <v>1</v>
      </c>
      <c r="H68" s="3" t="s">
        <v>3434</v>
      </c>
      <c r="I68" s="3" t="s">
        <v>3530</v>
      </c>
      <c r="J68" s="3" t="s">
        <v>3531</v>
      </c>
      <c r="K68" s="15"/>
      <c r="L68" s="4" t="s">
        <v>3532</v>
      </c>
      <c r="M68" s="4">
        <v>24</v>
      </c>
      <c r="N68" s="2">
        <v>38</v>
      </c>
      <c r="O68" s="2">
        <v>1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  <c r="V68" s="2">
        <v>1</v>
      </c>
      <c r="W68" s="2">
        <v>1</v>
      </c>
      <c r="X68" s="2">
        <v>4</v>
      </c>
      <c r="Y68" s="2">
        <v>0</v>
      </c>
      <c r="Z68" s="26" t="s">
        <v>5167</v>
      </c>
      <c r="AA68" s="31">
        <v>1867.01</v>
      </c>
    </row>
    <row r="69" spans="1:27" ht="16" x14ac:dyDescent="0.2">
      <c r="A69" s="3" t="s">
        <v>268</v>
      </c>
      <c r="B69" s="2" t="s">
        <v>269</v>
      </c>
      <c r="C69" s="2" t="s">
        <v>270</v>
      </c>
      <c r="D69" s="2">
        <v>1867</v>
      </c>
      <c r="E69" s="2">
        <v>1860</v>
      </c>
      <c r="F69" s="2">
        <v>0</v>
      </c>
      <c r="G69" s="2">
        <v>0</v>
      </c>
      <c r="H69" s="3" t="s">
        <v>27</v>
      </c>
      <c r="I69" s="3" t="s">
        <v>61</v>
      </c>
      <c r="J69" s="3" t="s">
        <v>62</v>
      </c>
      <c r="K69" s="18" t="s">
        <v>63</v>
      </c>
      <c r="L69" s="4" t="s">
        <v>64</v>
      </c>
      <c r="M69" s="4">
        <f>5+(76*12)</f>
        <v>917</v>
      </c>
      <c r="N69" s="2">
        <v>1</v>
      </c>
      <c r="O69" s="2">
        <v>5</v>
      </c>
      <c r="P69" s="2">
        <v>6</v>
      </c>
      <c r="Q69" s="2">
        <v>1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0</v>
      </c>
      <c r="X69" s="2">
        <v>0</v>
      </c>
      <c r="Y69" s="2">
        <v>1</v>
      </c>
      <c r="Z69" s="26" t="s">
        <v>5167</v>
      </c>
      <c r="AA69" s="31">
        <v>1867.02</v>
      </c>
    </row>
    <row r="70" spans="1:27" ht="16" x14ac:dyDescent="0.2">
      <c r="A70" s="3" t="s">
        <v>258</v>
      </c>
      <c r="B70" s="2" t="s">
        <v>259</v>
      </c>
      <c r="C70" s="2" t="s">
        <v>260</v>
      </c>
      <c r="D70" s="2">
        <v>1867</v>
      </c>
      <c r="E70" s="2">
        <v>1860</v>
      </c>
      <c r="F70" s="2">
        <v>0</v>
      </c>
      <c r="G70" s="2">
        <v>0</v>
      </c>
      <c r="H70" s="3" t="s">
        <v>27</v>
      </c>
      <c r="I70" s="3" t="s">
        <v>261</v>
      </c>
      <c r="J70" s="3" t="s">
        <v>4588</v>
      </c>
      <c r="K70" s="15"/>
      <c r="L70" s="4" t="s">
        <v>262</v>
      </c>
      <c r="M70" s="4">
        <f>48+7</f>
        <v>55</v>
      </c>
      <c r="N70" s="2">
        <v>37</v>
      </c>
      <c r="O70" s="2">
        <v>5</v>
      </c>
      <c r="P70" s="2">
        <v>4</v>
      </c>
      <c r="Q70" s="2">
        <v>1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6" t="s">
        <v>5167</v>
      </c>
      <c r="AA70" s="31">
        <v>1867.03</v>
      </c>
    </row>
    <row r="71" spans="1:27" ht="16" x14ac:dyDescent="0.2">
      <c r="A71" s="3" t="s">
        <v>263</v>
      </c>
      <c r="B71" s="2" t="s">
        <v>264</v>
      </c>
      <c r="C71" s="2" t="s">
        <v>265</v>
      </c>
      <c r="D71" s="2">
        <v>1867</v>
      </c>
      <c r="E71" s="2">
        <v>1860</v>
      </c>
      <c r="F71" s="2">
        <v>0</v>
      </c>
      <c r="G71" s="2">
        <v>0</v>
      </c>
      <c r="H71" s="3" t="s">
        <v>27</v>
      </c>
      <c r="I71" s="3" t="s">
        <v>266</v>
      </c>
      <c r="J71" s="3" t="s">
        <v>4589</v>
      </c>
      <c r="K71" s="15"/>
      <c r="L71" s="4" t="s">
        <v>267</v>
      </c>
      <c r="M71" s="4">
        <f>24+7</f>
        <v>31</v>
      </c>
      <c r="N71" s="2">
        <v>38</v>
      </c>
      <c r="O71" s="2">
        <v>5</v>
      </c>
      <c r="P71" s="2">
        <v>1</v>
      </c>
      <c r="Q71" s="2">
        <v>1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0</v>
      </c>
      <c r="Z71" s="26" t="s">
        <v>5167</v>
      </c>
      <c r="AA71" s="31">
        <v>1867.04</v>
      </c>
    </row>
    <row r="72" spans="1:27" ht="16" x14ac:dyDescent="0.2">
      <c r="A72" s="3" t="s">
        <v>3533</v>
      </c>
      <c r="B72" s="2" t="s">
        <v>3534</v>
      </c>
      <c r="C72" s="2" t="s">
        <v>273</v>
      </c>
      <c r="D72" s="2">
        <v>1868</v>
      </c>
      <c r="E72" s="2">
        <v>1860</v>
      </c>
      <c r="F72" s="2">
        <v>1</v>
      </c>
      <c r="G72" s="2">
        <v>1</v>
      </c>
      <c r="H72" s="3" t="s">
        <v>3434</v>
      </c>
      <c r="I72" s="3" t="s">
        <v>3535</v>
      </c>
      <c r="J72" s="3" t="s">
        <v>3536</v>
      </c>
      <c r="K72" s="15"/>
      <c r="L72" s="4" t="s">
        <v>3537</v>
      </c>
      <c r="M72" s="4">
        <f>1+(12*56)</f>
        <v>673</v>
      </c>
      <c r="N72" s="2">
        <v>12</v>
      </c>
      <c r="O72" s="2">
        <v>4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  <c r="Z72" s="26" t="s">
        <v>5167</v>
      </c>
      <c r="AA72" s="31">
        <v>1868.01</v>
      </c>
    </row>
    <row r="73" spans="1:27" ht="12.75" customHeight="1" x14ac:dyDescent="0.2">
      <c r="A73" s="3" t="s">
        <v>271</v>
      </c>
      <c r="B73" s="2" t="s">
        <v>272</v>
      </c>
      <c r="C73" s="2" t="s">
        <v>273</v>
      </c>
      <c r="D73" s="2">
        <v>1868</v>
      </c>
      <c r="E73" s="2">
        <v>1860</v>
      </c>
      <c r="F73" s="2">
        <v>0</v>
      </c>
      <c r="G73" s="2">
        <v>0</v>
      </c>
      <c r="H73" s="3" t="s">
        <v>27</v>
      </c>
      <c r="I73" s="3" t="s">
        <v>274</v>
      </c>
      <c r="J73" s="3" t="s">
        <v>3552</v>
      </c>
      <c r="K73" s="15"/>
      <c r="L73" s="4" t="s">
        <v>275</v>
      </c>
      <c r="M73" s="4">
        <f>5*12</f>
        <v>60</v>
      </c>
      <c r="N73" s="2">
        <v>37</v>
      </c>
      <c r="O73" s="2">
        <v>6</v>
      </c>
      <c r="P73" s="2">
        <v>5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6" t="s">
        <v>5167</v>
      </c>
      <c r="AA73" s="31">
        <v>1868.02</v>
      </c>
    </row>
    <row r="74" spans="1:27" ht="16" x14ac:dyDescent="0.2">
      <c r="A74" s="3" t="s">
        <v>276</v>
      </c>
      <c r="B74" s="2" t="s">
        <v>277</v>
      </c>
      <c r="C74" s="2" t="s">
        <v>278</v>
      </c>
      <c r="D74" s="2">
        <v>1868</v>
      </c>
      <c r="E74" s="2">
        <v>1860</v>
      </c>
      <c r="F74" s="2">
        <v>0</v>
      </c>
      <c r="G74" s="2">
        <v>0</v>
      </c>
      <c r="H74" s="3" t="s">
        <v>27</v>
      </c>
      <c r="I74" s="3" t="s">
        <v>279</v>
      </c>
      <c r="J74" s="3" t="s">
        <v>4590</v>
      </c>
      <c r="K74" s="15"/>
      <c r="L74" s="4" t="s">
        <v>280</v>
      </c>
      <c r="M74" s="4">
        <f>(17*12)+8</f>
        <v>212</v>
      </c>
      <c r="N74" s="2">
        <v>31</v>
      </c>
      <c r="O74" s="2">
        <v>5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6" t="s">
        <v>5167</v>
      </c>
      <c r="AA74" s="31">
        <v>1868.03</v>
      </c>
    </row>
    <row r="75" spans="1:27" ht="16" x14ac:dyDescent="0.2">
      <c r="A75" s="3" t="s">
        <v>286</v>
      </c>
      <c r="B75" s="2" t="s">
        <v>287</v>
      </c>
      <c r="C75" s="2" t="s">
        <v>288</v>
      </c>
      <c r="D75" s="2">
        <v>1869</v>
      </c>
      <c r="E75" s="2">
        <v>1860</v>
      </c>
      <c r="F75" s="2">
        <v>0</v>
      </c>
      <c r="G75" s="2">
        <v>0</v>
      </c>
      <c r="H75" s="3" t="s">
        <v>27</v>
      </c>
      <c r="I75" s="3" t="s">
        <v>266</v>
      </c>
      <c r="J75" s="3" t="s">
        <v>4589</v>
      </c>
      <c r="K75" s="15"/>
      <c r="L75" s="4" t="s">
        <v>267</v>
      </c>
      <c r="M75" s="4">
        <f>48+8</f>
        <v>56</v>
      </c>
      <c r="N75" s="2">
        <v>38</v>
      </c>
      <c r="O75" s="2">
        <v>4</v>
      </c>
      <c r="Q75" s="2">
        <v>1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1</v>
      </c>
      <c r="X75" s="2">
        <v>0</v>
      </c>
      <c r="Y75" s="2">
        <v>0</v>
      </c>
      <c r="Z75" s="26" t="s">
        <v>5167</v>
      </c>
      <c r="AA75" s="31">
        <v>1869.01</v>
      </c>
    </row>
    <row r="76" spans="1:27" ht="16" x14ac:dyDescent="0.2">
      <c r="A76" s="3" t="s">
        <v>281</v>
      </c>
      <c r="B76" s="2" t="s">
        <v>282</v>
      </c>
      <c r="C76" s="2" t="s">
        <v>283</v>
      </c>
      <c r="D76" s="2">
        <v>1869</v>
      </c>
      <c r="E76" s="2">
        <v>1860</v>
      </c>
      <c r="F76" s="2">
        <v>0</v>
      </c>
      <c r="G76" s="2">
        <v>0</v>
      </c>
      <c r="H76" s="3" t="s">
        <v>27</v>
      </c>
      <c r="I76" s="3" t="s">
        <v>284</v>
      </c>
      <c r="J76" s="3" t="s">
        <v>4591</v>
      </c>
      <c r="K76" s="15"/>
      <c r="L76" s="4" t="s">
        <v>285</v>
      </c>
      <c r="M76" s="4">
        <v>13</v>
      </c>
      <c r="N76" s="2">
        <v>40</v>
      </c>
      <c r="O76" s="2">
        <v>6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1</v>
      </c>
      <c r="X76" s="2">
        <v>0</v>
      </c>
      <c r="Y76" s="2">
        <v>0</v>
      </c>
      <c r="Z76" s="26" t="s">
        <v>5167</v>
      </c>
      <c r="AA76" s="31">
        <v>1869.02</v>
      </c>
    </row>
    <row r="77" spans="1:27" ht="16" x14ac:dyDescent="0.2">
      <c r="A77" s="3" t="s">
        <v>3538</v>
      </c>
      <c r="B77" s="2" t="s">
        <v>3539</v>
      </c>
      <c r="C77" s="2" t="s">
        <v>3540</v>
      </c>
      <c r="D77" s="2">
        <v>1869</v>
      </c>
      <c r="E77" s="2">
        <v>1860</v>
      </c>
      <c r="F77" s="2">
        <v>2</v>
      </c>
      <c r="G77" s="2">
        <v>1</v>
      </c>
      <c r="H77" s="3" t="s">
        <v>3434</v>
      </c>
      <c r="I77" s="3" t="s">
        <v>3541</v>
      </c>
      <c r="J77" s="3" t="s">
        <v>3542</v>
      </c>
      <c r="K77" s="15"/>
      <c r="L77" s="4" t="s">
        <v>267</v>
      </c>
      <c r="M77" s="4">
        <f>7+(12*4)</f>
        <v>55</v>
      </c>
      <c r="N77" s="2">
        <v>38</v>
      </c>
      <c r="O77" s="2">
        <v>6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V77" s="2">
        <v>1</v>
      </c>
      <c r="W77" s="2">
        <v>1</v>
      </c>
      <c r="X77" s="2">
        <v>0</v>
      </c>
      <c r="Y77" s="2">
        <v>0</v>
      </c>
      <c r="Z77" s="26" t="s">
        <v>5167</v>
      </c>
      <c r="AA77" s="31">
        <v>1869.03</v>
      </c>
    </row>
    <row r="78" spans="1:27" ht="16" x14ac:dyDescent="0.2">
      <c r="A78" s="3" t="s">
        <v>289</v>
      </c>
      <c r="B78" s="2" t="s">
        <v>290</v>
      </c>
      <c r="C78" s="2" t="s">
        <v>291</v>
      </c>
      <c r="D78" s="2">
        <v>1869</v>
      </c>
      <c r="E78" s="2">
        <v>1860</v>
      </c>
      <c r="F78" s="2">
        <v>0</v>
      </c>
      <c r="G78" s="2">
        <v>0</v>
      </c>
      <c r="H78" s="3" t="s">
        <v>27</v>
      </c>
      <c r="I78" s="3" t="s">
        <v>292</v>
      </c>
      <c r="J78" s="3" t="s">
        <v>4592</v>
      </c>
      <c r="K78" s="15"/>
      <c r="L78" s="4" t="s">
        <v>293</v>
      </c>
      <c r="M78" s="4">
        <v>36</v>
      </c>
      <c r="N78" s="2">
        <v>39</v>
      </c>
      <c r="O78" s="2">
        <v>4</v>
      </c>
      <c r="P78" s="2">
        <v>5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1</v>
      </c>
      <c r="X78" s="2">
        <v>2</v>
      </c>
      <c r="Y78" s="2">
        <v>0</v>
      </c>
      <c r="Z78" s="26" t="s">
        <v>5167</v>
      </c>
      <c r="AA78" s="31">
        <v>1869.04</v>
      </c>
    </row>
    <row r="79" spans="1:27" ht="16" x14ac:dyDescent="0.2">
      <c r="A79" s="3" t="s">
        <v>3546</v>
      </c>
      <c r="B79" s="2" t="s">
        <v>3547</v>
      </c>
      <c r="C79" s="2" t="s">
        <v>3548</v>
      </c>
      <c r="D79" s="2">
        <v>1870</v>
      </c>
      <c r="E79" s="2">
        <v>1870</v>
      </c>
      <c r="F79" s="2">
        <v>1</v>
      </c>
      <c r="G79" s="2">
        <v>1</v>
      </c>
      <c r="H79" s="3" t="s">
        <v>3442</v>
      </c>
      <c r="I79" s="3" t="s">
        <v>310</v>
      </c>
      <c r="J79" s="3" t="s">
        <v>4593</v>
      </c>
      <c r="K79" s="15"/>
      <c r="L79" s="4" t="s">
        <v>311</v>
      </c>
      <c r="M79" s="4">
        <f>11+(7*12)</f>
        <v>95</v>
      </c>
      <c r="N79" s="2">
        <v>37</v>
      </c>
      <c r="O79" s="2">
        <v>4</v>
      </c>
      <c r="Q79" s="2">
        <v>1</v>
      </c>
      <c r="R79" s="2">
        <v>1</v>
      </c>
      <c r="S79" s="2">
        <v>1</v>
      </c>
      <c r="T79" s="2">
        <v>0</v>
      </c>
      <c r="U79" s="2">
        <v>0</v>
      </c>
      <c r="V79" s="2">
        <v>1</v>
      </c>
      <c r="W79" s="2">
        <v>0</v>
      </c>
      <c r="X79" s="2">
        <v>3</v>
      </c>
      <c r="Y79" s="2">
        <v>0</v>
      </c>
      <c r="Z79" s="26" t="s">
        <v>5167</v>
      </c>
      <c r="AA79" s="31">
        <v>1870.01</v>
      </c>
    </row>
    <row r="80" spans="1:27" ht="16" x14ac:dyDescent="0.2">
      <c r="A80" s="3" t="s">
        <v>3553</v>
      </c>
      <c r="B80" s="2" t="s">
        <v>3554</v>
      </c>
      <c r="C80" s="2" t="s">
        <v>3555</v>
      </c>
      <c r="D80" s="2">
        <v>1870</v>
      </c>
      <c r="E80" s="2">
        <v>1870</v>
      </c>
      <c r="F80" s="2">
        <v>1</v>
      </c>
      <c r="G80" s="2">
        <v>1</v>
      </c>
      <c r="H80" s="3" t="s">
        <v>3442</v>
      </c>
      <c r="I80" s="3" t="s">
        <v>3556</v>
      </c>
      <c r="J80" s="3" t="s">
        <v>4594</v>
      </c>
      <c r="K80" s="15"/>
      <c r="L80" s="4" t="s">
        <v>336</v>
      </c>
      <c r="M80" s="4">
        <f>11+24</f>
        <v>35</v>
      </c>
      <c r="N80" s="2">
        <v>39</v>
      </c>
      <c r="O80" s="2">
        <v>5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  <c r="Z80" s="26" t="s">
        <v>5167</v>
      </c>
      <c r="AA80" s="31">
        <v>1870.02</v>
      </c>
    </row>
    <row r="81" spans="1:27" ht="16" x14ac:dyDescent="0.2">
      <c r="A81" s="3" t="s">
        <v>298</v>
      </c>
      <c r="B81" s="2" t="s">
        <v>299</v>
      </c>
      <c r="C81" s="2" t="s">
        <v>300</v>
      </c>
      <c r="D81" s="2">
        <v>1870</v>
      </c>
      <c r="E81" s="2">
        <v>1870</v>
      </c>
      <c r="F81" s="2">
        <v>0</v>
      </c>
      <c r="G81" s="2">
        <v>0</v>
      </c>
      <c r="H81" s="3" t="s">
        <v>27</v>
      </c>
      <c r="I81" s="3" t="s">
        <v>301</v>
      </c>
      <c r="J81" s="3" t="s">
        <v>4595</v>
      </c>
      <c r="K81" s="15"/>
      <c r="L81" s="4" t="s">
        <v>275</v>
      </c>
      <c r="M81" s="4">
        <f>12*7</f>
        <v>84</v>
      </c>
      <c r="N81" s="2">
        <v>37</v>
      </c>
      <c r="O81" s="2">
        <v>4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6" t="s">
        <v>5167</v>
      </c>
      <c r="AA81" s="31">
        <v>1870.03</v>
      </c>
    </row>
    <row r="82" spans="1:27" ht="16" x14ac:dyDescent="0.2">
      <c r="A82" s="3" t="s">
        <v>3549</v>
      </c>
      <c r="B82" s="2" t="s">
        <v>3550</v>
      </c>
      <c r="C82" s="2" t="s">
        <v>3551</v>
      </c>
      <c r="D82" s="2">
        <v>1870</v>
      </c>
      <c r="E82" s="2">
        <v>1870</v>
      </c>
      <c r="F82" s="2">
        <v>2</v>
      </c>
      <c r="G82" s="2">
        <v>1</v>
      </c>
      <c r="H82" s="3" t="s">
        <v>3434</v>
      </c>
      <c r="I82" s="3" t="s">
        <v>274</v>
      </c>
      <c r="J82" s="3" t="s">
        <v>3552</v>
      </c>
      <c r="K82" s="15"/>
      <c r="L82" s="4" t="s">
        <v>275</v>
      </c>
      <c r="M82" s="4">
        <f>12*7</f>
        <v>84</v>
      </c>
      <c r="N82" s="2">
        <v>37</v>
      </c>
      <c r="O82" s="2">
        <v>1</v>
      </c>
      <c r="Q82" s="2">
        <v>1</v>
      </c>
      <c r="R82" s="2">
        <v>0</v>
      </c>
      <c r="S82" s="2">
        <v>1</v>
      </c>
      <c r="T82" s="2">
        <v>0</v>
      </c>
      <c r="U82" s="2">
        <v>1</v>
      </c>
      <c r="V82" s="2">
        <v>1</v>
      </c>
      <c r="W82" s="2">
        <v>1</v>
      </c>
      <c r="X82" s="2">
        <v>0</v>
      </c>
      <c r="Y82" s="2">
        <v>0</v>
      </c>
      <c r="Z82" s="26" t="s">
        <v>5167</v>
      </c>
      <c r="AA82" s="31">
        <v>1870.04</v>
      </c>
    </row>
    <row r="83" spans="1:27" ht="16" x14ac:dyDescent="0.2">
      <c r="A83" s="3" t="s">
        <v>3543</v>
      </c>
      <c r="B83" s="2" t="s">
        <v>3544</v>
      </c>
      <c r="C83" s="2" t="s">
        <v>300</v>
      </c>
      <c r="D83" s="2">
        <v>1870</v>
      </c>
      <c r="E83" s="2">
        <v>1870</v>
      </c>
      <c r="F83" s="2">
        <v>1</v>
      </c>
      <c r="G83" s="2">
        <v>1</v>
      </c>
      <c r="H83" s="3" t="s">
        <v>3442</v>
      </c>
      <c r="I83" s="3" t="s">
        <v>3545</v>
      </c>
      <c r="J83" s="3" t="s">
        <v>404</v>
      </c>
      <c r="K83" s="15"/>
      <c r="L83" s="4" t="s">
        <v>405</v>
      </c>
      <c r="M83" s="4">
        <f>9+(12*7)</f>
        <v>93</v>
      </c>
      <c r="N83" s="2">
        <v>37</v>
      </c>
      <c r="O83" s="2">
        <v>4</v>
      </c>
      <c r="P83" s="2">
        <v>1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6" t="s">
        <v>5167</v>
      </c>
      <c r="AA83" s="31">
        <v>1870.05</v>
      </c>
    </row>
    <row r="84" spans="1:27" ht="16" x14ac:dyDescent="0.2">
      <c r="A84" s="3" t="s">
        <v>294</v>
      </c>
      <c r="B84" s="2" t="s">
        <v>295</v>
      </c>
      <c r="C84" s="2" t="s">
        <v>296</v>
      </c>
      <c r="D84" s="2">
        <v>1870</v>
      </c>
      <c r="E84" s="2">
        <v>1870</v>
      </c>
      <c r="F84" s="2">
        <v>0</v>
      </c>
      <c r="G84" s="2">
        <v>0</v>
      </c>
      <c r="H84" s="3" t="s">
        <v>27</v>
      </c>
      <c r="I84" s="3" t="s">
        <v>297</v>
      </c>
      <c r="J84" s="3" t="s">
        <v>4596</v>
      </c>
      <c r="K84" s="15"/>
      <c r="L84" s="4" t="s">
        <v>4597</v>
      </c>
      <c r="M84" s="4">
        <f>(3*12)+10</f>
        <v>46</v>
      </c>
      <c r="N84" s="2">
        <v>39</v>
      </c>
      <c r="O84" s="2">
        <v>6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6" t="s">
        <v>5167</v>
      </c>
      <c r="AA84" s="31">
        <v>1870.06</v>
      </c>
    </row>
    <row r="85" spans="1:27" ht="16" x14ac:dyDescent="0.2">
      <c r="A85" s="3" t="s">
        <v>302</v>
      </c>
      <c r="B85" s="2" t="s">
        <v>303</v>
      </c>
      <c r="C85" s="2" t="s">
        <v>304</v>
      </c>
      <c r="D85" s="2">
        <v>1870</v>
      </c>
      <c r="E85" s="2">
        <v>1870</v>
      </c>
      <c r="F85" s="2">
        <v>0</v>
      </c>
      <c r="G85" s="2">
        <v>0</v>
      </c>
      <c r="H85" s="3" t="s">
        <v>27</v>
      </c>
      <c r="I85" s="3" t="s">
        <v>305</v>
      </c>
      <c r="J85" s="3" t="s">
        <v>4598</v>
      </c>
      <c r="K85" s="15"/>
      <c r="L85" s="4" t="s">
        <v>306</v>
      </c>
      <c r="M85" s="4">
        <f>1+(5*12)</f>
        <v>61</v>
      </c>
      <c r="N85" s="2">
        <v>38</v>
      </c>
      <c r="O85" s="2">
        <v>4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 s="26" t="s">
        <v>5167</v>
      </c>
      <c r="AA85" s="31">
        <v>1870.07</v>
      </c>
    </row>
    <row r="86" spans="1:27" ht="16" x14ac:dyDescent="0.2">
      <c r="A86" s="3" t="s">
        <v>322</v>
      </c>
      <c r="B86" s="2" t="s">
        <v>323</v>
      </c>
      <c r="C86" s="2" t="s">
        <v>324</v>
      </c>
      <c r="D86" s="2">
        <v>1871</v>
      </c>
      <c r="E86" s="2">
        <v>1870</v>
      </c>
      <c r="F86" s="2">
        <v>0</v>
      </c>
      <c r="G86" s="2">
        <v>0</v>
      </c>
      <c r="H86" s="3" t="s">
        <v>27</v>
      </c>
      <c r="I86" s="3" t="s">
        <v>325</v>
      </c>
      <c r="J86" s="3" t="s">
        <v>4599</v>
      </c>
      <c r="K86" s="15"/>
      <c r="L86" s="4" t="s">
        <v>326</v>
      </c>
      <c r="M86" s="4">
        <f>(12*32)+6</f>
        <v>390</v>
      </c>
      <c r="N86" s="2">
        <v>25</v>
      </c>
      <c r="O86" s="2">
        <v>5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1</v>
      </c>
      <c r="Z86" s="26" t="s">
        <v>5167</v>
      </c>
      <c r="AA86" s="31">
        <v>1871.01</v>
      </c>
    </row>
    <row r="87" spans="1:27" ht="16" x14ac:dyDescent="0.2">
      <c r="A87" s="3" t="s">
        <v>3557</v>
      </c>
      <c r="B87" s="2" t="s">
        <v>3558</v>
      </c>
      <c r="C87" s="2" t="s">
        <v>3559</v>
      </c>
      <c r="D87" s="2">
        <v>1871</v>
      </c>
      <c r="E87" s="2">
        <v>1870</v>
      </c>
      <c r="F87" s="2">
        <v>1</v>
      </c>
      <c r="G87" s="2">
        <v>1</v>
      </c>
      <c r="H87" s="3" t="s">
        <v>3442</v>
      </c>
      <c r="I87" s="3" t="s">
        <v>266</v>
      </c>
      <c r="J87" s="3" t="s">
        <v>4589</v>
      </c>
      <c r="K87" s="15"/>
      <c r="L87" s="4" t="s">
        <v>267</v>
      </c>
      <c r="M87" s="4">
        <f>(6*12)+10</f>
        <v>82</v>
      </c>
      <c r="N87" s="2">
        <v>38</v>
      </c>
      <c r="O87" s="2">
        <v>5</v>
      </c>
      <c r="Q87" s="2">
        <v>1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2">
        <v>1</v>
      </c>
      <c r="X87" s="2">
        <v>1</v>
      </c>
      <c r="Y87" s="2">
        <v>0</v>
      </c>
      <c r="Z87" s="26" t="s">
        <v>5167</v>
      </c>
      <c r="AA87" s="31">
        <v>1871.02</v>
      </c>
    </row>
    <row r="88" spans="1:27" ht="16" x14ac:dyDescent="0.2">
      <c r="A88" s="3" t="s">
        <v>312</v>
      </c>
      <c r="B88" s="2" t="s">
        <v>313</v>
      </c>
      <c r="C88" s="2" t="s">
        <v>314</v>
      </c>
      <c r="D88" s="2">
        <v>1871</v>
      </c>
      <c r="E88" s="2">
        <v>1870</v>
      </c>
      <c r="F88" s="2">
        <v>0</v>
      </c>
      <c r="G88" s="2">
        <v>0</v>
      </c>
      <c r="H88" s="3" t="s">
        <v>27</v>
      </c>
      <c r="I88" s="3" t="s">
        <v>315</v>
      </c>
      <c r="J88" s="3" t="s">
        <v>4600</v>
      </c>
      <c r="K88" s="15"/>
      <c r="L88" s="4" t="s">
        <v>316</v>
      </c>
      <c r="M88" s="4">
        <f>7+(12*9)</f>
        <v>115</v>
      </c>
      <c r="N88" s="2">
        <v>37</v>
      </c>
      <c r="O88" s="2">
        <v>1</v>
      </c>
      <c r="P88" s="2">
        <v>4</v>
      </c>
      <c r="Q88" s="2">
        <v>1</v>
      </c>
      <c r="R88" s="2">
        <v>1</v>
      </c>
      <c r="S88" s="2">
        <v>1</v>
      </c>
      <c r="T88" s="2">
        <v>0</v>
      </c>
      <c r="U88" s="2">
        <v>0</v>
      </c>
      <c r="V88" s="2">
        <v>0</v>
      </c>
      <c r="W88" s="2">
        <v>1</v>
      </c>
      <c r="X88" s="2">
        <v>3</v>
      </c>
      <c r="Y88" s="2">
        <v>0</v>
      </c>
      <c r="Z88" s="26" t="s">
        <v>5167</v>
      </c>
      <c r="AA88" s="31">
        <v>1871.03</v>
      </c>
    </row>
    <row r="89" spans="1:27" ht="16" x14ac:dyDescent="0.2">
      <c r="A89" s="3" t="s">
        <v>317</v>
      </c>
      <c r="B89" s="2" t="s">
        <v>318</v>
      </c>
      <c r="C89" s="2" t="s">
        <v>319</v>
      </c>
      <c r="D89" s="2">
        <v>1871</v>
      </c>
      <c r="E89" s="2">
        <v>1870</v>
      </c>
      <c r="F89" s="2">
        <v>0</v>
      </c>
      <c r="G89" s="2">
        <v>0</v>
      </c>
      <c r="H89" s="3" t="s">
        <v>27</v>
      </c>
      <c r="I89" s="3" t="s">
        <v>320</v>
      </c>
      <c r="J89" s="3" t="s">
        <v>4601</v>
      </c>
      <c r="K89" s="15"/>
      <c r="L89" s="4" t="s">
        <v>321</v>
      </c>
      <c r="M89" s="4">
        <v>82</v>
      </c>
      <c r="N89" s="2">
        <v>38</v>
      </c>
      <c r="O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  <c r="Z89" s="26" t="s">
        <v>5167</v>
      </c>
      <c r="AA89" s="31">
        <v>1871.04</v>
      </c>
    </row>
    <row r="90" spans="1:27" ht="16" x14ac:dyDescent="0.2">
      <c r="A90" s="3" t="s">
        <v>307</v>
      </c>
      <c r="B90" s="2" t="s">
        <v>308</v>
      </c>
      <c r="C90" s="2" t="s">
        <v>309</v>
      </c>
      <c r="D90" s="2">
        <v>1871</v>
      </c>
      <c r="E90" s="2">
        <v>1870</v>
      </c>
      <c r="F90" s="2">
        <v>0</v>
      </c>
      <c r="G90" s="2">
        <v>0</v>
      </c>
      <c r="H90" s="3" t="s">
        <v>27</v>
      </c>
      <c r="I90" s="3" t="s">
        <v>310</v>
      </c>
      <c r="J90" s="3" t="s">
        <v>4593</v>
      </c>
      <c r="K90" s="15"/>
      <c r="L90" s="4" t="s">
        <v>311</v>
      </c>
      <c r="M90" s="4">
        <f>3+(12*9)</f>
        <v>111</v>
      </c>
      <c r="N90" s="2">
        <v>37</v>
      </c>
      <c r="O90" s="2">
        <v>4</v>
      </c>
      <c r="Q90" s="2">
        <v>1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4</v>
      </c>
      <c r="Y90" s="2">
        <v>0</v>
      </c>
      <c r="Z90" s="26" t="s">
        <v>5167</v>
      </c>
      <c r="AA90" s="31">
        <v>1871.05</v>
      </c>
    </row>
    <row r="91" spans="1:27" ht="16" x14ac:dyDescent="0.2">
      <c r="A91" s="3" t="s">
        <v>3560</v>
      </c>
      <c r="B91" s="2" t="s">
        <v>3561</v>
      </c>
      <c r="C91" s="2" t="s">
        <v>3562</v>
      </c>
      <c r="D91" s="2">
        <v>1871</v>
      </c>
      <c r="E91" s="2">
        <v>1870</v>
      </c>
      <c r="F91" s="2">
        <v>1</v>
      </c>
      <c r="G91" s="2">
        <v>1</v>
      </c>
      <c r="H91" s="3" t="s">
        <v>3442</v>
      </c>
      <c r="I91" s="3" t="s">
        <v>3563</v>
      </c>
      <c r="J91" s="3" t="s">
        <v>3564</v>
      </c>
      <c r="K91" s="15"/>
      <c r="L91" s="4" t="s">
        <v>3565</v>
      </c>
      <c r="M91" s="4">
        <f>3+(30*12)</f>
        <v>363</v>
      </c>
      <c r="N91" s="2">
        <v>27</v>
      </c>
      <c r="O91" s="2">
        <v>4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1</v>
      </c>
      <c r="Z91" s="26" t="s">
        <v>5167</v>
      </c>
      <c r="AA91" s="31">
        <v>1871.06</v>
      </c>
    </row>
    <row r="92" spans="1:27" ht="16" x14ac:dyDescent="0.2">
      <c r="A92" s="3" t="s">
        <v>3566</v>
      </c>
      <c r="B92" s="2" t="s">
        <v>3567</v>
      </c>
      <c r="C92" s="2" t="s">
        <v>3568</v>
      </c>
      <c r="D92" s="2">
        <v>1872</v>
      </c>
      <c r="E92" s="2">
        <v>1870</v>
      </c>
      <c r="F92" s="2">
        <v>2</v>
      </c>
      <c r="G92" s="2">
        <v>1</v>
      </c>
      <c r="H92" s="3" t="s">
        <v>3434</v>
      </c>
      <c r="I92" s="3" t="s">
        <v>3569</v>
      </c>
      <c r="J92" s="3" t="s">
        <v>3570</v>
      </c>
      <c r="K92" s="15"/>
      <c r="L92" s="4" t="s">
        <v>3571</v>
      </c>
      <c r="M92" s="4">
        <f>12+6</f>
        <v>18</v>
      </c>
      <c r="N92" s="2">
        <v>41</v>
      </c>
      <c r="O92" s="2">
        <v>6</v>
      </c>
      <c r="Q92" s="2">
        <v>0</v>
      </c>
      <c r="R92" s="2">
        <v>0</v>
      </c>
      <c r="S92" s="2">
        <v>1</v>
      </c>
      <c r="T92" s="2">
        <v>0</v>
      </c>
      <c r="U92" s="2">
        <v>0</v>
      </c>
      <c r="V92" s="2">
        <v>1</v>
      </c>
      <c r="W92" s="2">
        <v>1</v>
      </c>
      <c r="X92" s="2">
        <v>2</v>
      </c>
      <c r="Y92" s="2">
        <v>0</v>
      </c>
      <c r="Z92" s="26" t="s">
        <v>5167</v>
      </c>
      <c r="AA92" s="31">
        <v>1872.01</v>
      </c>
    </row>
    <row r="93" spans="1:27" ht="16" x14ac:dyDescent="0.2">
      <c r="A93" s="3" t="s">
        <v>332</v>
      </c>
      <c r="B93" s="2" t="s">
        <v>333</v>
      </c>
      <c r="C93" s="2" t="s">
        <v>334</v>
      </c>
      <c r="D93" s="2">
        <v>1872</v>
      </c>
      <c r="E93" s="2">
        <v>1870</v>
      </c>
      <c r="F93" s="2">
        <v>0</v>
      </c>
      <c r="G93" s="2">
        <v>0</v>
      </c>
      <c r="H93" s="3" t="s">
        <v>27</v>
      </c>
      <c r="I93" s="3" t="s">
        <v>335</v>
      </c>
      <c r="J93" s="3" t="s">
        <v>4602</v>
      </c>
      <c r="K93" s="15"/>
      <c r="L93" s="4" t="s">
        <v>336</v>
      </c>
      <c r="M93" s="4">
        <f>11+(12*4)</f>
        <v>59</v>
      </c>
      <c r="N93" s="2">
        <v>39</v>
      </c>
      <c r="O93" s="2">
        <v>6</v>
      </c>
      <c r="P93" s="2">
        <v>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6" t="s">
        <v>5167</v>
      </c>
      <c r="AA93" s="31">
        <v>1872.02</v>
      </c>
    </row>
    <row r="94" spans="1:27" ht="16" x14ac:dyDescent="0.2">
      <c r="A94" s="3" t="s">
        <v>327</v>
      </c>
      <c r="B94" s="2" t="s">
        <v>328</v>
      </c>
      <c r="C94" s="2" t="s">
        <v>329</v>
      </c>
      <c r="D94" s="2">
        <v>1872</v>
      </c>
      <c r="E94" s="2">
        <v>1870</v>
      </c>
      <c r="F94" s="2">
        <v>0</v>
      </c>
      <c r="G94" s="2">
        <v>0</v>
      </c>
      <c r="H94" s="3" t="s">
        <v>27</v>
      </c>
      <c r="I94" s="3" t="s">
        <v>330</v>
      </c>
      <c r="J94" s="3" t="s">
        <v>4604</v>
      </c>
      <c r="K94" s="15"/>
      <c r="L94" s="4" t="s">
        <v>331</v>
      </c>
      <c r="M94" s="4">
        <f>36+9</f>
        <v>45</v>
      </c>
      <c r="N94" s="2">
        <v>40</v>
      </c>
      <c r="O94" s="2">
        <v>6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1</v>
      </c>
      <c r="X94" s="2">
        <v>2</v>
      </c>
      <c r="Y94" s="2">
        <v>0</v>
      </c>
      <c r="Z94" s="26" t="s">
        <v>5167</v>
      </c>
      <c r="AA94" s="31">
        <v>1872.03</v>
      </c>
    </row>
    <row r="95" spans="1:27" ht="16" x14ac:dyDescent="0.2">
      <c r="A95" s="3" t="s">
        <v>337</v>
      </c>
      <c r="B95" s="2" t="s">
        <v>338</v>
      </c>
      <c r="C95" s="2" t="s">
        <v>339</v>
      </c>
      <c r="D95" s="2">
        <v>1872</v>
      </c>
      <c r="E95" s="2">
        <v>1870</v>
      </c>
      <c r="F95" s="2">
        <v>0</v>
      </c>
      <c r="G95" s="2">
        <v>0</v>
      </c>
      <c r="H95" s="3" t="s">
        <v>27</v>
      </c>
      <c r="I95" s="3" t="s">
        <v>340</v>
      </c>
      <c r="J95" s="3" t="s">
        <v>4603</v>
      </c>
      <c r="K95" s="15"/>
      <c r="L95" s="4" t="s">
        <v>341</v>
      </c>
      <c r="M95" s="4">
        <f>48+5</f>
        <v>53</v>
      </c>
      <c r="N95" s="2">
        <v>40</v>
      </c>
      <c r="O95" s="2">
        <v>4</v>
      </c>
      <c r="Q95" s="2">
        <v>0</v>
      </c>
      <c r="R95" s="2">
        <v>0</v>
      </c>
      <c r="S95" s="2">
        <v>1</v>
      </c>
      <c r="T95" s="2">
        <v>0</v>
      </c>
      <c r="U95" s="2">
        <v>1</v>
      </c>
      <c r="V95" s="2">
        <v>0</v>
      </c>
      <c r="W95" s="2">
        <v>1</v>
      </c>
      <c r="X95" s="2">
        <v>0</v>
      </c>
      <c r="Y95" s="2">
        <v>0</v>
      </c>
      <c r="Z95" s="26" t="s">
        <v>5167</v>
      </c>
      <c r="AA95" s="31">
        <v>1872.04</v>
      </c>
    </row>
    <row r="96" spans="1:27" ht="12.75" customHeight="1" x14ac:dyDescent="0.2">
      <c r="A96" s="3" t="s">
        <v>3572</v>
      </c>
      <c r="B96" s="2" t="s">
        <v>3573</v>
      </c>
      <c r="C96" s="2" t="s">
        <v>3574</v>
      </c>
      <c r="D96" s="2">
        <v>1873</v>
      </c>
      <c r="E96" s="2">
        <v>1870</v>
      </c>
      <c r="F96" s="2">
        <v>1</v>
      </c>
      <c r="G96" s="2">
        <v>1</v>
      </c>
      <c r="H96" s="3" t="s">
        <v>3442</v>
      </c>
      <c r="I96" s="3" t="s">
        <v>266</v>
      </c>
      <c r="J96" s="3" t="s">
        <v>4589</v>
      </c>
      <c r="K96" s="15"/>
      <c r="L96" s="4" t="s">
        <v>267</v>
      </c>
      <c r="M96" s="4">
        <f>(8*12)+10</f>
        <v>106</v>
      </c>
      <c r="N96" s="2">
        <v>38</v>
      </c>
      <c r="O96" s="2">
        <v>5</v>
      </c>
      <c r="Q96" s="2">
        <v>1</v>
      </c>
      <c r="R96" s="2">
        <v>1</v>
      </c>
      <c r="S96" s="2">
        <v>1</v>
      </c>
      <c r="T96" s="2">
        <v>0</v>
      </c>
      <c r="U96" s="2">
        <v>0</v>
      </c>
      <c r="V96" s="2">
        <v>0</v>
      </c>
      <c r="W96" s="2">
        <v>1</v>
      </c>
      <c r="X96" s="2">
        <v>2</v>
      </c>
      <c r="Y96" s="2">
        <v>0</v>
      </c>
      <c r="Z96" s="26" t="s">
        <v>5167</v>
      </c>
      <c r="AA96" s="31">
        <v>1873.01</v>
      </c>
    </row>
    <row r="97" spans="1:27" ht="16" x14ac:dyDescent="0.2">
      <c r="A97" s="3" t="s">
        <v>347</v>
      </c>
      <c r="B97" s="2" t="s">
        <v>348</v>
      </c>
      <c r="C97" s="2" t="s">
        <v>349</v>
      </c>
      <c r="D97" s="2">
        <v>1874</v>
      </c>
      <c r="E97" s="2">
        <v>1870</v>
      </c>
      <c r="F97" s="2">
        <v>0</v>
      </c>
      <c r="G97" s="2">
        <v>0</v>
      </c>
      <c r="H97" s="3" t="s">
        <v>27</v>
      </c>
      <c r="I97" s="3" t="s">
        <v>335</v>
      </c>
      <c r="J97" s="3" t="s">
        <v>4602</v>
      </c>
      <c r="K97" s="15"/>
      <c r="L97" s="4" t="s">
        <v>336</v>
      </c>
      <c r="M97" s="4">
        <f>10+(6*12)</f>
        <v>82</v>
      </c>
      <c r="N97" s="2">
        <v>39</v>
      </c>
      <c r="O97" s="2">
        <v>6</v>
      </c>
      <c r="Q97" s="2">
        <v>0</v>
      </c>
      <c r="R97" s="2">
        <v>0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 s="26" t="s">
        <v>5167</v>
      </c>
      <c r="AA97" s="31">
        <v>1874.01</v>
      </c>
    </row>
    <row r="98" spans="1:27" ht="12.75" customHeight="1" x14ac:dyDescent="0.2">
      <c r="A98" s="3" t="s">
        <v>342</v>
      </c>
      <c r="B98" s="2" t="s">
        <v>343</v>
      </c>
      <c r="C98" s="2" t="s">
        <v>344</v>
      </c>
      <c r="D98" s="2">
        <v>1874</v>
      </c>
      <c r="E98" s="2">
        <v>1870</v>
      </c>
      <c r="F98" s="2">
        <v>0</v>
      </c>
      <c r="G98" s="2">
        <v>0</v>
      </c>
      <c r="H98" s="3" t="s">
        <v>27</v>
      </c>
      <c r="I98" s="3" t="s">
        <v>345</v>
      </c>
      <c r="J98" s="3" t="s">
        <v>4605</v>
      </c>
      <c r="K98" s="15"/>
      <c r="L98" s="4" t="s">
        <v>346</v>
      </c>
      <c r="M98" s="4">
        <f>2+(12*43)</f>
        <v>518</v>
      </c>
      <c r="N98" s="2">
        <v>21</v>
      </c>
      <c r="O98" s="2">
        <v>6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1</v>
      </c>
      <c r="Y98" s="2">
        <v>1</v>
      </c>
      <c r="Z98" s="26" t="s">
        <v>5167</v>
      </c>
      <c r="AA98" s="31">
        <v>1874.02</v>
      </c>
    </row>
    <row r="99" spans="1:27" ht="16" x14ac:dyDescent="0.2">
      <c r="A99" s="3" t="s">
        <v>350</v>
      </c>
      <c r="B99" s="2" t="s">
        <v>351</v>
      </c>
      <c r="C99" s="2" t="s">
        <v>344</v>
      </c>
      <c r="D99" s="2">
        <v>1874</v>
      </c>
      <c r="E99" s="2">
        <v>1870</v>
      </c>
      <c r="F99" s="2">
        <v>0</v>
      </c>
      <c r="G99" s="2">
        <v>0</v>
      </c>
      <c r="H99" s="3" t="s">
        <v>27</v>
      </c>
      <c r="I99" s="3" t="s">
        <v>352</v>
      </c>
      <c r="J99" s="3" t="s">
        <v>4606</v>
      </c>
      <c r="K99" s="15"/>
      <c r="L99" s="4" t="s">
        <v>353</v>
      </c>
      <c r="M99" s="4">
        <f>36+10</f>
        <v>46</v>
      </c>
      <c r="N99" s="2">
        <v>41</v>
      </c>
      <c r="O99" s="2">
        <v>6</v>
      </c>
      <c r="P99" s="2">
        <v>1</v>
      </c>
      <c r="Q99" s="2">
        <v>1</v>
      </c>
      <c r="R99" s="2">
        <v>0</v>
      </c>
      <c r="S99" s="2">
        <v>1</v>
      </c>
      <c r="T99" s="2">
        <v>0</v>
      </c>
      <c r="U99" s="2">
        <v>1</v>
      </c>
      <c r="V99" s="2">
        <v>0</v>
      </c>
      <c r="W99" s="2">
        <v>1</v>
      </c>
      <c r="X99" s="2">
        <v>3</v>
      </c>
      <c r="Y99" s="2">
        <v>0</v>
      </c>
      <c r="Z99" s="26" t="s">
        <v>5167</v>
      </c>
      <c r="AA99" s="31">
        <v>1874.03</v>
      </c>
    </row>
    <row r="100" spans="1:27" ht="16" x14ac:dyDescent="0.2">
      <c r="A100" s="3" t="s">
        <v>354</v>
      </c>
      <c r="B100" s="2" t="s">
        <v>355</v>
      </c>
      <c r="C100" s="2" t="s">
        <v>356</v>
      </c>
      <c r="D100" s="2">
        <v>1875</v>
      </c>
      <c r="E100" s="2">
        <v>1870</v>
      </c>
      <c r="F100" s="2">
        <v>0</v>
      </c>
      <c r="G100" s="2">
        <v>0</v>
      </c>
      <c r="H100" s="3" t="s">
        <v>27</v>
      </c>
      <c r="I100" s="3" t="s">
        <v>357</v>
      </c>
      <c r="J100" s="3" t="s">
        <v>4607</v>
      </c>
      <c r="K100" s="15"/>
      <c r="L100" s="4" t="s">
        <v>358</v>
      </c>
      <c r="M100" s="4">
        <f>6+(12*13)</f>
        <v>162</v>
      </c>
      <c r="N100" s="2">
        <v>37</v>
      </c>
      <c r="O100" s="2">
        <v>6</v>
      </c>
      <c r="P100" s="2">
        <v>5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0</v>
      </c>
      <c r="Z100" s="26" t="s">
        <v>5167</v>
      </c>
      <c r="AA100" s="31">
        <v>1875.01</v>
      </c>
    </row>
    <row r="101" spans="1:27" ht="16" x14ac:dyDescent="0.2">
      <c r="A101" s="3" t="s">
        <v>359</v>
      </c>
      <c r="B101" s="2" t="s">
        <v>360</v>
      </c>
      <c r="C101" s="2" t="s">
        <v>361</v>
      </c>
      <c r="D101" s="2">
        <v>1875</v>
      </c>
      <c r="E101" s="2">
        <v>1870</v>
      </c>
      <c r="F101" s="2">
        <v>0</v>
      </c>
      <c r="G101" s="2">
        <v>0</v>
      </c>
      <c r="H101" s="3" t="s">
        <v>27</v>
      </c>
      <c r="I101" s="3" t="s">
        <v>266</v>
      </c>
      <c r="J101" s="3" t="s">
        <v>4589</v>
      </c>
      <c r="K101" s="15"/>
      <c r="L101" s="4" t="s">
        <v>267</v>
      </c>
      <c r="M101" s="4">
        <f>120+7</f>
        <v>127</v>
      </c>
      <c r="N101" s="2">
        <v>38</v>
      </c>
      <c r="O101" s="2">
        <v>4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0</v>
      </c>
      <c r="Z101" s="26" t="s">
        <v>5167</v>
      </c>
      <c r="AA101" s="31">
        <v>1875.02</v>
      </c>
    </row>
    <row r="102" spans="1:27" ht="16" x14ac:dyDescent="0.2">
      <c r="A102" s="3" t="s">
        <v>365</v>
      </c>
      <c r="B102" s="2" t="s">
        <v>366</v>
      </c>
      <c r="C102" s="2" t="s">
        <v>367</v>
      </c>
      <c r="D102" s="2">
        <v>1876</v>
      </c>
      <c r="E102" s="2">
        <v>1870</v>
      </c>
      <c r="F102" s="2">
        <v>0</v>
      </c>
      <c r="G102" s="2">
        <v>0</v>
      </c>
      <c r="H102" s="3" t="s">
        <v>27</v>
      </c>
      <c r="I102" s="3" t="s">
        <v>368</v>
      </c>
      <c r="J102" s="3" t="s">
        <v>4608</v>
      </c>
      <c r="K102" s="15"/>
      <c r="L102" s="4" t="s">
        <v>4609</v>
      </c>
      <c r="M102" s="4">
        <f>4*12</f>
        <v>48</v>
      </c>
      <c r="N102" s="2">
        <v>42</v>
      </c>
      <c r="O102" s="2">
        <v>4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1</v>
      </c>
      <c r="X102" s="2">
        <v>1</v>
      </c>
      <c r="Y102" s="2">
        <v>0</v>
      </c>
      <c r="Z102" s="26" t="s">
        <v>5167</v>
      </c>
      <c r="AA102" s="31">
        <v>1876.01</v>
      </c>
    </row>
    <row r="103" spans="1:27" ht="16" x14ac:dyDescent="0.2">
      <c r="A103" s="3" t="s">
        <v>362</v>
      </c>
      <c r="B103" s="2" t="s">
        <v>363</v>
      </c>
      <c r="C103" s="2" t="s">
        <v>364</v>
      </c>
      <c r="D103" s="2">
        <v>1876</v>
      </c>
      <c r="E103" s="2">
        <v>1870</v>
      </c>
      <c r="F103" s="2">
        <v>0</v>
      </c>
      <c r="G103" s="2">
        <v>0</v>
      </c>
      <c r="H103" s="3" t="s">
        <v>27</v>
      </c>
      <c r="I103" s="3" t="s">
        <v>335</v>
      </c>
      <c r="J103" s="3" t="s">
        <v>4602</v>
      </c>
      <c r="K103" s="15"/>
      <c r="L103" s="4" t="s">
        <v>336</v>
      </c>
      <c r="M103" s="4">
        <f>9*12</f>
        <v>108</v>
      </c>
      <c r="N103" s="2">
        <v>39</v>
      </c>
      <c r="O103" s="2">
        <v>6</v>
      </c>
      <c r="Q103" s="2">
        <v>0</v>
      </c>
      <c r="R103" s="2">
        <v>0</v>
      </c>
      <c r="S103" s="2">
        <v>0</v>
      </c>
      <c r="T103" s="2">
        <v>0</v>
      </c>
      <c r="U103" s="2">
        <v>1</v>
      </c>
      <c r="V103" s="2">
        <v>0</v>
      </c>
      <c r="W103" s="2">
        <v>0</v>
      </c>
      <c r="X103" s="2">
        <v>3</v>
      </c>
      <c r="Y103" s="2">
        <v>0</v>
      </c>
      <c r="Z103" s="26" t="s">
        <v>5167</v>
      </c>
      <c r="AA103" s="31">
        <v>1876.02</v>
      </c>
    </row>
    <row r="104" spans="1:27" ht="16" x14ac:dyDescent="0.2">
      <c r="A104" s="3" t="s">
        <v>372</v>
      </c>
      <c r="B104" s="2" t="s">
        <v>373</v>
      </c>
      <c r="C104" s="2" t="s">
        <v>371</v>
      </c>
      <c r="D104" s="2">
        <v>1876</v>
      </c>
      <c r="E104" s="2">
        <v>1870</v>
      </c>
      <c r="F104" s="2">
        <v>0</v>
      </c>
      <c r="G104" s="2">
        <v>0</v>
      </c>
      <c r="H104" s="3" t="s">
        <v>27</v>
      </c>
      <c r="I104" s="3" t="s">
        <v>374</v>
      </c>
      <c r="J104" s="3" t="s">
        <v>4611</v>
      </c>
      <c r="K104" s="15"/>
      <c r="L104" s="4" t="s">
        <v>375</v>
      </c>
      <c r="M104" s="4">
        <f>9+(12*29)</f>
        <v>357</v>
      </c>
      <c r="N104" s="2">
        <v>29</v>
      </c>
      <c r="O104" s="2">
        <v>4</v>
      </c>
      <c r="P104" s="2">
        <v>5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6" t="s">
        <v>5167</v>
      </c>
      <c r="AA104" s="31">
        <v>1876.03</v>
      </c>
    </row>
    <row r="105" spans="1:27" ht="16" x14ac:dyDescent="0.2">
      <c r="A105" s="3" t="s">
        <v>3577</v>
      </c>
      <c r="B105" s="2" t="s">
        <v>3578</v>
      </c>
      <c r="C105" s="2" t="s">
        <v>367</v>
      </c>
      <c r="D105" s="2">
        <v>1876</v>
      </c>
      <c r="E105" s="2">
        <v>1870</v>
      </c>
      <c r="F105" s="2">
        <v>2</v>
      </c>
      <c r="G105" s="2">
        <v>1</v>
      </c>
      <c r="H105" s="3" t="s">
        <v>3434</v>
      </c>
      <c r="I105" s="3" t="s">
        <v>429</v>
      </c>
      <c r="J105" s="3" t="s">
        <v>3579</v>
      </c>
      <c r="K105" s="15"/>
      <c r="L105" s="4" t="s">
        <v>430</v>
      </c>
      <c r="M105" s="4">
        <v>70</v>
      </c>
      <c r="N105" s="2">
        <v>41</v>
      </c>
      <c r="O105" s="2">
        <v>5</v>
      </c>
      <c r="P105" s="2">
        <v>3</v>
      </c>
      <c r="Q105" s="2">
        <v>1</v>
      </c>
      <c r="R105" s="2">
        <v>1</v>
      </c>
      <c r="S105" s="2">
        <v>1</v>
      </c>
      <c r="T105" s="2">
        <v>0</v>
      </c>
      <c r="U105" s="2">
        <v>0</v>
      </c>
      <c r="V105" s="2">
        <v>1</v>
      </c>
      <c r="W105" s="2">
        <v>1</v>
      </c>
      <c r="X105" s="2">
        <v>2</v>
      </c>
      <c r="Y105" s="2">
        <v>0</v>
      </c>
      <c r="Z105" s="26" t="s">
        <v>5167</v>
      </c>
      <c r="AA105" s="31">
        <v>1876.04</v>
      </c>
    </row>
    <row r="106" spans="1:27" ht="16" x14ac:dyDescent="0.2">
      <c r="A106" s="3" t="s">
        <v>369</v>
      </c>
      <c r="B106" s="2" t="s">
        <v>370</v>
      </c>
      <c r="C106" s="2" t="s">
        <v>371</v>
      </c>
      <c r="D106" s="2">
        <v>1876</v>
      </c>
      <c r="E106" s="2">
        <v>1870</v>
      </c>
      <c r="F106" s="2">
        <v>0</v>
      </c>
      <c r="G106" s="2">
        <v>0</v>
      </c>
      <c r="H106" s="3" t="s">
        <v>27</v>
      </c>
      <c r="I106" s="3" t="s">
        <v>340</v>
      </c>
      <c r="J106" s="3" t="s">
        <v>4603</v>
      </c>
      <c r="K106" s="15"/>
      <c r="L106" s="4" t="s">
        <v>341</v>
      </c>
      <c r="M106" s="4">
        <f>(7*12)+9</f>
        <v>93</v>
      </c>
      <c r="N106" s="2">
        <v>40</v>
      </c>
      <c r="O106" s="2">
        <v>4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6" t="s">
        <v>5167</v>
      </c>
      <c r="AA106" s="31">
        <v>1876.05</v>
      </c>
    </row>
    <row r="107" spans="1:27" ht="16" x14ac:dyDescent="0.2">
      <c r="A107" s="3" t="s">
        <v>3575</v>
      </c>
      <c r="B107" s="2" t="s">
        <v>3576</v>
      </c>
      <c r="C107" s="2" t="s">
        <v>367</v>
      </c>
      <c r="D107" s="2">
        <v>1876</v>
      </c>
      <c r="E107" s="2">
        <v>1870</v>
      </c>
      <c r="F107" s="2">
        <v>1</v>
      </c>
      <c r="G107" s="2">
        <v>1</v>
      </c>
      <c r="H107" s="3" t="s">
        <v>3442</v>
      </c>
      <c r="I107" s="3" t="s">
        <v>429</v>
      </c>
      <c r="J107" s="3" t="s">
        <v>3579</v>
      </c>
      <c r="K107" s="15"/>
      <c r="L107" s="4" t="s">
        <v>430</v>
      </c>
      <c r="M107" s="4">
        <f>60+10</f>
        <v>70</v>
      </c>
      <c r="N107" s="2">
        <v>41</v>
      </c>
      <c r="O107" s="2">
        <v>5</v>
      </c>
      <c r="Q107" s="2">
        <v>1</v>
      </c>
      <c r="R107" s="2">
        <v>1</v>
      </c>
      <c r="S107" s="2">
        <v>1</v>
      </c>
      <c r="T107" s="2">
        <v>0</v>
      </c>
      <c r="U107" s="2">
        <v>0</v>
      </c>
      <c r="V107" s="2">
        <v>0</v>
      </c>
      <c r="W107" s="2">
        <v>1</v>
      </c>
      <c r="X107" s="2">
        <v>1</v>
      </c>
      <c r="Y107" s="2">
        <v>0</v>
      </c>
      <c r="Z107" s="26" t="s">
        <v>5167</v>
      </c>
      <c r="AA107" s="31">
        <v>1876.06</v>
      </c>
    </row>
    <row r="108" spans="1:27" ht="16" x14ac:dyDescent="0.2">
      <c r="A108" s="3" t="s">
        <v>381</v>
      </c>
      <c r="B108" s="2" t="s">
        <v>382</v>
      </c>
      <c r="C108" s="2" t="s">
        <v>383</v>
      </c>
      <c r="D108" s="2">
        <v>1876</v>
      </c>
      <c r="E108" s="2">
        <v>1870</v>
      </c>
      <c r="F108" s="2">
        <v>0</v>
      </c>
      <c r="G108" s="2">
        <v>0</v>
      </c>
      <c r="H108" s="3" t="s">
        <v>27</v>
      </c>
      <c r="I108" s="3" t="s">
        <v>384</v>
      </c>
      <c r="J108" s="3" t="s">
        <v>4612</v>
      </c>
      <c r="K108" s="15"/>
      <c r="L108" s="4" t="s">
        <v>385</v>
      </c>
      <c r="M108" s="4">
        <f>8+(12*12)</f>
        <v>152</v>
      </c>
      <c r="N108" s="2">
        <v>38</v>
      </c>
      <c r="O108" s="2">
        <v>5</v>
      </c>
      <c r="Q108" s="2">
        <v>0</v>
      </c>
      <c r="R108" s="2">
        <v>0</v>
      </c>
      <c r="S108" s="2">
        <v>1</v>
      </c>
      <c r="T108" s="2">
        <v>0</v>
      </c>
      <c r="U108" s="2">
        <v>1</v>
      </c>
      <c r="V108" s="2">
        <v>0</v>
      </c>
      <c r="W108" s="2">
        <v>1</v>
      </c>
      <c r="X108" s="2">
        <v>0</v>
      </c>
      <c r="Y108" s="2">
        <v>0</v>
      </c>
      <c r="Z108" s="26" t="s">
        <v>5167</v>
      </c>
      <c r="AA108" s="31">
        <v>1876.07</v>
      </c>
    </row>
    <row r="109" spans="1:27" ht="16" x14ac:dyDescent="0.2">
      <c r="A109" s="3" t="s">
        <v>376</v>
      </c>
      <c r="B109" s="2" t="s">
        <v>377</v>
      </c>
      <c r="C109" s="2" t="s">
        <v>378</v>
      </c>
      <c r="D109" s="2">
        <v>1876</v>
      </c>
      <c r="E109" s="2">
        <v>1870</v>
      </c>
      <c r="F109" s="2">
        <v>0</v>
      </c>
      <c r="G109" s="2">
        <v>0</v>
      </c>
      <c r="H109" s="3" t="s">
        <v>27</v>
      </c>
      <c r="I109" s="3" t="s">
        <v>379</v>
      </c>
      <c r="J109" s="3" t="s">
        <v>4613</v>
      </c>
      <c r="K109" s="15"/>
      <c r="L109" s="4" t="s">
        <v>380</v>
      </c>
      <c r="M109" s="4">
        <f>24+4</f>
        <v>28</v>
      </c>
      <c r="N109" s="2">
        <v>43</v>
      </c>
      <c r="O109" s="2">
        <v>5</v>
      </c>
      <c r="Q109" s="2">
        <v>0</v>
      </c>
      <c r="R109" s="2">
        <v>0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6" t="s">
        <v>5167</v>
      </c>
      <c r="AA109" s="31">
        <v>1876.08</v>
      </c>
    </row>
    <row r="110" spans="1:27" ht="16" x14ac:dyDescent="0.2">
      <c r="A110" s="3" t="s">
        <v>3580</v>
      </c>
      <c r="B110" s="2" t="s">
        <v>3581</v>
      </c>
      <c r="C110" s="2" t="s">
        <v>3582</v>
      </c>
      <c r="D110" s="6">
        <v>1877</v>
      </c>
      <c r="E110" s="2">
        <v>1870</v>
      </c>
      <c r="F110" s="2">
        <v>1</v>
      </c>
      <c r="G110" s="2">
        <v>1</v>
      </c>
      <c r="H110" s="3" t="s">
        <v>3442</v>
      </c>
      <c r="I110" s="3" t="s">
        <v>3583</v>
      </c>
      <c r="J110" s="3" t="s">
        <v>4614</v>
      </c>
      <c r="K110" s="15"/>
      <c r="L110" s="4" t="s">
        <v>3584</v>
      </c>
      <c r="M110" s="4">
        <f>9+(12*6)</f>
        <v>81</v>
      </c>
      <c r="N110" s="2">
        <v>41</v>
      </c>
      <c r="O110" s="2">
        <v>4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6" t="s">
        <v>5167</v>
      </c>
      <c r="AA110" s="31">
        <v>1877.01</v>
      </c>
    </row>
    <row r="111" spans="1:27" ht="16" x14ac:dyDescent="0.2">
      <c r="A111" s="3" t="s">
        <v>3589</v>
      </c>
      <c r="B111" s="2" t="s">
        <v>3590</v>
      </c>
      <c r="C111" s="2" t="s">
        <v>3591</v>
      </c>
      <c r="D111" s="6">
        <v>1878</v>
      </c>
      <c r="E111" s="2">
        <v>1870</v>
      </c>
      <c r="F111" s="2">
        <v>1</v>
      </c>
      <c r="G111" s="2">
        <v>1</v>
      </c>
      <c r="H111" s="3" t="s">
        <v>3442</v>
      </c>
      <c r="I111" s="3" t="s">
        <v>3592</v>
      </c>
      <c r="J111" s="3" t="s">
        <v>4615</v>
      </c>
      <c r="K111" s="15"/>
      <c r="L111" s="4" t="s">
        <v>336</v>
      </c>
      <c r="M111" s="4">
        <f>120+10</f>
        <v>130</v>
      </c>
      <c r="N111" s="2">
        <v>39</v>
      </c>
      <c r="O111" s="2">
        <v>1</v>
      </c>
      <c r="P111" s="2">
        <v>5</v>
      </c>
      <c r="Q111" s="2">
        <v>1</v>
      </c>
      <c r="R111" s="2">
        <v>0</v>
      </c>
      <c r="S111" s="2">
        <v>1</v>
      </c>
      <c r="T111" s="2">
        <v>0</v>
      </c>
      <c r="U111" s="2">
        <v>0</v>
      </c>
      <c r="V111" s="2">
        <v>1</v>
      </c>
      <c r="W111" s="2">
        <v>1</v>
      </c>
      <c r="X111" s="2">
        <v>0</v>
      </c>
      <c r="Y111" s="2">
        <v>0</v>
      </c>
      <c r="Z111" s="26" t="s">
        <v>5167</v>
      </c>
      <c r="AA111" s="31">
        <v>1878.01</v>
      </c>
    </row>
    <row r="112" spans="1:27" ht="16" x14ac:dyDescent="0.2">
      <c r="A112" s="3" t="s">
        <v>396</v>
      </c>
      <c r="B112" s="2" t="s">
        <v>397</v>
      </c>
      <c r="C112" s="2" t="s">
        <v>398</v>
      </c>
      <c r="D112" s="6">
        <v>1878</v>
      </c>
      <c r="E112" s="2">
        <v>1870</v>
      </c>
      <c r="F112" s="2">
        <v>0</v>
      </c>
      <c r="G112" s="2">
        <v>0</v>
      </c>
      <c r="H112" s="3" t="s">
        <v>27</v>
      </c>
      <c r="I112" s="3" t="s">
        <v>399</v>
      </c>
      <c r="J112" s="3" t="s">
        <v>4616</v>
      </c>
      <c r="K112" s="15"/>
      <c r="L112" s="4" t="s">
        <v>400</v>
      </c>
      <c r="M112" s="4">
        <f>(11*12)+8</f>
        <v>140</v>
      </c>
      <c r="N112" s="2">
        <v>39</v>
      </c>
      <c r="O112" s="2">
        <v>5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2</v>
      </c>
      <c r="Y112" s="2">
        <v>0</v>
      </c>
      <c r="Z112" s="26" t="s">
        <v>5167</v>
      </c>
      <c r="AA112" s="31">
        <v>1878.02</v>
      </c>
    </row>
    <row r="113" spans="1:27" ht="12.75" customHeight="1" x14ac:dyDescent="0.2">
      <c r="A113" s="3" t="s">
        <v>3593</v>
      </c>
      <c r="B113" s="2" t="s">
        <v>3594</v>
      </c>
      <c r="C113" s="2" t="s">
        <v>3595</v>
      </c>
      <c r="D113" s="6">
        <v>1878</v>
      </c>
      <c r="E113" s="2">
        <v>1870</v>
      </c>
      <c r="F113" s="2">
        <v>0</v>
      </c>
      <c r="G113" s="2">
        <v>0</v>
      </c>
      <c r="H113" s="3" t="s">
        <v>27</v>
      </c>
      <c r="I113" s="3" t="s">
        <v>340</v>
      </c>
      <c r="J113" s="3" t="s">
        <v>4603</v>
      </c>
      <c r="K113" s="15"/>
      <c r="L113" s="4" t="s">
        <v>341</v>
      </c>
      <c r="M113" s="4">
        <f>(9*12)+9</f>
        <v>117</v>
      </c>
      <c r="N113" s="2">
        <v>40</v>
      </c>
      <c r="O113" s="2">
        <v>4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6" t="s">
        <v>5167</v>
      </c>
      <c r="AA113" s="31">
        <v>1878.03</v>
      </c>
    </row>
    <row r="114" spans="1:27" ht="16" x14ac:dyDescent="0.2">
      <c r="A114" s="3" t="s">
        <v>386</v>
      </c>
      <c r="B114" s="2" t="s">
        <v>387</v>
      </c>
      <c r="C114" s="2" t="s">
        <v>388</v>
      </c>
      <c r="D114" s="6">
        <v>1878</v>
      </c>
      <c r="E114" s="2">
        <v>1870</v>
      </c>
      <c r="F114" s="2">
        <v>0</v>
      </c>
      <c r="G114" s="2">
        <v>0</v>
      </c>
      <c r="H114" s="3" t="s">
        <v>27</v>
      </c>
      <c r="I114" s="3" t="s">
        <v>389</v>
      </c>
      <c r="J114" s="3" t="s">
        <v>389</v>
      </c>
      <c r="K114" s="15"/>
      <c r="L114" s="4" t="s">
        <v>390</v>
      </c>
      <c r="M114" s="4">
        <f>12+10</f>
        <v>22</v>
      </c>
      <c r="N114" s="2">
        <v>44</v>
      </c>
      <c r="O114" s="2">
        <v>2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1</v>
      </c>
      <c r="X114" s="2">
        <v>1</v>
      </c>
      <c r="Y114" s="2">
        <v>1</v>
      </c>
      <c r="Z114" s="26" t="s">
        <v>5167</v>
      </c>
      <c r="AA114" s="31">
        <v>1878.04</v>
      </c>
    </row>
    <row r="115" spans="1:27" ht="16" x14ac:dyDescent="0.2">
      <c r="A115" s="3" t="s">
        <v>3585</v>
      </c>
      <c r="B115" s="2" t="s">
        <v>3586</v>
      </c>
      <c r="C115" s="2" t="s">
        <v>3587</v>
      </c>
      <c r="D115" s="6">
        <v>1878</v>
      </c>
      <c r="E115" s="2">
        <v>1870</v>
      </c>
      <c r="F115" s="2">
        <v>1</v>
      </c>
      <c r="G115" s="2">
        <v>1</v>
      </c>
      <c r="H115" s="3" t="s">
        <v>3442</v>
      </c>
      <c r="I115" s="3" t="s">
        <v>3588</v>
      </c>
      <c r="J115" s="3" t="s">
        <v>3588</v>
      </c>
      <c r="K115" s="15"/>
      <c r="L115" s="4" t="s">
        <v>445</v>
      </c>
      <c r="M115" s="4">
        <f>36+9</f>
        <v>45</v>
      </c>
      <c r="N115" s="2">
        <v>43</v>
      </c>
      <c r="O115" s="2">
        <v>1</v>
      </c>
      <c r="P115" s="2">
        <v>4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  <c r="Y115" s="2">
        <v>0</v>
      </c>
      <c r="Z115" s="26" t="s">
        <v>5167</v>
      </c>
      <c r="AA115" s="31">
        <v>1878.05</v>
      </c>
    </row>
    <row r="116" spans="1:27" ht="16" x14ac:dyDescent="0.2">
      <c r="A116" s="3" t="s">
        <v>391</v>
      </c>
      <c r="B116" s="2" t="s">
        <v>392</v>
      </c>
      <c r="C116" s="2" t="s">
        <v>393</v>
      </c>
      <c r="D116" s="6">
        <v>1878</v>
      </c>
      <c r="E116" s="2">
        <v>1870</v>
      </c>
      <c r="F116" s="2">
        <v>0</v>
      </c>
      <c r="G116" s="2">
        <v>0</v>
      </c>
      <c r="H116" s="3" t="s">
        <v>27</v>
      </c>
      <c r="I116" s="3" t="s">
        <v>394</v>
      </c>
      <c r="J116" s="3" t="s">
        <v>4617</v>
      </c>
      <c r="K116" s="15"/>
      <c r="L116" s="4" t="s">
        <v>395</v>
      </c>
      <c r="M116" s="4">
        <v>6</v>
      </c>
      <c r="N116" s="2">
        <v>45</v>
      </c>
      <c r="O116" s="2">
        <v>6</v>
      </c>
      <c r="P116" s="2">
        <v>4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</v>
      </c>
      <c r="X116" s="2">
        <v>0</v>
      </c>
      <c r="Y116" s="2">
        <v>1</v>
      </c>
      <c r="Z116" s="26" t="s">
        <v>5167</v>
      </c>
      <c r="AA116" s="31">
        <v>1878.06</v>
      </c>
    </row>
    <row r="117" spans="1:27" ht="16" x14ac:dyDescent="0.2">
      <c r="A117" s="3" t="s">
        <v>406</v>
      </c>
      <c r="B117" s="2" t="s">
        <v>407</v>
      </c>
      <c r="C117" s="2" t="s">
        <v>408</v>
      </c>
      <c r="D117" s="6">
        <v>1879</v>
      </c>
      <c r="E117" s="2">
        <v>1870</v>
      </c>
      <c r="F117" s="2">
        <v>0</v>
      </c>
      <c r="G117" s="2">
        <v>0</v>
      </c>
      <c r="H117" s="3" t="s">
        <v>27</v>
      </c>
      <c r="I117" s="3" t="s">
        <v>5091</v>
      </c>
      <c r="J117" s="3" t="s">
        <v>409</v>
      </c>
      <c r="K117" s="15"/>
      <c r="L117" s="4" t="s">
        <v>410</v>
      </c>
      <c r="M117" s="4">
        <f>6+(12*16)</f>
        <v>198</v>
      </c>
      <c r="N117" s="2">
        <v>37</v>
      </c>
      <c r="O117" s="2">
        <v>2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6" t="s">
        <v>5167</v>
      </c>
      <c r="AA117" s="31">
        <v>1879.01</v>
      </c>
    </row>
    <row r="118" spans="1:27" ht="16" x14ac:dyDescent="0.2">
      <c r="A118" s="3" t="s">
        <v>416</v>
      </c>
      <c r="B118" s="2" t="s">
        <v>417</v>
      </c>
      <c r="C118" s="2" t="s">
        <v>418</v>
      </c>
      <c r="D118" s="6">
        <v>1879</v>
      </c>
      <c r="E118" s="2">
        <v>1870</v>
      </c>
      <c r="F118" s="2">
        <v>0</v>
      </c>
      <c r="G118" s="2">
        <v>0</v>
      </c>
      <c r="H118" s="3" t="s">
        <v>27</v>
      </c>
      <c r="I118" s="3" t="s">
        <v>419</v>
      </c>
      <c r="J118" s="3" t="s">
        <v>419</v>
      </c>
      <c r="K118" s="15"/>
      <c r="L118" s="4" t="s">
        <v>420</v>
      </c>
      <c r="M118" s="4">
        <f>10+60</f>
        <v>70</v>
      </c>
      <c r="N118" s="2">
        <v>42</v>
      </c>
      <c r="O118" s="2">
        <v>5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  <c r="Y118" s="2">
        <v>0</v>
      </c>
      <c r="Z118" s="26" t="s">
        <v>5167</v>
      </c>
      <c r="AA118" s="31">
        <v>1879.02</v>
      </c>
    </row>
    <row r="119" spans="1:27" ht="16" x14ac:dyDescent="0.2">
      <c r="A119" s="3" t="s">
        <v>401</v>
      </c>
      <c r="B119" s="2" t="s">
        <v>402</v>
      </c>
      <c r="C119" s="2" t="s">
        <v>403</v>
      </c>
      <c r="D119" s="6">
        <v>1879</v>
      </c>
      <c r="E119" s="2">
        <v>1870</v>
      </c>
      <c r="F119" s="2">
        <v>0</v>
      </c>
      <c r="G119" s="2">
        <v>0</v>
      </c>
      <c r="H119" s="3" t="s">
        <v>27</v>
      </c>
      <c r="I119" s="3" t="s">
        <v>404</v>
      </c>
      <c r="J119" s="3" t="s">
        <v>404</v>
      </c>
      <c r="K119" s="15"/>
      <c r="L119" s="4" t="s">
        <v>405</v>
      </c>
      <c r="M119" s="4">
        <f>7+(12*16)</f>
        <v>199</v>
      </c>
      <c r="N119" s="2">
        <v>37</v>
      </c>
      <c r="O119" s="2">
        <v>4</v>
      </c>
      <c r="P119" s="2">
        <v>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2</v>
      </c>
      <c r="Y119" s="2">
        <v>0</v>
      </c>
      <c r="Z119" s="26" t="s">
        <v>5167</v>
      </c>
      <c r="AA119" s="31">
        <v>1879.03</v>
      </c>
    </row>
    <row r="120" spans="1:27" ht="16" x14ac:dyDescent="0.2">
      <c r="A120" s="3" t="s">
        <v>421</v>
      </c>
      <c r="B120" s="2" t="s">
        <v>422</v>
      </c>
      <c r="C120" s="2" t="s">
        <v>408</v>
      </c>
      <c r="D120" s="6">
        <v>1879</v>
      </c>
      <c r="E120" s="2">
        <v>1870</v>
      </c>
      <c r="F120" s="2">
        <v>0</v>
      </c>
      <c r="G120" s="2">
        <v>0</v>
      </c>
      <c r="H120" s="3" t="s">
        <v>27</v>
      </c>
      <c r="I120" s="3" t="s">
        <v>423</v>
      </c>
      <c r="J120" s="3" t="s">
        <v>4618</v>
      </c>
      <c r="K120" s="15"/>
      <c r="L120" s="4" t="s">
        <v>420</v>
      </c>
      <c r="M120" s="4">
        <f>60+10</f>
        <v>70</v>
      </c>
      <c r="N120" s="2">
        <v>42</v>
      </c>
      <c r="O120" s="2">
        <v>1</v>
      </c>
      <c r="Q120" s="2">
        <v>0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1</v>
      </c>
      <c r="X120" s="2">
        <v>0</v>
      </c>
      <c r="Y120" s="2">
        <v>0</v>
      </c>
      <c r="Z120" s="26" t="s">
        <v>5167</v>
      </c>
      <c r="AA120" s="31">
        <v>1879.04</v>
      </c>
    </row>
    <row r="121" spans="1:27" ht="16" x14ac:dyDescent="0.2">
      <c r="A121" s="3" t="s">
        <v>411</v>
      </c>
      <c r="B121" s="2" t="s">
        <v>412</v>
      </c>
      <c r="C121" s="2" t="s">
        <v>413</v>
      </c>
      <c r="D121" s="6">
        <v>1879</v>
      </c>
      <c r="E121" s="2">
        <v>1870</v>
      </c>
      <c r="F121" s="2">
        <v>0</v>
      </c>
      <c r="G121" s="2">
        <v>0</v>
      </c>
      <c r="H121" s="3" t="s">
        <v>27</v>
      </c>
      <c r="I121" s="3" t="s">
        <v>4639</v>
      </c>
      <c r="J121" s="3" t="s">
        <v>414</v>
      </c>
      <c r="K121" s="15"/>
      <c r="L121" s="4" t="s">
        <v>415</v>
      </c>
      <c r="M121" s="4">
        <v>12</v>
      </c>
      <c r="N121" s="2">
        <v>45</v>
      </c>
      <c r="O121" s="2">
        <v>4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1</v>
      </c>
      <c r="X121" s="2">
        <v>3</v>
      </c>
      <c r="Y121" s="2">
        <v>1</v>
      </c>
      <c r="Z121" s="26" t="s">
        <v>5167</v>
      </c>
      <c r="AA121" s="31">
        <v>1879.05</v>
      </c>
    </row>
    <row r="122" spans="1:27" ht="16" x14ac:dyDescent="0.2">
      <c r="A122" s="3" t="s">
        <v>3596</v>
      </c>
      <c r="B122" s="2" t="s">
        <v>3597</v>
      </c>
      <c r="C122" s="2" t="s">
        <v>3598</v>
      </c>
      <c r="D122" s="6">
        <v>1879</v>
      </c>
      <c r="E122" s="2">
        <v>1870</v>
      </c>
      <c r="F122" s="2">
        <v>2</v>
      </c>
      <c r="G122" s="2">
        <v>1</v>
      </c>
      <c r="H122" s="3" t="s">
        <v>3434</v>
      </c>
      <c r="I122" s="3" t="s">
        <v>5047</v>
      </c>
      <c r="J122" s="3" t="s">
        <v>3599</v>
      </c>
      <c r="K122" s="15"/>
      <c r="L122" s="4" t="s">
        <v>3600</v>
      </c>
      <c r="M122" s="4">
        <f>4+(12*9)</f>
        <v>112</v>
      </c>
      <c r="N122" s="2">
        <v>41</v>
      </c>
      <c r="O122" s="2">
        <v>5</v>
      </c>
      <c r="Q122" s="2">
        <v>1</v>
      </c>
      <c r="R122" s="2">
        <v>0</v>
      </c>
      <c r="S122" s="2">
        <v>1</v>
      </c>
      <c r="T122" s="2">
        <v>0</v>
      </c>
      <c r="U122" s="2">
        <v>0</v>
      </c>
      <c r="V122" s="2">
        <v>1</v>
      </c>
      <c r="W122" s="2">
        <v>1</v>
      </c>
      <c r="X122" s="2">
        <v>0</v>
      </c>
      <c r="Y122" s="2">
        <v>0</v>
      </c>
      <c r="Z122" s="26" t="s">
        <v>5167</v>
      </c>
      <c r="AA122" s="31">
        <v>1879.06</v>
      </c>
    </row>
    <row r="123" spans="1:27" ht="16" x14ac:dyDescent="0.2">
      <c r="A123" s="3" t="s">
        <v>443</v>
      </c>
      <c r="B123" s="2" t="s">
        <v>444</v>
      </c>
      <c r="C123" s="2" t="s">
        <v>433</v>
      </c>
      <c r="D123" s="6">
        <v>1880</v>
      </c>
      <c r="E123" s="6">
        <v>1880</v>
      </c>
      <c r="F123" s="2">
        <v>0</v>
      </c>
      <c r="G123" s="2">
        <v>0</v>
      </c>
      <c r="H123" s="3" t="s">
        <v>27</v>
      </c>
      <c r="I123" s="3" t="s">
        <v>5033</v>
      </c>
      <c r="J123" s="3" t="s">
        <v>4619</v>
      </c>
      <c r="K123" s="15"/>
      <c r="L123" s="4" t="s">
        <v>445</v>
      </c>
      <c r="M123" s="4">
        <f>60</f>
        <v>60</v>
      </c>
      <c r="N123" s="2">
        <v>43</v>
      </c>
      <c r="O123" s="2">
        <v>5</v>
      </c>
      <c r="P123" s="2">
        <v>1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1</v>
      </c>
      <c r="X123" s="2">
        <v>2</v>
      </c>
      <c r="Y123" s="2">
        <v>0</v>
      </c>
      <c r="Z123" s="26" t="s">
        <v>5167</v>
      </c>
      <c r="AA123" s="31">
        <v>1880.01</v>
      </c>
    </row>
    <row r="124" spans="1:27" ht="16" x14ac:dyDescent="0.2">
      <c r="A124" s="3" t="s">
        <v>446</v>
      </c>
      <c r="B124" s="2" t="s">
        <v>447</v>
      </c>
      <c r="C124" s="2" t="s">
        <v>433</v>
      </c>
      <c r="D124" s="6">
        <v>1880</v>
      </c>
      <c r="E124" s="6">
        <v>1880</v>
      </c>
      <c r="F124" s="2">
        <v>0</v>
      </c>
      <c r="G124" s="2">
        <v>0</v>
      </c>
      <c r="H124" s="3" t="s">
        <v>27</v>
      </c>
      <c r="I124" s="3" t="s">
        <v>429</v>
      </c>
      <c r="J124" s="3" t="s">
        <v>3579</v>
      </c>
      <c r="K124" s="15"/>
      <c r="L124" s="4" t="s">
        <v>430</v>
      </c>
      <c r="M124" s="4">
        <f>(12*9)+10</f>
        <v>118</v>
      </c>
      <c r="N124" s="2">
        <v>41</v>
      </c>
      <c r="O124" s="2">
        <v>3</v>
      </c>
      <c r="Q124" s="2">
        <v>1</v>
      </c>
      <c r="R124" s="2">
        <v>1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6" t="s">
        <v>5167</v>
      </c>
      <c r="AA124" s="31">
        <v>1880.02</v>
      </c>
    </row>
    <row r="125" spans="1:27" ht="16" x14ac:dyDescent="0.2">
      <c r="A125" s="3" t="s">
        <v>431</v>
      </c>
      <c r="B125" s="2" t="s">
        <v>432</v>
      </c>
      <c r="C125" s="2" t="s">
        <v>433</v>
      </c>
      <c r="D125" s="6">
        <v>1880</v>
      </c>
      <c r="E125" s="6">
        <v>1880</v>
      </c>
      <c r="F125" s="2">
        <v>0</v>
      </c>
      <c r="G125" s="2">
        <v>0</v>
      </c>
      <c r="H125" s="3" t="s">
        <v>27</v>
      </c>
      <c r="I125" s="3" t="s">
        <v>434</v>
      </c>
      <c r="J125" s="3" t="s">
        <v>4620</v>
      </c>
      <c r="K125" s="15"/>
      <c r="L125" s="4" t="s">
        <v>435</v>
      </c>
      <c r="M125" s="4">
        <v>60</v>
      </c>
      <c r="N125" s="2">
        <v>43</v>
      </c>
      <c r="O125" s="2">
        <v>3</v>
      </c>
      <c r="Q125" s="2">
        <v>1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1</v>
      </c>
      <c r="X125" s="2">
        <v>2</v>
      </c>
      <c r="Y125" s="2">
        <v>0</v>
      </c>
      <c r="Z125" s="26" t="s">
        <v>5167</v>
      </c>
      <c r="AA125" s="31">
        <v>1880.03</v>
      </c>
    </row>
    <row r="126" spans="1:27" ht="16" x14ac:dyDescent="0.2">
      <c r="A126" s="3" t="s">
        <v>427</v>
      </c>
      <c r="B126" s="2" t="s">
        <v>428</v>
      </c>
      <c r="C126" s="2" t="s">
        <v>426</v>
      </c>
      <c r="D126" s="6">
        <v>1880</v>
      </c>
      <c r="E126" s="6">
        <v>1880</v>
      </c>
      <c r="F126" s="2">
        <v>0</v>
      </c>
      <c r="G126" s="2">
        <v>0</v>
      </c>
      <c r="H126" s="3" t="s">
        <v>27</v>
      </c>
      <c r="I126" s="3" t="s">
        <v>429</v>
      </c>
      <c r="J126" s="3" t="s">
        <v>3579</v>
      </c>
      <c r="K126" s="15"/>
      <c r="L126" s="4" t="s">
        <v>430</v>
      </c>
      <c r="M126" s="4">
        <v>117</v>
      </c>
      <c r="N126" s="2">
        <v>41</v>
      </c>
      <c r="O126" s="2">
        <v>5</v>
      </c>
      <c r="P126" s="2">
        <v>6</v>
      </c>
      <c r="Q126" s="2">
        <v>1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1</v>
      </c>
      <c r="X126" s="2">
        <v>2</v>
      </c>
      <c r="Y126" s="2">
        <v>0</v>
      </c>
      <c r="Z126" s="26" t="s">
        <v>5167</v>
      </c>
      <c r="AA126" s="31">
        <v>1880.04</v>
      </c>
    </row>
    <row r="127" spans="1:27" ht="16" x14ac:dyDescent="0.2">
      <c r="A127" s="3" t="s">
        <v>424</v>
      </c>
      <c r="B127" s="2" t="s">
        <v>425</v>
      </c>
      <c r="C127" s="2" t="s">
        <v>426</v>
      </c>
      <c r="D127" s="6">
        <v>1880</v>
      </c>
      <c r="E127" s="6">
        <v>1880</v>
      </c>
      <c r="F127" s="2">
        <v>0</v>
      </c>
      <c r="G127" s="2">
        <v>0</v>
      </c>
      <c r="H127" s="3" t="s">
        <v>27</v>
      </c>
      <c r="I127" s="3" t="s">
        <v>5028</v>
      </c>
      <c r="J127" s="3" t="s">
        <v>5027</v>
      </c>
      <c r="K127" s="15"/>
      <c r="L127" s="4" t="s">
        <v>5029</v>
      </c>
      <c r="M127" s="4">
        <f>(9*12)+1</f>
        <v>109</v>
      </c>
      <c r="N127" s="2">
        <v>43</v>
      </c>
      <c r="O127" s="2">
        <v>1</v>
      </c>
      <c r="Q127" s="2">
        <v>0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1</v>
      </c>
      <c r="X127" s="2">
        <v>2</v>
      </c>
      <c r="Y127" s="2">
        <v>0</v>
      </c>
      <c r="Z127" s="26" t="s">
        <v>5167</v>
      </c>
      <c r="AA127" s="31">
        <v>1880.05</v>
      </c>
    </row>
    <row r="128" spans="1:27" ht="16" x14ac:dyDescent="0.2">
      <c r="A128" s="3" t="s">
        <v>439</v>
      </c>
      <c r="B128" s="2" t="s">
        <v>440</v>
      </c>
      <c r="C128" s="2" t="s">
        <v>441</v>
      </c>
      <c r="D128" s="6">
        <v>1880</v>
      </c>
      <c r="E128" s="6">
        <v>1880</v>
      </c>
      <c r="F128" s="2">
        <v>0</v>
      </c>
      <c r="G128" s="2">
        <v>0</v>
      </c>
      <c r="H128" s="3" t="s">
        <v>27</v>
      </c>
      <c r="I128" s="3" t="s">
        <v>5030</v>
      </c>
      <c r="J128" s="3" t="s">
        <v>5030</v>
      </c>
      <c r="K128" s="15"/>
      <c r="L128" s="4" t="s">
        <v>442</v>
      </c>
      <c r="M128" s="4">
        <f>1+(12*13)</f>
        <v>157</v>
      </c>
      <c r="N128" s="2">
        <v>40</v>
      </c>
      <c r="O128" s="2">
        <v>5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6" t="s">
        <v>5167</v>
      </c>
      <c r="AA128" s="31">
        <v>1880.06</v>
      </c>
    </row>
    <row r="129" spans="1:27" ht="16" x14ac:dyDescent="0.2">
      <c r="A129" s="3" t="s">
        <v>436</v>
      </c>
      <c r="B129" s="2" t="s">
        <v>437</v>
      </c>
      <c r="C129" s="2" t="s">
        <v>438</v>
      </c>
      <c r="D129" s="6">
        <v>1880</v>
      </c>
      <c r="E129" s="6">
        <v>1880</v>
      </c>
      <c r="F129" s="2">
        <v>0</v>
      </c>
      <c r="G129" s="2">
        <v>0</v>
      </c>
      <c r="H129" s="3" t="s">
        <v>27</v>
      </c>
      <c r="I129" s="3" t="s">
        <v>3525</v>
      </c>
      <c r="J129" s="3" t="s">
        <v>3526</v>
      </c>
      <c r="K129" s="15"/>
      <c r="L129" s="4" t="s">
        <v>275</v>
      </c>
      <c r="M129" s="4">
        <v>214</v>
      </c>
      <c r="N129" s="2">
        <v>37</v>
      </c>
      <c r="O129" s="2">
        <v>1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1</v>
      </c>
      <c r="X129" s="2">
        <v>0</v>
      </c>
      <c r="Y129" s="2">
        <v>0</v>
      </c>
      <c r="Z129" s="26" t="s">
        <v>5167</v>
      </c>
      <c r="AA129" s="31">
        <v>1880.07</v>
      </c>
    </row>
    <row r="130" spans="1:27" ht="16" x14ac:dyDescent="0.2">
      <c r="A130" s="3" t="s">
        <v>448</v>
      </c>
      <c r="B130" s="2" t="s">
        <v>449</v>
      </c>
      <c r="C130" s="2" t="s">
        <v>450</v>
      </c>
      <c r="D130" s="6">
        <v>1881</v>
      </c>
      <c r="E130" s="6">
        <v>1880</v>
      </c>
      <c r="F130" s="2">
        <v>0</v>
      </c>
      <c r="G130" s="2">
        <v>0</v>
      </c>
      <c r="H130" s="3" t="s">
        <v>27</v>
      </c>
      <c r="I130" s="3" t="s">
        <v>5090</v>
      </c>
      <c r="J130" s="3" t="s">
        <v>5031</v>
      </c>
      <c r="K130" s="15"/>
      <c r="L130" s="4" t="s">
        <v>214</v>
      </c>
      <c r="M130" s="4">
        <f>(12*29)+10</f>
        <v>358</v>
      </c>
      <c r="N130" s="2">
        <v>31</v>
      </c>
      <c r="O130" s="2">
        <v>5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</v>
      </c>
      <c r="Z130" s="26" t="s">
        <v>5167</v>
      </c>
      <c r="AA130" s="31">
        <v>1881.01</v>
      </c>
    </row>
    <row r="131" spans="1:27" ht="16" x14ac:dyDescent="0.2">
      <c r="A131" s="3" t="s">
        <v>451</v>
      </c>
      <c r="B131" s="2" t="s">
        <v>452</v>
      </c>
      <c r="C131" s="2" t="s">
        <v>453</v>
      </c>
      <c r="D131" s="6">
        <v>1881</v>
      </c>
      <c r="E131" s="6">
        <v>1880</v>
      </c>
      <c r="F131" s="2">
        <v>0</v>
      </c>
      <c r="G131" s="2">
        <v>0</v>
      </c>
      <c r="H131" s="3" t="s">
        <v>27</v>
      </c>
      <c r="I131" s="3" t="s">
        <v>454</v>
      </c>
      <c r="J131" s="3" t="s">
        <v>4621</v>
      </c>
      <c r="K131" s="15"/>
      <c r="L131" s="4" t="s">
        <v>455</v>
      </c>
      <c r="M131" s="4">
        <v>191</v>
      </c>
      <c r="N131" s="2">
        <v>38</v>
      </c>
      <c r="O131" s="2">
        <v>1</v>
      </c>
      <c r="P131" s="2">
        <v>4</v>
      </c>
      <c r="Q131" s="2">
        <v>0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1</v>
      </c>
      <c r="X131" s="2">
        <v>0</v>
      </c>
      <c r="Y131" s="2">
        <v>0</v>
      </c>
      <c r="Z131" s="26" t="s">
        <v>5167</v>
      </c>
      <c r="AA131" s="31">
        <v>1881.02</v>
      </c>
    </row>
    <row r="132" spans="1:27" ht="16" x14ac:dyDescent="0.2">
      <c r="A132" s="3" t="s">
        <v>472</v>
      </c>
      <c r="B132" s="2" t="s">
        <v>473</v>
      </c>
      <c r="C132" s="2" t="s">
        <v>474</v>
      </c>
      <c r="D132" s="6">
        <v>1882</v>
      </c>
      <c r="E132" s="6">
        <v>1880</v>
      </c>
      <c r="F132" s="2">
        <v>0</v>
      </c>
      <c r="G132" s="2">
        <v>0</v>
      </c>
      <c r="H132" s="3" t="s">
        <v>27</v>
      </c>
      <c r="I132" s="3" t="s">
        <v>475</v>
      </c>
      <c r="J132" s="3" t="s">
        <v>4622</v>
      </c>
      <c r="K132" s="15"/>
      <c r="L132" s="4" t="s">
        <v>476</v>
      </c>
      <c r="M132" s="4">
        <v>86</v>
      </c>
      <c r="N132" s="2">
        <v>43</v>
      </c>
      <c r="O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6" t="s">
        <v>5167</v>
      </c>
      <c r="AA132" s="31">
        <v>1882.01</v>
      </c>
    </row>
    <row r="133" spans="1:27" ht="16" x14ac:dyDescent="0.2">
      <c r="A133" s="3" t="s">
        <v>456</v>
      </c>
      <c r="B133" s="2" t="s">
        <v>457</v>
      </c>
      <c r="C133" s="2" t="s">
        <v>458</v>
      </c>
      <c r="D133" s="6">
        <v>1882</v>
      </c>
      <c r="E133" s="6">
        <v>1880</v>
      </c>
      <c r="F133" s="2">
        <v>0</v>
      </c>
      <c r="G133" s="2">
        <v>0</v>
      </c>
      <c r="H133" s="3" t="s">
        <v>27</v>
      </c>
      <c r="I133" s="3" t="s">
        <v>459</v>
      </c>
      <c r="J133" s="3" t="s">
        <v>4623</v>
      </c>
      <c r="K133" s="15"/>
      <c r="L133" s="4" t="s">
        <v>314</v>
      </c>
      <c r="M133" s="4">
        <v>134</v>
      </c>
      <c r="N133" s="2">
        <v>41</v>
      </c>
      <c r="O133" s="2">
        <v>4</v>
      </c>
      <c r="P133" s="2">
        <v>1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1</v>
      </c>
      <c r="X133" s="2">
        <v>3</v>
      </c>
      <c r="Y133" s="2">
        <v>0</v>
      </c>
      <c r="Z133" s="26" t="s">
        <v>5167</v>
      </c>
      <c r="AA133" s="31">
        <v>1882.02</v>
      </c>
    </row>
    <row r="134" spans="1:27" ht="16" x14ac:dyDescent="0.2">
      <c r="A134" s="3" t="s">
        <v>460</v>
      </c>
      <c r="B134" s="2" t="s">
        <v>461</v>
      </c>
      <c r="C134" s="2" t="s">
        <v>458</v>
      </c>
      <c r="D134" s="6">
        <v>1882</v>
      </c>
      <c r="E134" s="6">
        <v>1880</v>
      </c>
      <c r="F134" s="2">
        <v>0</v>
      </c>
      <c r="G134" s="2">
        <v>0</v>
      </c>
      <c r="H134" s="3" t="s">
        <v>27</v>
      </c>
      <c r="I134" s="3" t="s">
        <v>5032</v>
      </c>
      <c r="J134" s="3" t="s">
        <v>5032</v>
      </c>
      <c r="K134" s="15"/>
      <c r="L134" s="4" t="s">
        <v>462</v>
      </c>
      <c r="M134" s="4">
        <f>11+(9*12)</f>
        <v>119</v>
      </c>
      <c r="N134" s="2">
        <v>42</v>
      </c>
      <c r="O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1</v>
      </c>
      <c r="X134" s="2">
        <v>0</v>
      </c>
      <c r="Y134" s="2">
        <v>0</v>
      </c>
      <c r="Z134" s="26" t="s">
        <v>5167</v>
      </c>
      <c r="AA134" s="31">
        <v>1882.03</v>
      </c>
    </row>
    <row r="135" spans="1:27" ht="16" x14ac:dyDescent="0.2">
      <c r="A135" s="3" t="s">
        <v>468</v>
      </c>
      <c r="B135" s="2" t="s">
        <v>469</v>
      </c>
      <c r="C135" s="2" t="s">
        <v>470</v>
      </c>
      <c r="D135" s="6">
        <v>1882</v>
      </c>
      <c r="E135" s="6">
        <v>1880</v>
      </c>
      <c r="F135" s="2">
        <v>0</v>
      </c>
      <c r="G135" s="2">
        <v>0</v>
      </c>
      <c r="H135" s="3" t="s">
        <v>27</v>
      </c>
      <c r="I135" s="3" t="s">
        <v>471</v>
      </c>
      <c r="J135" s="3" t="s">
        <v>4600</v>
      </c>
      <c r="K135" s="15"/>
      <c r="L135" s="4" t="s">
        <v>316</v>
      </c>
      <c r="M135" s="4">
        <v>256</v>
      </c>
      <c r="N135" s="2">
        <v>37</v>
      </c>
      <c r="O135" s="2">
        <v>1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6" t="s">
        <v>5167</v>
      </c>
      <c r="AA135" s="31">
        <v>1882.04</v>
      </c>
    </row>
    <row r="136" spans="1:27" ht="16" x14ac:dyDescent="0.2">
      <c r="A136" s="3" t="s">
        <v>463</v>
      </c>
      <c r="B136" s="2" t="s">
        <v>464</v>
      </c>
      <c r="C136" s="2" t="s">
        <v>465</v>
      </c>
      <c r="D136" s="6">
        <v>1882</v>
      </c>
      <c r="E136" s="6">
        <v>1880</v>
      </c>
      <c r="F136" s="2">
        <v>0</v>
      </c>
      <c r="G136" s="2">
        <v>0</v>
      </c>
      <c r="H136" s="3" t="s">
        <v>27</v>
      </c>
      <c r="I136" s="3" t="s">
        <v>466</v>
      </c>
      <c r="J136" s="3" t="s">
        <v>4624</v>
      </c>
      <c r="K136" s="15"/>
      <c r="L136" s="4" t="s">
        <v>467</v>
      </c>
      <c r="M136" s="4">
        <v>77</v>
      </c>
      <c r="N136" s="2">
        <v>44</v>
      </c>
      <c r="O136" s="2">
        <v>1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W136" s="2">
        <v>1</v>
      </c>
      <c r="X136" s="2">
        <v>1</v>
      </c>
      <c r="Y136" s="2">
        <v>1</v>
      </c>
      <c r="Z136" s="26" t="s">
        <v>5167</v>
      </c>
      <c r="AA136" s="31">
        <v>1882.05</v>
      </c>
    </row>
    <row r="137" spans="1:27" ht="16" x14ac:dyDescent="0.2">
      <c r="A137" s="3" t="s">
        <v>3601</v>
      </c>
      <c r="B137" s="2" t="s">
        <v>3602</v>
      </c>
      <c r="C137" s="2" t="s">
        <v>3603</v>
      </c>
      <c r="D137" s="6">
        <v>1883</v>
      </c>
      <c r="E137" s="6">
        <v>1880</v>
      </c>
      <c r="F137" s="2">
        <v>2</v>
      </c>
      <c r="G137" s="2">
        <v>1</v>
      </c>
      <c r="H137" s="3" t="s">
        <v>3434</v>
      </c>
      <c r="I137" s="3" t="s">
        <v>3604</v>
      </c>
      <c r="J137" s="3" t="s">
        <v>2506</v>
      </c>
      <c r="K137" s="15"/>
      <c r="L137" s="4" t="s">
        <v>520</v>
      </c>
      <c r="M137" s="4">
        <f>(11*12)+9</f>
        <v>141</v>
      </c>
      <c r="N137" s="2">
        <v>42</v>
      </c>
      <c r="O137" s="2">
        <v>1</v>
      </c>
      <c r="P137" s="2">
        <v>5</v>
      </c>
      <c r="Q137" s="2">
        <v>1</v>
      </c>
      <c r="R137" s="2">
        <v>1</v>
      </c>
      <c r="S137" s="2">
        <v>1</v>
      </c>
      <c r="T137" s="2">
        <v>0</v>
      </c>
      <c r="U137" s="2">
        <v>0</v>
      </c>
      <c r="V137" s="2">
        <v>1</v>
      </c>
      <c r="W137" s="2">
        <v>1</v>
      </c>
      <c r="X137" s="2">
        <v>0</v>
      </c>
      <c r="Y137" s="2">
        <v>0</v>
      </c>
      <c r="Z137" s="26" t="s">
        <v>5167</v>
      </c>
      <c r="AA137" s="31">
        <v>1883.01</v>
      </c>
    </row>
    <row r="138" spans="1:27" ht="16" x14ac:dyDescent="0.2">
      <c r="A138" s="3" t="s">
        <v>497</v>
      </c>
      <c r="B138" s="2" t="s">
        <v>498</v>
      </c>
      <c r="C138" s="2" t="s">
        <v>499</v>
      </c>
      <c r="D138" s="6">
        <v>1883</v>
      </c>
      <c r="E138" s="6">
        <v>1880</v>
      </c>
      <c r="F138" s="2">
        <v>0</v>
      </c>
      <c r="G138" s="2">
        <v>0</v>
      </c>
      <c r="H138" s="3" t="s">
        <v>27</v>
      </c>
      <c r="I138" s="3" t="s">
        <v>500</v>
      </c>
      <c r="J138" s="3" t="s">
        <v>4625</v>
      </c>
      <c r="K138" s="15"/>
      <c r="L138" s="4" t="s">
        <v>445</v>
      </c>
      <c r="M138" s="4">
        <v>98</v>
      </c>
      <c r="N138" s="2">
        <v>43</v>
      </c>
      <c r="O138" s="2">
        <v>1</v>
      </c>
      <c r="Q138" s="2">
        <v>0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6" t="s">
        <v>5167</v>
      </c>
      <c r="AA138" s="31">
        <v>1883.02</v>
      </c>
    </row>
    <row r="139" spans="1:27" ht="16" x14ac:dyDescent="0.2">
      <c r="A139" s="3" t="s">
        <v>477</v>
      </c>
      <c r="B139" s="2" t="s">
        <v>478</v>
      </c>
      <c r="C139" s="2" t="s">
        <v>479</v>
      </c>
      <c r="D139" s="6">
        <v>1883</v>
      </c>
      <c r="E139" s="6">
        <v>1880</v>
      </c>
      <c r="F139" s="2">
        <v>0</v>
      </c>
      <c r="G139" s="2">
        <v>0</v>
      </c>
      <c r="H139" s="3" t="s">
        <v>27</v>
      </c>
      <c r="I139" s="3" t="s">
        <v>480</v>
      </c>
      <c r="J139" s="3" t="s">
        <v>4626</v>
      </c>
      <c r="K139" s="15"/>
      <c r="L139" s="4" t="s">
        <v>481</v>
      </c>
      <c r="M139" s="4">
        <v>96</v>
      </c>
      <c r="N139" s="2">
        <v>44</v>
      </c>
      <c r="O139" s="2">
        <v>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</v>
      </c>
      <c r="Z139" s="26" t="s">
        <v>5167</v>
      </c>
      <c r="AA139" s="31">
        <v>1883.03</v>
      </c>
    </row>
    <row r="140" spans="1:27" ht="16" x14ac:dyDescent="0.2">
      <c r="A140" s="3" t="s">
        <v>482</v>
      </c>
      <c r="B140" s="2" t="s">
        <v>483</v>
      </c>
      <c r="C140" s="2" t="s">
        <v>484</v>
      </c>
      <c r="D140" s="6">
        <v>1883</v>
      </c>
      <c r="E140" s="6">
        <v>1880</v>
      </c>
      <c r="F140" s="2">
        <v>0</v>
      </c>
      <c r="G140" s="2">
        <v>0</v>
      </c>
      <c r="H140" s="3" t="s">
        <v>27</v>
      </c>
      <c r="I140" s="3" t="s">
        <v>485</v>
      </c>
      <c r="J140" s="3" t="s">
        <v>5005</v>
      </c>
      <c r="K140" s="15"/>
      <c r="L140" s="4" t="s">
        <v>486</v>
      </c>
      <c r="M140" s="4">
        <v>586</v>
      </c>
      <c r="N140" s="2">
        <v>23</v>
      </c>
      <c r="O140" s="2">
        <v>5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1</v>
      </c>
      <c r="X140" s="2">
        <v>0</v>
      </c>
      <c r="Y140" s="2">
        <v>1</v>
      </c>
      <c r="Z140" s="26" t="s">
        <v>5167</v>
      </c>
      <c r="AA140" s="31">
        <v>1883.04</v>
      </c>
    </row>
    <row r="141" spans="1:27" ht="16" x14ac:dyDescent="0.2">
      <c r="A141" s="3" t="s">
        <v>3605</v>
      </c>
      <c r="B141" s="2" t="s">
        <v>3606</v>
      </c>
      <c r="C141" s="2" t="s">
        <v>3607</v>
      </c>
      <c r="D141" s="6">
        <v>1883</v>
      </c>
      <c r="E141" s="6">
        <v>1880</v>
      </c>
      <c r="F141" s="2">
        <v>1</v>
      </c>
      <c r="G141" s="2">
        <v>1</v>
      </c>
      <c r="H141" s="3" t="s">
        <v>3442</v>
      </c>
      <c r="I141" s="3" t="s">
        <v>434</v>
      </c>
      <c r="J141" s="3" t="s">
        <v>4620</v>
      </c>
      <c r="K141" s="15"/>
      <c r="L141" s="4" t="s">
        <v>435</v>
      </c>
      <c r="M141" s="4">
        <v>103</v>
      </c>
      <c r="N141" s="2">
        <v>43</v>
      </c>
      <c r="O141" s="2">
        <v>3</v>
      </c>
      <c r="P141" s="2">
        <v>5</v>
      </c>
      <c r="Q141" s="2">
        <v>1</v>
      </c>
      <c r="R141" s="2">
        <v>1</v>
      </c>
      <c r="S141" s="2">
        <v>1</v>
      </c>
      <c r="T141" s="2">
        <v>0</v>
      </c>
      <c r="U141" s="2">
        <v>0</v>
      </c>
      <c r="V141" s="2">
        <v>1</v>
      </c>
      <c r="W141" s="2">
        <v>1</v>
      </c>
      <c r="X141" s="2">
        <v>1</v>
      </c>
      <c r="Y141" s="2">
        <v>0</v>
      </c>
      <c r="Z141" s="26" t="s">
        <v>5167</v>
      </c>
      <c r="AA141" s="31">
        <v>1883.05</v>
      </c>
    </row>
    <row r="142" spans="1:27" ht="16" x14ac:dyDescent="0.2">
      <c r="A142" s="3" t="s">
        <v>487</v>
      </c>
      <c r="B142" s="2" t="s">
        <v>488</v>
      </c>
      <c r="C142" s="2" t="s">
        <v>489</v>
      </c>
      <c r="D142" s="6">
        <v>1883</v>
      </c>
      <c r="E142" s="6">
        <v>1880</v>
      </c>
      <c r="F142" s="2">
        <v>0</v>
      </c>
      <c r="G142" s="2">
        <v>0</v>
      </c>
      <c r="H142" s="3" t="s">
        <v>27</v>
      </c>
      <c r="I142" s="3" t="s">
        <v>490</v>
      </c>
      <c r="J142" s="3" t="s">
        <v>4627</v>
      </c>
      <c r="K142" s="15"/>
      <c r="L142" s="4" t="s">
        <v>491</v>
      </c>
      <c r="M142" s="4">
        <v>177</v>
      </c>
      <c r="N142" s="2">
        <v>40</v>
      </c>
      <c r="O142" s="2">
        <v>5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6" t="s">
        <v>5167</v>
      </c>
      <c r="AA142" s="31">
        <v>1883.06</v>
      </c>
    </row>
    <row r="143" spans="1:27" ht="16" x14ac:dyDescent="0.2">
      <c r="A143" s="3" t="s">
        <v>492</v>
      </c>
      <c r="B143" s="2" t="s">
        <v>493</v>
      </c>
      <c r="C143" s="2" t="s">
        <v>494</v>
      </c>
      <c r="D143" s="6">
        <v>1883</v>
      </c>
      <c r="E143" s="6">
        <v>1880</v>
      </c>
      <c r="F143" s="2">
        <v>0</v>
      </c>
      <c r="G143" s="2">
        <v>0</v>
      </c>
      <c r="H143" s="3" t="s">
        <v>27</v>
      </c>
      <c r="I143" s="3" t="s">
        <v>495</v>
      </c>
      <c r="J143" s="3" t="s">
        <v>4628</v>
      </c>
      <c r="K143" s="15"/>
      <c r="L143" s="4" t="s">
        <v>496</v>
      </c>
      <c r="M143" s="4">
        <v>161</v>
      </c>
      <c r="N143" s="2">
        <v>41</v>
      </c>
      <c r="O143" s="2">
        <v>1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1</v>
      </c>
      <c r="X143" s="2">
        <v>0</v>
      </c>
      <c r="Y143" s="2">
        <v>0</v>
      </c>
      <c r="Z143" s="26" t="s">
        <v>5167</v>
      </c>
      <c r="AA143" s="31">
        <v>1883.07</v>
      </c>
    </row>
    <row r="144" spans="1:27" ht="16" x14ac:dyDescent="0.2">
      <c r="A144" s="3" t="s">
        <v>526</v>
      </c>
      <c r="B144" s="2" t="s">
        <v>527</v>
      </c>
      <c r="C144" s="2" t="s">
        <v>519</v>
      </c>
      <c r="D144" s="6">
        <v>1884</v>
      </c>
      <c r="E144" s="6">
        <v>1880</v>
      </c>
      <c r="F144" s="2">
        <v>0</v>
      </c>
      <c r="G144" s="2">
        <v>0</v>
      </c>
      <c r="H144" s="3" t="s">
        <v>27</v>
      </c>
      <c r="I144" s="3" t="s">
        <v>5034</v>
      </c>
      <c r="J144" s="3" t="s">
        <v>528</v>
      </c>
      <c r="K144" s="15"/>
      <c r="L144" s="4" t="s">
        <v>529</v>
      </c>
      <c r="M144" s="4">
        <v>45</v>
      </c>
      <c r="N144" s="2">
        <v>45</v>
      </c>
      <c r="O144" s="2">
        <v>5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  <c r="Y144" s="2">
        <v>1</v>
      </c>
      <c r="Z144" s="26" t="s">
        <v>5167</v>
      </c>
      <c r="AA144" s="31">
        <v>1884.01</v>
      </c>
    </row>
    <row r="145" spans="1:27" ht="16" x14ac:dyDescent="0.2">
      <c r="A145" s="3" t="s">
        <v>530</v>
      </c>
      <c r="B145" s="2" t="s">
        <v>531</v>
      </c>
      <c r="C145" s="2" t="s">
        <v>519</v>
      </c>
      <c r="D145" s="6">
        <v>1884</v>
      </c>
      <c r="E145" s="6">
        <v>1880</v>
      </c>
      <c r="F145" s="2">
        <v>0</v>
      </c>
      <c r="G145" s="2">
        <v>0</v>
      </c>
      <c r="H145" s="3" t="s">
        <v>27</v>
      </c>
      <c r="I145" s="3" t="s">
        <v>532</v>
      </c>
      <c r="J145" s="3" t="s">
        <v>4629</v>
      </c>
      <c r="K145" s="15"/>
      <c r="L145" s="4" t="s">
        <v>533</v>
      </c>
      <c r="M145" s="4">
        <v>214</v>
      </c>
      <c r="N145" s="2">
        <v>39</v>
      </c>
      <c r="O145" s="2">
        <v>5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  <c r="X145" s="2">
        <v>1</v>
      </c>
      <c r="Y145" s="2">
        <v>0</v>
      </c>
      <c r="Z145" s="26" t="s">
        <v>5167</v>
      </c>
      <c r="AA145" s="31">
        <v>1884.02</v>
      </c>
    </row>
    <row r="146" spans="1:27" ht="16" x14ac:dyDescent="0.2">
      <c r="A146" s="3" t="s">
        <v>517</v>
      </c>
      <c r="B146" s="2" t="s">
        <v>518</v>
      </c>
      <c r="C146" s="2" t="s">
        <v>519</v>
      </c>
      <c r="D146" s="6">
        <v>1884</v>
      </c>
      <c r="E146" s="6">
        <v>1880</v>
      </c>
      <c r="F146" s="2">
        <v>0</v>
      </c>
      <c r="G146" s="2">
        <v>0</v>
      </c>
      <c r="H146" s="3" t="s">
        <v>27</v>
      </c>
      <c r="I146" s="3" t="s">
        <v>3604</v>
      </c>
      <c r="J146" s="3" t="s">
        <v>2506</v>
      </c>
      <c r="K146" s="15"/>
      <c r="L146" s="4" t="s">
        <v>520</v>
      </c>
      <c r="M146" s="4">
        <f>144+11</f>
        <v>155</v>
      </c>
      <c r="N146" s="2">
        <v>42</v>
      </c>
      <c r="O146" s="2">
        <v>1</v>
      </c>
      <c r="P146" s="2">
        <v>3</v>
      </c>
      <c r="Q146" s="2">
        <v>1</v>
      </c>
      <c r="R146" s="2">
        <v>1</v>
      </c>
      <c r="S146" s="2">
        <v>1</v>
      </c>
      <c r="T146" s="2">
        <v>0</v>
      </c>
      <c r="U146" s="2">
        <v>0</v>
      </c>
      <c r="V146" s="2">
        <v>0</v>
      </c>
      <c r="W146" s="2">
        <v>1</v>
      </c>
      <c r="X146" s="2">
        <v>0</v>
      </c>
      <c r="Y146" s="2">
        <v>0</v>
      </c>
      <c r="Z146" s="26" t="s">
        <v>5167</v>
      </c>
      <c r="AA146" s="31">
        <v>1884.03</v>
      </c>
    </row>
    <row r="147" spans="1:27" ht="16" x14ac:dyDescent="0.2">
      <c r="A147" s="3" t="s">
        <v>505</v>
      </c>
      <c r="B147" s="2" t="s">
        <v>506</v>
      </c>
      <c r="C147" s="2" t="s">
        <v>507</v>
      </c>
      <c r="D147" s="6">
        <v>1884</v>
      </c>
      <c r="E147" s="6">
        <v>1880</v>
      </c>
      <c r="F147" s="2">
        <v>0</v>
      </c>
      <c r="G147" s="2">
        <v>0</v>
      </c>
      <c r="H147" s="3" t="s">
        <v>27</v>
      </c>
      <c r="I147" s="3" t="s">
        <v>5033</v>
      </c>
      <c r="J147" s="3" t="s">
        <v>4619</v>
      </c>
      <c r="K147" s="15"/>
      <c r="L147" s="4" t="s">
        <v>445</v>
      </c>
      <c r="M147" s="4">
        <f>108+1</f>
        <v>109</v>
      </c>
      <c r="N147" s="2">
        <v>43</v>
      </c>
      <c r="O147" s="2">
        <v>6</v>
      </c>
      <c r="Q147" s="2">
        <v>0</v>
      </c>
      <c r="R147" s="2">
        <v>0</v>
      </c>
      <c r="S147" s="2">
        <v>0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6" t="s">
        <v>5167</v>
      </c>
      <c r="AA147" s="31">
        <v>1884.04</v>
      </c>
    </row>
    <row r="148" spans="1:27" ht="16" x14ac:dyDescent="0.2">
      <c r="A148" s="3" t="s">
        <v>501</v>
      </c>
      <c r="B148" s="2" t="s">
        <v>502</v>
      </c>
      <c r="C148" s="2" t="s">
        <v>503</v>
      </c>
      <c r="D148" s="6">
        <v>1884</v>
      </c>
      <c r="E148" s="6">
        <v>1880</v>
      </c>
      <c r="F148" s="2">
        <v>0</v>
      </c>
      <c r="G148" s="2">
        <v>0</v>
      </c>
      <c r="H148" s="3" t="s">
        <v>27</v>
      </c>
      <c r="I148" s="3" t="s">
        <v>504</v>
      </c>
      <c r="J148" s="3" t="s">
        <v>4619</v>
      </c>
      <c r="K148" s="15"/>
      <c r="L148" s="4" t="s">
        <v>445</v>
      </c>
      <c r="M148" s="4">
        <v>110</v>
      </c>
      <c r="N148" s="2">
        <v>43</v>
      </c>
      <c r="O148" s="2">
        <v>5</v>
      </c>
      <c r="P148" s="2">
        <v>4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26" t="s">
        <v>5167</v>
      </c>
      <c r="AA148" s="31">
        <v>1884.05</v>
      </c>
    </row>
    <row r="149" spans="1:27" ht="16" x14ac:dyDescent="0.2">
      <c r="A149" s="3" t="s">
        <v>508</v>
      </c>
      <c r="B149" s="2" t="s">
        <v>509</v>
      </c>
      <c r="C149" s="2" t="s">
        <v>510</v>
      </c>
      <c r="D149" s="6">
        <v>1884</v>
      </c>
      <c r="E149" s="6">
        <v>1880</v>
      </c>
      <c r="F149" s="2">
        <v>0</v>
      </c>
      <c r="G149" s="2">
        <v>0</v>
      </c>
      <c r="H149" s="3" t="s">
        <v>27</v>
      </c>
      <c r="I149" s="3" t="s">
        <v>5035</v>
      </c>
      <c r="J149" s="3" t="s">
        <v>4630</v>
      </c>
      <c r="K149" s="15"/>
      <c r="L149" s="4" t="s">
        <v>511</v>
      </c>
      <c r="M149" s="4">
        <v>117</v>
      </c>
      <c r="N149" s="2">
        <v>43</v>
      </c>
      <c r="O149" s="2">
        <v>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6" t="s">
        <v>5167</v>
      </c>
      <c r="AA149" s="31">
        <v>1884.06</v>
      </c>
    </row>
    <row r="150" spans="1:27" ht="16" x14ac:dyDescent="0.2">
      <c r="A150" s="3" t="s">
        <v>521</v>
      </c>
      <c r="B150" s="2" t="s">
        <v>522</v>
      </c>
      <c r="C150" s="2" t="s">
        <v>523</v>
      </c>
      <c r="D150" s="6">
        <v>1884</v>
      </c>
      <c r="E150" s="6">
        <v>1880</v>
      </c>
      <c r="F150" s="2">
        <v>0</v>
      </c>
      <c r="G150" s="2">
        <v>0</v>
      </c>
      <c r="H150" s="3" t="s">
        <v>27</v>
      </c>
      <c r="I150" s="3" t="s">
        <v>524</v>
      </c>
      <c r="J150" s="3" t="s">
        <v>4631</v>
      </c>
      <c r="K150" s="15"/>
      <c r="L150" s="4" t="s">
        <v>525</v>
      </c>
      <c r="M150" s="4">
        <v>72</v>
      </c>
      <c r="N150" s="2">
        <v>45</v>
      </c>
      <c r="O150" s="2">
        <v>4</v>
      </c>
      <c r="Q150" s="2">
        <v>0</v>
      </c>
      <c r="R150" s="2">
        <v>0</v>
      </c>
      <c r="S150" s="2">
        <v>0</v>
      </c>
      <c r="T150" s="2">
        <v>0</v>
      </c>
      <c r="U150" s="2">
        <v>1</v>
      </c>
      <c r="V150" s="2">
        <v>0</v>
      </c>
      <c r="W150" s="2">
        <v>0</v>
      </c>
      <c r="X150" s="2">
        <v>0</v>
      </c>
      <c r="Y150" s="2">
        <v>1</v>
      </c>
      <c r="Z150" s="26" t="s">
        <v>5167</v>
      </c>
      <c r="AA150" s="31">
        <v>1884.07</v>
      </c>
    </row>
    <row r="151" spans="1:27" ht="16" x14ac:dyDescent="0.2">
      <c r="A151" s="3" t="s">
        <v>512</v>
      </c>
      <c r="B151" s="2" t="s">
        <v>513</v>
      </c>
      <c r="C151" s="2" t="s">
        <v>514</v>
      </c>
      <c r="D151" s="6">
        <v>1884</v>
      </c>
      <c r="E151" s="6">
        <v>1880</v>
      </c>
      <c r="F151" s="2">
        <v>0</v>
      </c>
      <c r="G151" s="2">
        <v>0</v>
      </c>
      <c r="H151" s="3" t="s">
        <v>27</v>
      </c>
      <c r="I151" s="3" t="s">
        <v>515</v>
      </c>
      <c r="J151" s="3" t="s">
        <v>4632</v>
      </c>
      <c r="K151" s="15"/>
      <c r="L151" s="4" t="s">
        <v>516</v>
      </c>
      <c r="M151" s="4">
        <v>28</v>
      </c>
      <c r="N151" s="2">
        <v>47</v>
      </c>
      <c r="O151" s="2">
        <v>4</v>
      </c>
      <c r="Q151" s="2">
        <v>1</v>
      </c>
      <c r="R151" s="2">
        <v>1</v>
      </c>
      <c r="S151" s="2">
        <v>1</v>
      </c>
      <c r="T151" s="2">
        <v>0</v>
      </c>
      <c r="U151" s="2">
        <v>0</v>
      </c>
      <c r="V151" s="2">
        <v>0</v>
      </c>
      <c r="W151" s="2">
        <v>1</v>
      </c>
      <c r="X151" s="2">
        <v>0</v>
      </c>
      <c r="Y151" s="2">
        <v>0</v>
      </c>
      <c r="Z151" s="26" t="s">
        <v>5167</v>
      </c>
      <c r="AA151" s="31">
        <v>1884.08</v>
      </c>
    </row>
    <row r="152" spans="1:27" ht="16" x14ac:dyDescent="0.2">
      <c r="A152" s="3" t="s">
        <v>3608</v>
      </c>
      <c r="B152" s="3" t="s">
        <v>3609</v>
      </c>
      <c r="C152" s="3" t="s">
        <v>3610</v>
      </c>
      <c r="D152" s="6">
        <v>1884</v>
      </c>
      <c r="E152" s="6">
        <v>1880</v>
      </c>
      <c r="F152" s="2">
        <v>1</v>
      </c>
      <c r="G152" s="2">
        <v>1</v>
      </c>
      <c r="H152" s="3" t="s">
        <v>3442</v>
      </c>
      <c r="I152" s="3" t="s">
        <v>3611</v>
      </c>
      <c r="J152" s="3" t="s">
        <v>3611</v>
      </c>
      <c r="K152" s="15"/>
      <c r="L152" s="4" t="s">
        <v>3612</v>
      </c>
      <c r="M152" s="4">
        <f>(12*26)+8</f>
        <v>320</v>
      </c>
      <c r="N152" s="2">
        <v>35</v>
      </c>
      <c r="O152" s="2">
        <v>4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1</v>
      </c>
      <c r="Z152" s="26" t="s">
        <v>5167</v>
      </c>
      <c r="AA152" s="31">
        <v>1884.09</v>
      </c>
    </row>
    <row r="153" spans="1:27" ht="16" x14ac:dyDescent="0.2">
      <c r="A153" s="3" t="s">
        <v>534</v>
      </c>
      <c r="B153" s="2" t="s">
        <v>535</v>
      </c>
      <c r="C153" s="2" t="s">
        <v>536</v>
      </c>
      <c r="D153" s="6">
        <v>1885</v>
      </c>
      <c r="E153" s="6">
        <v>1880</v>
      </c>
      <c r="F153" s="2">
        <v>0</v>
      </c>
      <c r="G153" s="2">
        <v>0</v>
      </c>
      <c r="H153" s="3" t="s">
        <v>27</v>
      </c>
      <c r="I153" s="3" t="s">
        <v>537</v>
      </c>
      <c r="J153" s="3" t="s">
        <v>4633</v>
      </c>
      <c r="K153" s="15"/>
      <c r="L153" s="4" t="s">
        <v>538</v>
      </c>
      <c r="M153" s="4">
        <v>36</v>
      </c>
      <c r="N153" s="2">
        <v>47</v>
      </c>
      <c r="O153" s="2">
        <v>3</v>
      </c>
      <c r="P153" s="2">
        <v>1</v>
      </c>
      <c r="Q153" s="2">
        <v>1</v>
      </c>
      <c r="R153" s="2">
        <v>1</v>
      </c>
      <c r="S153" s="2">
        <v>1</v>
      </c>
      <c r="T153" s="2">
        <v>0</v>
      </c>
      <c r="U153" s="2">
        <v>1</v>
      </c>
      <c r="V153" s="2">
        <v>0</v>
      </c>
      <c r="W153" s="2">
        <v>1</v>
      </c>
      <c r="X153" s="2">
        <v>0</v>
      </c>
      <c r="Y153" s="2">
        <v>0</v>
      </c>
      <c r="Z153" s="26" t="s">
        <v>5167</v>
      </c>
      <c r="AA153" s="31">
        <v>1885.01</v>
      </c>
    </row>
    <row r="154" spans="1:27" ht="16" x14ac:dyDescent="0.2">
      <c r="A154" s="3" t="s">
        <v>543</v>
      </c>
      <c r="B154" s="2" t="s">
        <v>544</v>
      </c>
      <c r="C154" s="2" t="s">
        <v>545</v>
      </c>
      <c r="D154" s="6">
        <v>1885</v>
      </c>
      <c r="E154" s="6">
        <v>1880</v>
      </c>
      <c r="F154" s="2">
        <v>0</v>
      </c>
      <c r="G154" s="2">
        <v>0</v>
      </c>
      <c r="H154" s="3" t="s">
        <v>27</v>
      </c>
      <c r="I154" s="3" t="s">
        <v>546</v>
      </c>
      <c r="J154" s="3" t="s">
        <v>546</v>
      </c>
      <c r="K154" s="15"/>
      <c r="L154" s="4" t="s">
        <v>547</v>
      </c>
      <c r="M154" s="4">
        <f>(12*14)+10</f>
        <v>178</v>
      </c>
      <c r="N154" s="2">
        <v>41</v>
      </c>
      <c r="O154" s="2">
        <v>6</v>
      </c>
      <c r="P154" s="2">
        <v>1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6" t="s">
        <v>5167</v>
      </c>
      <c r="AA154" s="31">
        <v>1885.02</v>
      </c>
    </row>
    <row r="155" spans="1:27" ht="16" x14ac:dyDescent="0.2">
      <c r="A155" s="3" t="s">
        <v>539</v>
      </c>
      <c r="B155" s="2" t="s">
        <v>540</v>
      </c>
      <c r="C155" s="2" t="s">
        <v>541</v>
      </c>
      <c r="D155" s="6">
        <v>1885</v>
      </c>
      <c r="E155" s="6">
        <v>1880</v>
      </c>
      <c r="F155" s="2">
        <v>0</v>
      </c>
      <c r="G155" s="2">
        <v>0</v>
      </c>
      <c r="H155" s="3" t="s">
        <v>27</v>
      </c>
      <c r="I155" s="21" t="s">
        <v>542</v>
      </c>
      <c r="J155" s="21" t="s">
        <v>4635</v>
      </c>
      <c r="K155" s="20"/>
      <c r="L155" s="4" t="s">
        <v>4634</v>
      </c>
      <c r="M155" s="4">
        <v>184</v>
      </c>
      <c r="N155" s="2">
        <v>41</v>
      </c>
      <c r="O155" s="2">
        <v>4</v>
      </c>
      <c r="P155" s="2">
        <v>5</v>
      </c>
      <c r="Q155" s="2">
        <v>0</v>
      </c>
      <c r="R155" s="2">
        <v>0</v>
      </c>
      <c r="S155" s="2">
        <v>0</v>
      </c>
      <c r="T155" s="2">
        <v>0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  <c r="Z155" s="26" t="s">
        <v>5167</v>
      </c>
      <c r="AA155" s="31">
        <v>1885.03</v>
      </c>
    </row>
    <row r="156" spans="1:27" ht="16" x14ac:dyDescent="0.2">
      <c r="A156" s="3" t="s">
        <v>548</v>
      </c>
      <c r="B156" s="2" t="s">
        <v>549</v>
      </c>
      <c r="C156" s="2" t="s">
        <v>550</v>
      </c>
      <c r="D156" s="6">
        <v>1886</v>
      </c>
      <c r="E156" s="6">
        <v>1880</v>
      </c>
      <c r="F156" s="2">
        <v>0</v>
      </c>
      <c r="G156" s="2">
        <v>0</v>
      </c>
      <c r="H156" s="3" t="s">
        <v>27</v>
      </c>
      <c r="I156" s="3" t="s">
        <v>551</v>
      </c>
      <c r="J156" s="3" t="s">
        <v>4636</v>
      </c>
      <c r="K156" s="15"/>
      <c r="L156" s="4" t="s">
        <v>552</v>
      </c>
      <c r="M156" s="4">
        <v>107</v>
      </c>
      <c r="N156" s="2">
        <v>44</v>
      </c>
      <c r="O156" s="2">
        <v>5</v>
      </c>
      <c r="P156" s="2">
        <v>4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1</v>
      </c>
      <c r="X156" s="2">
        <v>0</v>
      </c>
      <c r="Y156" s="2">
        <v>1</v>
      </c>
      <c r="Z156" s="26" t="s">
        <v>5167</v>
      </c>
      <c r="AA156" s="31">
        <v>1886.01</v>
      </c>
    </row>
    <row r="157" spans="1:27" ht="16" x14ac:dyDescent="0.2">
      <c r="A157" s="3" t="s">
        <v>569</v>
      </c>
      <c r="B157" s="2" t="s">
        <v>570</v>
      </c>
      <c r="C157" s="2" t="s">
        <v>571</v>
      </c>
      <c r="D157" s="6">
        <v>1886</v>
      </c>
      <c r="E157" s="6">
        <v>1880</v>
      </c>
      <c r="F157" s="2">
        <v>0</v>
      </c>
      <c r="G157" s="2">
        <v>0</v>
      </c>
      <c r="H157" s="3" t="s">
        <v>27</v>
      </c>
      <c r="I157" s="3" t="s">
        <v>572</v>
      </c>
      <c r="J157" s="3" t="s">
        <v>4637</v>
      </c>
      <c r="K157" s="15"/>
      <c r="L157" s="4" t="s">
        <v>573</v>
      </c>
      <c r="M157" s="4">
        <f>(12*21)+6</f>
        <v>258</v>
      </c>
      <c r="N157" s="2">
        <v>39</v>
      </c>
      <c r="O157" s="2">
        <v>6</v>
      </c>
      <c r="Q157" s="2">
        <v>0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1</v>
      </c>
      <c r="X157" s="2">
        <v>0</v>
      </c>
      <c r="Y157" s="2">
        <v>0</v>
      </c>
      <c r="Z157" s="26" t="s">
        <v>5167</v>
      </c>
      <c r="AA157" s="31">
        <v>1886.02</v>
      </c>
    </row>
    <row r="158" spans="1:27" ht="16" x14ac:dyDescent="0.2">
      <c r="A158" s="3" t="s">
        <v>3613</v>
      </c>
      <c r="B158" s="2" t="s">
        <v>3614</v>
      </c>
      <c r="C158" s="2" t="s">
        <v>3615</v>
      </c>
      <c r="D158" s="6">
        <v>1886</v>
      </c>
      <c r="E158" s="6">
        <v>1880</v>
      </c>
      <c r="F158" s="2">
        <v>1</v>
      </c>
      <c r="G158" s="2">
        <v>1</v>
      </c>
      <c r="H158" s="3" t="s">
        <v>3442</v>
      </c>
      <c r="I158" s="3" t="s">
        <v>3616</v>
      </c>
      <c r="J158" s="3" t="s">
        <v>4638</v>
      </c>
      <c r="K158" s="15"/>
      <c r="L158" s="4" t="s">
        <v>3617</v>
      </c>
      <c r="M158" s="4">
        <v>139</v>
      </c>
      <c r="N158" s="2">
        <v>43</v>
      </c>
      <c r="O158" s="2">
        <v>1</v>
      </c>
      <c r="Q158" s="2">
        <v>0</v>
      </c>
      <c r="R158" s="2">
        <v>0</v>
      </c>
      <c r="S158" s="2">
        <v>1</v>
      </c>
      <c r="T158" s="2">
        <v>0</v>
      </c>
      <c r="U158" s="2">
        <v>1</v>
      </c>
      <c r="V158" s="2">
        <v>1</v>
      </c>
      <c r="W158" s="2">
        <v>1</v>
      </c>
      <c r="X158" s="2">
        <v>0</v>
      </c>
      <c r="Y158" s="2">
        <v>0</v>
      </c>
      <c r="Z158" s="26" t="s">
        <v>5167</v>
      </c>
      <c r="AA158" s="31">
        <v>1886.03</v>
      </c>
    </row>
    <row r="159" spans="1:27" ht="16" x14ac:dyDescent="0.2">
      <c r="A159" s="3" t="s">
        <v>557</v>
      </c>
      <c r="B159" s="2" t="s">
        <v>558</v>
      </c>
      <c r="C159" s="2" t="s">
        <v>559</v>
      </c>
      <c r="D159" s="6">
        <v>1886</v>
      </c>
      <c r="E159" s="6">
        <v>1880</v>
      </c>
      <c r="F159" s="2">
        <v>0</v>
      </c>
      <c r="G159" s="2">
        <v>0</v>
      </c>
      <c r="H159" s="3" t="s">
        <v>27</v>
      </c>
      <c r="I159" s="3" t="s">
        <v>560</v>
      </c>
      <c r="J159" s="3" t="s">
        <v>4603</v>
      </c>
      <c r="K159" s="15"/>
      <c r="L159" s="4" t="s">
        <v>341</v>
      </c>
      <c r="M159" s="4">
        <v>212</v>
      </c>
      <c r="N159" s="2">
        <v>40</v>
      </c>
      <c r="O159" s="2">
        <v>4</v>
      </c>
      <c r="Q159" s="2">
        <v>0</v>
      </c>
      <c r="R159" s="2">
        <v>0</v>
      </c>
      <c r="S159" s="2">
        <v>1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  <c r="Y159" s="2">
        <v>0</v>
      </c>
      <c r="Z159" s="26" t="s">
        <v>5167</v>
      </c>
      <c r="AA159" s="31">
        <v>1886.04</v>
      </c>
    </row>
    <row r="160" spans="1:27" ht="16" x14ac:dyDescent="0.2">
      <c r="A160" s="3" t="s">
        <v>561</v>
      </c>
      <c r="B160" s="2" t="s">
        <v>562</v>
      </c>
      <c r="C160" s="2" t="s">
        <v>563</v>
      </c>
      <c r="D160" s="6">
        <v>1886</v>
      </c>
      <c r="E160" s="6">
        <v>1880</v>
      </c>
      <c r="F160" s="2">
        <v>0</v>
      </c>
      <c r="G160" s="2">
        <v>0</v>
      </c>
      <c r="H160" s="3" t="s">
        <v>27</v>
      </c>
      <c r="I160" s="3" t="s">
        <v>4639</v>
      </c>
      <c r="J160" s="3" t="s">
        <v>414</v>
      </c>
      <c r="K160" s="15"/>
      <c r="L160" s="4" t="s">
        <v>415</v>
      </c>
      <c r="M160" s="4">
        <v>97</v>
      </c>
      <c r="N160" s="2">
        <v>45</v>
      </c>
      <c r="O160" s="2">
        <v>4</v>
      </c>
      <c r="Q160" s="2">
        <v>0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1</v>
      </c>
      <c r="X160" s="2">
        <v>0</v>
      </c>
      <c r="Y160" s="2">
        <v>1</v>
      </c>
      <c r="Z160" s="26" t="s">
        <v>5167</v>
      </c>
      <c r="AA160" s="31">
        <v>1886.05</v>
      </c>
    </row>
    <row r="161" spans="1:27" ht="16" x14ac:dyDescent="0.2">
      <c r="A161" s="3" t="s">
        <v>564</v>
      </c>
      <c r="B161" s="2" t="s">
        <v>565</v>
      </c>
      <c r="C161" s="2" t="s">
        <v>566</v>
      </c>
      <c r="D161" s="6">
        <v>1886</v>
      </c>
      <c r="E161" s="6">
        <v>1880</v>
      </c>
      <c r="F161" s="2">
        <v>0</v>
      </c>
      <c r="G161" s="2">
        <v>0</v>
      </c>
      <c r="H161" s="3" t="s">
        <v>27</v>
      </c>
      <c r="I161" s="3" t="s">
        <v>567</v>
      </c>
      <c r="J161" s="3" t="s">
        <v>2733</v>
      </c>
      <c r="K161" s="15"/>
      <c r="L161" s="4" t="s">
        <v>568</v>
      </c>
      <c r="M161" s="4">
        <v>14</v>
      </c>
      <c r="N161" s="2">
        <v>48</v>
      </c>
      <c r="O161" s="2">
        <v>5</v>
      </c>
      <c r="P161" s="2">
        <v>1</v>
      </c>
      <c r="Q161" s="2">
        <v>0</v>
      </c>
      <c r="R161" s="2">
        <v>0</v>
      </c>
      <c r="S161" s="2">
        <v>1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  <c r="Y161" s="2">
        <v>1</v>
      </c>
      <c r="Z161" s="26" t="s">
        <v>5167</v>
      </c>
      <c r="AA161" s="31">
        <v>1886.06</v>
      </c>
    </row>
    <row r="162" spans="1:27" ht="16" x14ac:dyDescent="0.2">
      <c r="A162" s="3" t="s">
        <v>553</v>
      </c>
      <c r="B162" s="2" t="s">
        <v>554</v>
      </c>
      <c r="C162" s="2" t="s">
        <v>555</v>
      </c>
      <c r="D162" s="6">
        <v>1886</v>
      </c>
      <c r="E162" s="6">
        <v>1880</v>
      </c>
      <c r="F162" s="2">
        <v>0</v>
      </c>
      <c r="G162" s="2">
        <v>0</v>
      </c>
      <c r="H162" s="3" t="s">
        <v>27</v>
      </c>
      <c r="I162" s="3" t="s">
        <v>556</v>
      </c>
      <c r="J162" s="3" t="s">
        <v>4604</v>
      </c>
      <c r="K162" s="15"/>
      <c r="L162" s="4" t="s">
        <v>331</v>
      </c>
      <c r="M162" s="4">
        <v>214</v>
      </c>
      <c r="N162" s="2">
        <v>40</v>
      </c>
      <c r="O162" s="2">
        <v>6</v>
      </c>
      <c r="Q162" s="2">
        <v>0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2">
        <v>1</v>
      </c>
      <c r="X162" s="2">
        <v>0</v>
      </c>
      <c r="Y162" s="2">
        <v>0</v>
      </c>
      <c r="Z162" s="26" t="s">
        <v>5167</v>
      </c>
      <c r="AA162" s="31">
        <v>1886.07</v>
      </c>
    </row>
    <row r="163" spans="1:27" ht="16" x14ac:dyDescent="0.2">
      <c r="A163" s="3" t="s">
        <v>574</v>
      </c>
      <c r="B163" s="2" t="s">
        <v>575</v>
      </c>
      <c r="C163" s="2" t="s">
        <v>576</v>
      </c>
      <c r="D163" s="6">
        <v>1887</v>
      </c>
      <c r="E163" s="6">
        <v>1880</v>
      </c>
      <c r="F163" s="2">
        <v>0</v>
      </c>
      <c r="G163" s="2">
        <v>0</v>
      </c>
      <c r="H163" s="3" t="s">
        <v>27</v>
      </c>
      <c r="I163" s="3" t="s">
        <v>577</v>
      </c>
      <c r="J163" s="3" t="s">
        <v>4640</v>
      </c>
      <c r="K163" s="15"/>
      <c r="L163" s="4" t="s">
        <v>578</v>
      </c>
      <c r="M163" s="4">
        <v>33</v>
      </c>
      <c r="N163" s="2">
        <v>48</v>
      </c>
      <c r="O163" s="2">
        <v>1</v>
      </c>
      <c r="P163" s="2">
        <v>5</v>
      </c>
      <c r="Q163" s="2">
        <v>0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1</v>
      </c>
      <c r="X163" s="2">
        <v>0</v>
      </c>
      <c r="Y163" s="2">
        <v>1</v>
      </c>
      <c r="Z163" s="26" t="s">
        <v>5167</v>
      </c>
      <c r="AA163" s="31">
        <v>1887.01</v>
      </c>
    </row>
    <row r="164" spans="1:27" ht="16" x14ac:dyDescent="0.2">
      <c r="A164" s="3" t="s">
        <v>3618</v>
      </c>
      <c r="B164" s="2" t="s">
        <v>3619</v>
      </c>
      <c r="C164" s="2" t="s">
        <v>576</v>
      </c>
      <c r="D164" s="6">
        <v>1887</v>
      </c>
      <c r="E164" s="6">
        <v>1880</v>
      </c>
      <c r="F164" s="2">
        <v>2</v>
      </c>
      <c r="G164" s="2">
        <v>1</v>
      </c>
      <c r="H164" s="3" t="s">
        <v>3434</v>
      </c>
      <c r="I164" s="3" t="s">
        <v>3604</v>
      </c>
      <c r="J164" s="3" t="s">
        <v>2506</v>
      </c>
      <c r="K164" s="15"/>
      <c r="L164" s="4" t="s">
        <v>520</v>
      </c>
      <c r="M164" s="4">
        <f>(11*12)+11</f>
        <v>143</v>
      </c>
      <c r="N164" s="2">
        <v>42</v>
      </c>
      <c r="O164" s="2">
        <v>3</v>
      </c>
      <c r="P164" s="2">
        <v>1</v>
      </c>
      <c r="Q164" s="2">
        <v>1</v>
      </c>
      <c r="R164" s="2">
        <v>1</v>
      </c>
      <c r="S164" s="2">
        <v>0</v>
      </c>
      <c r="T164" s="2">
        <v>0</v>
      </c>
      <c r="U164" s="2">
        <v>1</v>
      </c>
      <c r="V164" s="2">
        <v>1</v>
      </c>
      <c r="W164" s="2">
        <v>1</v>
      </c>
      <c r="X164" s="2">
        <v>2</v>
      </c>
      <c r="Y164" s="2">
        <v>0</v>
      </c>
      <c r="Z164" s="26" t="s">
        <v>5167</v>
      </c>
      <c r="AA164" s="31">
        <v>1887.02</v>
      </c>
    </row>
    <row r="165" spans="1:27" ht="16" x14ac:dyDescent="0.2">
      <c r="A165" s="3" t="s">
        <v>579</v>
      </c>
      <c r="B165" s="2" t="s">
        <v>580</v>
      </c>
      <c r="C165" s="2" t="s">
        <v>581</v>
      </c>
      <c r="D165" s="6">
        <v>1887</v>
      </c>
      <c r="E165" s="6">
        <v>1880</v>
      </c>
      <c r="F165" s="2">
        <v>0</v>
      </c>
      <c r="G165" s="2">
        <v>0</v>
      </c>
      <c r="H165" s="3" t="s">
        <v>27</v>
      </c>
      <c r="I165" s="3" t="s">
        <v>582</v>
      </c>
      <c r="J165" s="3" t="s">
        <v>4641</v>
      </c>
      <c r="K165" s="15"/>
      <c r="L165" s="4" t="s">
        <v>583</v>
      </c>
      <c r="M165" s="4">
        <v>315</v>
      </c>
      <c r="N165" s="2">
        <v>37</v>
      </c>
      <c r="O165" s="2">
        <v>5</v>
      </c>
      <c r="P165" s="2">
        <v>4</v>
      </c>
      <c r="Q165" s="2">
        <v>1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1</v>
      </c>
      <c r="X165" s="2">
        <v>0</v>
      </c>
      <c r="Y165" s="2">
        <v>0</v>
      </c>
      <c r="Z165" s="26" t="s">
        <v>5167</v>
      </c>
      <c r="AA165" s="31">
        <v>1887.03</v>
      </c>
    </row>
    <row r="166" spans="1:27" ht="16" x14ac:dyDescent="0.2">
      <c r="A166" s="3" t="s">
        <v>588</v>
      </c>
      <c r="B166" s="2" t="s">
        <v>589</v>
      </c>
      <c r="C166" s="2" t="s">
        <v>590</v>
      </c>
      <c r="D166" s="6">
        <v>1888</v>
      </c>
      <c r="E166" s="6">
        <v>1880</v>
      </c>
      <c r="F166" s="2">
        <v>0</v>
      </c>
      <c r="G166" s="2">
        <v>0</v>
      </c>
      <c r="H166" s="3" t="s">
        <v>27</v>
      </c>
      <c r="I166" s="3" t="s">
        <v>591</v>
      </c>
      <c r="J166" s="3" t="s">
        <v>4642</v>
      </c>
      <c r="K166" s="15"/>
      <c r="L166" s="4" t="s">
        <v>592</v>
      </c>
      <c r="M166" s="4">
        <v>67</v>
      </c>
      <c r="N166" s="2">
        <v>47</v>
      </c>
      <c r="O166" s="2">
        <v>5</v>
      </c>
      <c r="P166" s="2">
        <v>1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6" t="s">
        <v>5167</v>
      </c>
      <c r="AA166" s="31">
        <v>1888.01</v>
      </c>
    </row>
    <row r="167" spans="1:27" ht="16" x14ac:dyDescent="0.2">
      <c r="A167" s="3" t="s">
        <v>584</v>
      </c>
      <c r="B167" s="2" t="s">
        <v>585</v>
      </c>
      <c r="C167" s="2" t="s">
        <v>586</v>
      </c>
      <c r="D167" s="6">
        <v>1888</v>
      </c>
      <c r="E167" s="6">
        <v>1880</v>
      </c>
      <c r="F167" s="2">
        <v>0</v>
      </c>
      <c r="G167" s="2">
        <v>0</v>
      </c>
      <c r="H167" s="3" t="s">
        <v>27</v>
      </c>
      <c r="I167" s="3" t="s">
        <v>5091</v>
      </c>
      <c r="J167" s="3" t="s">
        <v>587</v>
      </c>
      <c r="K167" s="15"/>
      <c r="L167" s="4" t="s">
        <v>410</v>
      </c>
      <c r="M167" s="4">
        <f>9+(25*12)</f>
        <v>309</v>
      </c>
      <c r="N167" s="2">
        <v>37</v>
      </c>
      <c r="O167" s="2">
        <v>5</v>
      </c>
      <c r="Q167" s="2">
        <v>1</v>
      </c>
      <c r="R167" s="2">
        <v>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6" t="s">
        <v>5167</v>
      </c>
      <c r="AA167" s="31">
        <v>1888.02</v>
      </c>
    </row>
    <row r="168" spans="1:27" ht="16" x14ac:dyDescent="0.2">
      <c r="A168" s="3" t="s">
        <v>3620</v>
      </c>
      <c r="B168" s="2" t="s">
        <v>3621</v>
      </c>
      <c r="C168" s="2" t="s">
        <v>595</v>
      </c>
      <c r="D168" s="6">
        <v>1888</v>
      </c>
      <c r="E168" s="6">
        <v>1880</v>
      </c>
      <c r="F168" s="2">
        <v>2</v>
      </c>
      <c r="G168" s="2">
        <v>1</v>
      </c>
      <c r="H168" s="3" t="s">
        <v>3434</v>
      </c>
      <c r="I168" s="3" t="s">
        <v>3622</v>
      </c>
      <c r="J168" s="3" t="s">
        <v>3622</v>
      </c>
      <c r="K168" s="15"/>
      <c r="L168" s="4" t="s">
        <v>331</v>
      </c>
      <c r="M168" s="4">
        <f>11+(12*19)</f>
        <v>239</v>
      </c>
      <c r="N168" s="2">
        <v>40</v>
      </c>
      <c r="O168" s="2">
        <v>1</v>
      </c>
      <c r="Q168" s="2">
        <v>0</v>
      </c>
      <c r="R168" s="2">
        <v>0</v>
      </c>
      <c r="S168" s="2">
        <v>1</v>
      </c>
      <c r="T168" s="2">
        <v>0</v>
      </c>
      <c r="U168" s="2">
        <v>1</v>
      </c>
      <c r="V168" s="2">
        <v>1</v>
      </c>
      <c r="W168" s="2">
        <v>1</v>
      </c>
      <c r="X168" s="2">
        <v>0</v>
      </c>
      <c r="Y168" s="2">
        <v>0</v>
      </c>
      <c r="Z168" s="26" t="s">
        <v>5167</v>
      </c>
      <c r="AA168" s="31">
        <v>1888.03</v>
      </c>
    </row>
    <row r="169" spans="1:27" ht="16" x14ac:dyDescent="0.2">
      <c r="A169" s="3" t="s">
        <v>593</v>
      </c>
      <c r="B169" s="2" t="s">
        <v>594</v>
      </c>
      <c r="C169" s="2" t="s">
        <v>595</v>
      </c>
      <c r="D169" s="6">
        <v>1888</v>
      </c>
      <c r="E169" s="6">
        <v>1880</v>
      </c>
      <c r="F169" s="2">
        <v>0</v>
      </c>
      <c r="G169" s="2">
        <v>0</v>
      </c>
      <c r="H169" s="3" t="s">
        <v>27</v>
      </c>
      <c r="I169" s="3" t="s">
        <v>596</v>
      </c>
      <c r="J169" s="3" t="s">
        <v>4643</v>
      </c>
      <c r="K169" s="15"/>
      <c r="L169" s="4" t="s">
        <v>597</v>
      </c>
      <c r="M169" s="4">
        <v>107</v>
      </c>
      <c r="N169" s="2">
        <v>46</v>
      </c>
      <c r="O169" s="2">
        <v>1</v>
      </c>
      <c r="Q169" s="2">
        <v>0</v>
      </c>
      <c r="R169" s="2">
        <v>0</v>
      </c>
      <c r="S169" s="2">
        <v>1</v>
      </c>
      <c r="T169" s="2">
        <v>0</v>
      </c>
      <c r="U169" s="2">
        <v>0</v>
      </c>
      <c r="V169" s="2">
        <v>0</v>
      </c>
      <c r="W169" s="2">
        <v>1</v>
      </c>
      <c r="X169" s="2">
        <v>1</v>
      </c>
      <c r="Y169" s="2">
        <v>1</v>
      </c>
      <c r="Z169" s="26" t="s">
        <v>5167</v>
      </c>
      <c r="AA169" s="31">
        <v>1888.04</v>
      </c>
    </row>
    <row r="170" spans="1:27" ht="16" x14ac:dyDescent="0.2">
      <c r="A170" s="3" t="s">
        <v>602</v>
      </c>
      <c r="B170" s="2" t="s">
        <v>603</v>
      </c>
      <c r="C170" s="2" t="s">
        <v>604</v>
      </c>
      <c r="D170" s="6">
        <v>1889</v>
      </c>
      <c r="E170" s="6">
        <v>1880</v>
      </c>
      <c r="F170" s="2">
        <v>0</v>
      </c>
      <c r="G170" s="2">
        <v>0</v>
      </c>
      <c r="H170" s="3" t="s">
        <v>27</v>
      </c>
      <c r="I170" s="3" t="s">
        <v>605</v>
      </c>
      <c r="J170" s="3" t="s">
        <v>4644</v>
      </c>
      <c r="K170" s="15"/>
      <c r="L170" s="4" t="s">
        <v>336</v>
      </c>
      <c r="M170" s="4">
        <v>264</v>
      </c>
      <c r="N170" s="2">
        <v>39</v>
      </c>
      <c r="O170" s="2">
        <v>4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1</v>
      </c>
      <c r="X170" s="2">
        <v>0</v>
      </c>
      <c r="Y170" s="2">
        <v>0</v>
      </c>
      <c r="Z170" s="26" t="s">
        <v>5167</v>
      </c>
      <c r="AA170" s="31">
        <v>1889.01</v>
      </c>
    </row>
    <row r="171" spans="1:27" ht="16" x14ac:dyDescent="0.2">
      <c r="A171" s="3" t="s">
        <v>598</v>
      </c>
      <c r="B171" s="2" t="s">
        <v>599</v>
      </c>
      <c r="C171" s="2" t="s">
        <v>600</v>
      </c>
      <c r="D171" s="6">
        <v>1889</v>
      </c>
      <c r="E171" s="6">
        <v>1880</v>
      </c>
      <c r="F171" s="2">
        <v>0</v>
      </c>
      <c r="G171" s="2">
        <v>0</v>
      </c>
      <c r="H171" s="3" t="s">
        <v>27</v>
      </c>
      <c r="I171" s="3" t="s">
        <v>601</v>
      </c>
      <c r="J171" s="3" t="s">
        <v>4581</v>
      </c>
      <c r="K171" s="15"/>
      <c r="L171" s="4" t="s">
        <v>214</v>
      </c>
      <c r="M171" s="4">
        <v>457</v>
      </c>
      <c r="N171" s="2">
        <v>31</v>
      </c>
      <c r="O171" s="2">
        <v>5</v>
      </c>
      <c r="Q171" s="2">
        <v>0</v>
      </c>
      <c r="R171" s="2">
        <v>0</v>
      </c>
      <c r="S171" s="2">
        <v>0</v>
      </c>
      <c r="T171" s="2">
        <v>0</v>
      </c>
      <c r="U171" s="2">
        <v>1</v>
      </c>
      <c r="V171" s="2">
        <v>0</v>
      </c>
      <c r="W171" s="2">
        <v>0</v>
      </c>
      <c r="X171" s="2">
        <v>0</v>
      </c>
      <c r="Y171" s="2">
        <v>1</v>
      </c>
      <c r="Z171" s="26" t="s">
        <v>5167</v>
      </c>
      <c r="AA171" s="31">
        <v>1889.02</v>
      </c>
    </row>
    <row r="172" spans="1:27" ht="16" x14ac:dyDescent="0.2">
      <c r="A172" s="3" t="s">
        <v>614</v>
      </c>
      <c r="B172" s="2" t="s">
        <v>615</v>
      </c>
      <c r="C172" s="2" t="s">
        <v>616</v>
      </c>
      <c r="D172" s="6">
        <v>1890</v>
      </c>
      <c r="E172" s="6">
        <v>1890</v>
      </c>
      <c r="F172" s="2">
        <v>0</v>
      </c>
      <c r="G172" s="2">
        <v>0</v>
      </c>
      <c r="H172" s="3" t="s">
        <v>27</v>
      </c>
      <c r="I172" s="3" t="s">
        <v>617</v>
      </c>
      <c r="J172" s="3" t="s">
        <v>4645</v>
      </c>
      <c r="K172" s="15"/>
      <c r="L172" s="4" t="s">
        <v>618</v>
      </c>
      <c r="M172" s="4">
        <f>5+2+7*12</f>
        <v>91</v>
      </c>
      <c r="N172" s="2">
        <v>47</v>
      </c>
      <c r="O172" s="2">
        <v>4</v>
      </c>
      <c r="P172" s="2">
        <v>6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1</v>
      </c>
      <c r="X172" s="2">
        <v>0</v>
      </c>
      <c r="Y172" s="2">
        <v>0</v>
      </c>
      <c r="Z172" s="26" t="s">
        <v>5167</v>
      </c>
      <c r="AA172" s="31">
        <v>1890.01</v>
      </c>
    </row>
    <row r="173" spans="1:27" ht="16" x14ac:dyDescent="0.2">
      <c r="A173" s="3" t="s">
        <v>609</v>
      </c>
      <c r="B173" s="2" t="s">
        <v>610</v>
      </c>
      <c r="C173" s="2" t="s">
        <v>611</v>
      </c>
      <c r="D173" s="6">
        <v>1890</v>
      </c>
      <c r="E173" s="6">
        <v>1890</v>
      </c>
      <c r="F173" s="2">
        <v>0</v>
      </c>
      <c r="G173" s="2">
        <v>0</v>
      </c>
      <c r="H173" s="3" t="s">
        <v>27</v>
      </c>
      <c r="I173" s="3" t="s">
        <v>612</v>
      </c>
      <c r="J173" s="3" t="s">
        <v>4646</v>
      </c>
      <c r="K173" s="15"/>
      <c r="L173" s="4" t="s">
        <v>613</v>
      </c>
      <c r="M173" s="4">
        <f>6+5+5*12</f>
        <v>71</v>
      </c>
      <c r="N173" s="2">
        <v>48</v>
      </c>
      <c r="O173" s="2">
        <v>4</v>
      </c>
      <c r="Q173" s="2">
        <v>0</v>
      </c>
      <c r="R173" s="2">
        <v>0</v>
      </c>
      <c r="S173" s="2">
        <v>0</v>
      </c>
      <c r="T173" s="2">
        <v>0</v>
      </c>
      <c r="U173" s="2">
        <v>1</v>
      </c>
      <c r="V173" s="2">
        <v>0</v>
      </c>
      <c r="W173" s="2">
        <v>0</v>
      </c>
      <c r="X173" s="2">
        <v>0</v>
      </c>
      <c r="Y173" s="2">
        <v>1</v>
      </c>
      <c r="Z173" s="26" t="s">
        <v>5167</v>
      </c>
      <c r="AA173" s="31">
        <v>1890.02</v>
      </c>
    </row>
    <row r="174" spans="1:27" ht="16" x14ac:dyDescent="0.2">
      <c r="A174" s="3" t="s">
        <v>624</v>
      </c>
      <c r="B174" s="2" t="s">
        <v>625</v>
      </c>
      <c r="C174" s="2" t="s">
        <v>611</v>
      </c>
      <c r="D174" s="6">
        <v>1890</v>
      </c>
      <c r="E174" s="6">
        <v>1890</v>
      </c>
      <c r="F174" s="2">
        <v>0</v>
      </c>
      <c r="G174" s="2">
        <v>0</v>
      </c>
      <c r="H174" s="3" t="s">
        <v>27</v>
      </c>
      <c r="I174" s="3" t="s">
        <v>626</v>
      </c>
      <c r="J174" s="3" t="s">
        <v>4756</v>
      </c>
      <c r="K174" s="15"/>
      <c r="L174" s="4" t="s">
        <v>4757</v>
      </c>
      <c r="M174" s="4">
        <v>38</v>
      </c>
      <c r="N174" s="2">
        <v>49</v>
      </c>
      <c r="O174" s="2">
        <v>4</v>
      </c>
      <c r="P174" s="2">
        <v>2</v>
      </c>
      <c r="Q174" s="2">
        <v>1</v>
      </c>
      <c r="R174" s="2">
        <v>1</v>
      </c>
      <c r="S174" s="2">
        <v>1</v>
      </c>
      <c r="T174" s="2">
        <v>0</v>
      </c>
      <c r="U174" s="2">
        <v>0</v>
      </c>
      <c r="V174" s="2">
        <v>0</v>
      </c>
      <c r="W174" s="2">
        <v>1</v>
      </c>
      <c r="X174" s="2">
        <v>3</v>
      </c>
      <c r="Y174" s="2">
        <v>1</v>
      </c>
      <c r="Z174" s="26" t="s">
        <v>5167</v>
      </c>
      <c r="AA174" s="31">
        <v>1890.03</v>
      </c>
    </row>
    <row r="175" spans="1:27" ht="16" x14ac:dyDescent="0.2">
      <c r="A175" s="3" t="s">
        <v>619</v>
      </c>
      <c r="B175" s="2" t="s">
        <v>620</v>
      </c>
      <c r="C175" s="2" t="s">
        <v>621</v>
      </c>
      <c r="D175" s="6">
        <v>1890</v>
      </c>
      <c r="E175" s="6">
        <v>1890</v>
      </c>
      <c r="F175" s="2">
        <v>0</v>
      </c>
      <c r="G175" s="2">
        <v>0</v>
      </c>
      <c r="H175" s="3" t="s">
        <v>27</v>
      </c>
      <c r="I175" s="3" t="s">
        <v>622</v>
      </c>
      <c r="J175" s="3" t="s">
        <v>4758</v>
      </c>
      <c r="K175" s="15"/>
      <c r="L175" s="4" t="s">
        <v>623</v>
      </c>
      <c r="M175" s="4">
        <f>12*33+4+11</f>
        <v>411</v>
      </c>
      <c r="N175" s="2">
        <v>34</v>
      </c>
      <c r="O175" s="2">
        <v>6</v>
      </c>
      <c r="P175" s="2">
        <v>1</v>
      </c>
      <c r="Q175" s="2">
        <v>0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1</v>
      </c>
      <c r="X175" s="2">
        <v>0</v>
      </c>
      <c r="Y175" s="2">
        <v>0</v>
      </c>
      <c r="Z175" s="26" t="s">
        <v>5167</v>
      </c>
      <c r="AA175" s="31">
        <v>1890.04</v>
      </c>
    </row>
    <row r="176" spans="1:27" ht="16" x14ac:dyDescent="0.2">
      <c r="A176" s="3" t="s">
        <v>606</v>
      </c>
      <c r="B176" s="2" t="s">
        <v>607</v>
      </c>
      <c r="C176" s="2" t="s">
        <v>608</v>
      </c>
      <c r="D176" s="6">
        <v>1890</v>
      </c>
      <c r="E176" s="6">
        <v>1890</v>
      </c>
      <c r="F176" s="2">
        <v>0</v>
      </c>
      <c r="G176" s="2">
        <v>0</v>
      </c>
      <c r="H176" s="3" t="s">
        <v>27</v>
      </c>
      <c r="I176" s="3" t="s">
        <v>5090</v>
      </c>
      <c r="J176" s="3" t="s">
        <v>5036</v>
      </c>
      <c r="K176" s="15"/>
      <c r="L176" s="4" t="s">
        <v>214</v>
      </c>
      <c r="M176" s="4">
        <f>(12*59)+9</f>
        <v>717</v>
      </c>
      <c r="N176" s="2">
        <v>31</v>
      </c>
      <c r="O176" s="2">
        <v>1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1</v>
      </c>
      <c r="X176" s="2">
        <v>0</v>
      </c>
      <c r="Y176" s="2">
        <v>1</v>
      </c>
      <c r="Z176" s="26" t="s">
        <v>5167</v>
      </c>
      <c r="AA176" s="31">
        <v>1890.05</v>
      </c>
    </row>
    <row r="177" spans="1:27" ht="16" x14ac:dyDescent="0.2">
      <c r="A177" s="3" t="s">
        <v>627</v>
      </c>
      <c r="B177" s="2" t="s">
        <v>628</v>
      </c>
      <c r="C177" s="2" t="s">
        <v>629</v>
      </c>
      <c r="D177" s="6">
        <v>1891</v>
      </c>
      <c r="E177" s="6">
        <v>1890</v>
      </c>
      <c r="F177" s="2">
        <v>0</v>
      </c>
      <c r="G177" s="2">
        <v>0</v>
      </c>
      <c r="H177" s="3" t="s">
        <v>27</v>
      </c>
      <c r="I177" s="3" t="s">
        <v>630</v>
      </c>
      <c r="J177" s="3" t="s">
        <v>4759</v>
      </c>
      <c r="K177" s="15"/>
      <c r="L177" s="4" t="s">
        <v>631</v>
      </c>
      <c r="M177" s="4">
        <v>24</v>
      </c>
      <c r="N177" s="2">
        <v>50</v>
      </c>
      <c r="O177" s="2">
        <v>1</v>
      </c>
      <c r="Q177" s="2">
        <v>0</v>
      </c>
      <c r="R177" s="2">
        <v>0</v>
      </c>
      <c r="S177" s="2">
        <v>1</v>
      </c>
      <c r="T177" s="2">
        <v>0</v>
      </c>
      <c r="U177" s="2">
        <v>1</v>
      </c>
      <c r="V177" s="2">
        <v>0</v>
      </c>
      <c r="W177" s="2">
        <v>1</v>
      </c>
      <c r="X177" s="2">
        <v>0</v>
      </c>
      <c r="Y177" s="2">
        <v>1</v>
      </c>
      <c r="Z177" s="26" t="s">
        <v>5167</v>
      </c>
      <c r="AA177" s="31">
        <v>1891.01</v>
      </c>
    </row>
    <row r="178" spans="1:27" ht="16" x14ac:dyDescent="0.2">
      <c r="A178" s="3" t="s">
        <v>641</v>
      </c>
      <c r="B178" s="2" t="s">
        <v>642</v>
      </c>
      <c r="C178" s="2" t="s">
        <v>634</v>
      </c>
      <c r="D178" s="2">
        <v>1891</v>
      </c>
      <c r="E178" s="6">
        <v>1890</v>
      </c>
      <c r="F178" s="2">
        <v>0</v>
      </c>
      <c r="G178" s="2">
        <v>0</v>
      </c>
      <c r="H178" s="3" t="s">
        <v>27</v>
      </c>
      <c r="I178" s="3" t="s">
        <v>643</v>
      </c>
      <c r="J178" s="3" t="s">
        <v>643</v>
      </c>
      <c r="K178" s="15"/>
      <c r="L178" s="4" t="s">
        <v>644</v>
      </c>
      <c r="M178" s="4">
        <f>11+(30*12)</f>
        <v>371</v>
      </c>
      <c r="N178" s="2">
        <v>36</v>
      </c>
      <c r="O178" s="2">
        <v>1</v>
      </c>
      <c r="Q178" s="2">
        <v>0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1</v>
      </c>
      <c r="X178" s="2">
        <v>0</v>
      </c>
      <c r="Y178" s="2">
        <v>1</v>
      </c>
      <c r="Z178" s="26" t="s">
        <v>5167</v>
      </c>
      <c r="AA178" s="31">
        <v>1891.02</v>
      </c>
    </row>
    <row r="179" spans="1:27" ht="16" x14ac:dyDescent="0.2">
      <c r="A179" s="3" t="s">
        <v>637</v>
      </c>
      <c r="B179" s="2" t="s">
        <v>638</v>
      </c>
      <c r="C179" s="2" t="s">
        <v>634</v>
      </c>
      <c r="D179" s="6">
        <v>1891</v>
      </c>
      <c r="E179" s="6">
        <v>1890</v>
      </c>
      <c r="F179" s="2">
        <v>0</v>
      </c>
      <c r="G179" s="2">
        <v>0</v>
      </c>
      <c r="H179" s="3" t="s">
        <v>27</v>
      </c>
      <c r="I179" s="3" t="s">
        <v>639</v>
      </c>
      <c r="J179" s="3" t="s">
        <v>4760</v>
      </c>
      <c r="K179" s="15"/>
      <c r="L179" s="4" t="s">
        <v>640</v>
      </c>
      <c r="M179" s="4">
        <v>10</v>
      </c>
      <c r="N179" s="2">
        <v>51</v>
      </c>
      <c r="O179" s="2">
        <v>5</v>
      </c>
      <c r="Q179" s="2">
        <v>0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1</v>
      </c>
      <c r="X179" s="2">
        <v>0</v>
      </c>
      <c r="Y179" s="2">
        <v>0</v>
      </c>
      <c r="Z179" s="26" t="s">
        <v>5167</v>
      </c>
      <c r="AA179" s="31">
        <v>1891.03</v>
      </c>
    </row>
    <row r="180" spans="1:27" ht="16" x14ac:dyDescent="0.2">
      <c r="A180" s="3" t="s">
        <v>632</v>
      </c>
      <c r="B180" s="2" t="s">
        <v>633</v>
      </c>
      <c r="C180" s="2" t="s">
        <v>634</v>
      </c>
      <c r="D180" s="6">
        <v>1891</v>
      </c>
      <c r="E180" s="6">
        <v>1890</v>
      </c>
      <c r="F180" s="2">
        <v>0</v>
      </c>
      <c r="G180" s="2">
        <v>0</v>
      </c>
      <c r="H180" s="3" t="s">
        <v>27</v>
      </c>
      <c r="I180" s="3" t="s">
        <v>635</v>
      </c>
      <c r="J180" s="3" t="s">
        <v>4761</v>
      </c>
      <c r="K180" s="15"/>
      <c r="L180" s="4" t="s">
        <v>636</v>
      </c>
      <c r="M180" s="4">
        <f>5+6+12*4</f>
        <v>59</v>
      </c>
      <c r="N180" s="2">
        <v>49</v>
      </c>
      <c r="O180" s="2">
        <v>5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</v>
      </c>
      <c r="Z180" s="26" t="s">
        <v>5167</v>
      </c>
      <c r="AA180" s="31">
        <v>1891.04</v>
      </c>
    </row>
    <row r="181" spans="1:27" ht="16" x14ac:dyDescent="0.2">
      <c r="A181" s="3" t="s">
        <v>3623</v>
      </c>
      <c r="B181" s="2" t="s">
        <v>3624</v>
      </c>
      <c r="C181" s="2" t="s">
        <v>3625</v>
      </c>
      <c r="D181" s="6">
        <v>1892</v>
      </c>
      <c r="E181" s="6">
        <v>1890</v>
      </c>
      <c r="F181" s="2">
        <v>1</v>
      </c>
      <c r="G181" s="2">
        <v>1</v>
      </c>
      <c r="H181" s="3" t="s">
        <v>3442</v>
      </c>
      <c r="I181" s="3" t="s">
        <v>3626</v>
      </c>
      <c r="J181" s="3" t="s">
        <v>4762</v>
      </c>
      <c r="K181" s="15"/>
      <c r="L181" s="4" t="s">
        <v>3627</v>
      </c>
      <c r="M181" s="4">
        <v>34</v>
      </c>
      <c r="N181" s="2">
        <v>50</v>
      </c>
      <c r="O181" s="2">
        <v>1</v>
      </c>
      <c r="Q181" s="2">
        <v>0</v>
      </c>
      <c r="R181" s="2">
        <v>0</v>
      </c>
      <c r="S181" s="2">
        <v>1</v>
      </c>
      <c r="T181" s="2">
        <v>0</v>
      </c>
      <c r="U181" s="2">
        <v>1</v>
      </c>
      <c r="V181" s="2">
        <v>0</v>
      </c>
      <c r="W181" s="2">
        <v>0</v>
      </c>
      <c r="X181" s="2">
        <v>0</v>
      </c>
      <c r="Y181" s="2">
        <v>1</v>
      </c>
      <c r="Z181" s="26" t="s">
        <v>5167</v>
      </c>
      <c r="AA181" s="31">
        <v>1892.01</v>
      </c>
    </row>
    <row r="182" spans="1:27" ht="16" x14ac:dyDescent="0.2">
      <c r="A182" s="3" t="s">
        <v>661</v>
      </c>
      <c r="B182" s="2" t="s">
        <v>662</v>
      </c>
      <c r="C182" s="2" t="s">
        <v>663</v>
      </c>
      <c r="D182" s="6">
        <v>1892</v>
      </c>
      <c r="E182" s="6">
        <v>1890</v>
      </c>
      <c r="F182" s="2">
        <v>0</v>
      </c>
      <c r="G182" s="2">
        <v>0</v>
      </c>
      <c r="H182" s="3" t="s">
        <v>27</v>
      </c>
      <c r="I182" s="3" t="s">
        <v>664</v>
      </c>
      <c r="J182" s="3" t="s">
        <v>4763</v>
      </c>
      <c r="K182" s="15"/>
      <c r="L182" s="4" t="s">
        <v>665</v>
      </c>
      <c r="M182" s="4">
        <v>12</v>
      </c>
      <c r="N182" s="2">
        <v>51</v>
      </c>
      <c r="O182" s="2">
        <v>1</v>
      </c>
      <c r="P182" s="2">
        <v>3</v>
      </c>
      <c r="Q182" s="2">
        <v>1</v>
      </c>
      <c r="R182" s="2">
        <v>1</v>
      </c>
      <c r="S182" s="2">
        <v>1</v>
      </c>
      <c r="T182" s="2">
        <v>0</v>
      </c>
      <c r="U182" s="2">
        <v>0</v>
      </c>
      <c r="V182" s="2">
        <v>0</v>
      </c>
      <c r="W182" s="2">
        <v>1</v>
      </c>
      <c r="X182" s="2">
        <v>1</v>
      </c>
      <c r="Y182" s="2">
        <v>0</v>
      </c>
      <c r="Z182" s="26" t="s">
        <v>5167</v>
      </c>
      <c r="AA182" s="31">
        <v>1892.02</v>
      </c>
    </row>
    <row r="183" spans="1:27" ht="16" x14ac:dyDescent="0.2">
      <c r="A183" s="3" t="s">
        <v>654</v>
      </c>
      <c r="B183" s="2" t="s">
        <v>655</v>
      </c>
      <c r="C183" s="2" t="s">
        <v>656</v>
      </c>
      <c r="D183" s="6">
        <v>1892</v>
      </c>
      <c r="E183" s="6">
        <v>1890</v>
      </c>
      <c r="F183" s="2">
        <v>0</v>
      </c>
      <c r="G183" s="2">
        <v>0</v>
      </c>
      <c r="H183" s="3" t="s">
        <v>27</v>
      </c>
      <c r="I183" s="3" t="s">
        <v>652</v>
      </c>
      <c r="J183" s="3" t="s">
        <v>4764</v>
      </c>
      <c r="K183" s="15"/>
      <c r="L183" s="4" t="s">
        <v>653</v>
      </c>
      <c r="M183" s="4">
        <v>16</v>
      </c>
      <c r="N183" s="2">
        <v>51</v>
      </c>
      <c r="O183" s="2">
        <v>2</v>
      </c>
      <c r="P183" s="2">
        <v>5</v>
      </c>
      <c r="Q183" s="2">
        <v>0</v>
      </c>
      <c r="R183" s="2">
        <v>0</v>
      </c>
      <c r="S183" s="2">
        <v>1</v>
      </c>
      <c r="T183" s="2">
        <v>0</v>
      </c>
      <c r="U183" s="2">
        <v>0</v>
      </c>
      <c r="V183" s="2">
        <v>0</v>
      </c>
      <c r="W183" s="2">
        <v>1</v>
      </c>
      <c r="X183" s="2">
        <v>0</v>
      </c>
      <c r="Y183" s="2">
        <v>0</v>
      </c>
      <c r="Z183" s="26" t="s">
        <v>5167</v>
      </c>
      <c r="AA183" s="31">
        <v>1892.03</v>
      </c>
    </row>
    <row r="184" spans="1:27" ht="16" x14ac:dyDescent="0.2">
      <c r="A184" s="3" t="s">
        <v>650</v>
      </c>
      <c r="B184" s="2" t="s">
        <v>651</v>
      </c>
      <c r="C184" s="2" t="s">
        <v>647</v>
      </c>
      <c r="D184" s="6">
        <v>1892</v>
      </c>
      <c r="E184" s="6">
        <v>1890</v>
      </c>
      <c r="F184" s="2">
        <v>0</v>
      </c>
      <c r="G184" s="2">
        <v>0</v>
      </c>
      <c r="H184" s="3" t="s">
        <v>27</v>
      </c>
      <c r="I184" s="3" t="s">
        <v>652</v>
      </c>
      <c r="J184" s="3" t="s">
        <v>4764</v>
      </c>
      <c r="K184" s="15"/>
      <c r="L184" s="4" t="s">
        <v>653</v>
      </c>
      <c r="M184" s="4">
        <v>17</v>
      </c>
      <c r="N184" s="2">
        <v>51</v>
      </c>
      <c r="O184" s="2">
        <v>2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1</v>
      </c>
      <c r="X184" s="2">
        <v>0</v>
      </c>
      <c r="Y184" s="2">
        <v>0</v>
      </c>
      <c r="Z184" s="26" t="s">
        <v>5167</v>
      </c>
      <c r="AA184" s="31">
        <v>1892.04</v>
      </c>
    </row>
    <row r="185" spans="1:27" ht="16" x14ac:dyDescent="0.2">
      <c r="A185" s="3" t="s">
        <v>645</v>
      </c>
      <c r="B185" s="2" t="s">
        <v>646</v>
      </c>
      <c r="C185" s="2" t="s">
        <v>647</v>
      </c>
      <c r="D185" s="6">
        <v>1892</v>
      </c>
      <c r="E185" s="6">
        <v>1890</v>
      </c>
      <c r="F185" s="2">
        <v>0</v>
      </c>
      <c r="G185" s="2">
        <v>0</v>
      </c>
      <c r="H185" s="3" t="s">
        <v>27</v>
      </c>
      <c r="I185" s="3" t="s">
        <v>648</v>
      </c>
      <c r="J185" s="3" t="s">
        <v>4765</v>
      </c>
      <c r="K185" s="15"/>
      <c r="L185" s="4" t="s">
        <v>649</v>
      </c>
      <c r="M185" s="4">
        <f>4+12</f>
        <v>16</v>
      </c>
      <c r="N185" s="2">
        <v>51</v>
      </c>
      <c r="O185" s="2">
        <v>6</v>
      </c>
      <c r="Q185" s="2">
        <v>1</v>
      </c>
      <c r="R185" s="2">
        <v>1</v>
      </c>
      <c r="S185" s="2">
        <v>1</v>
      </c>
      <c r="T185" s="2">
        <v>0</v>
      </c>
      <c r="U185" s="2">
        <v>0</v>
      </c>
      <c r="V185" s="2">
        <v>0</v>
      </c>
      <c r="W185" s="2">
        <v>1</v>
      </c>
      <c r="X185" s="2">
        <v>2</v>
      </c>
      <c r="Y185" s="2">
        <v>0</v>
      </c>
      <c r="Z185" s="26" t="s">
        <v>5167</v>
      </c>
      <c r="AA185" s="31">
        <v>1892.05</v>
      </c>
    </row>
    <row r="186" spans="1:27" ht="16" x14ac:dyDescent="0.2">
      <c r="A186" s="3" t="s">
        <v>666</v>
      </c>
      <c r="B186" s="2" t="s">
        <v>667</v>
      </c>
      <c r="C186" s="2" t="s">
        <v>647</v>
      </c>
      <c r="D186" s="6">
        <v>1892</v>
      </c>
      <c r="E186" s="6">
        <v>1890</v>
      </c>
      <c r="F186" s="2">
        <v>0</v>
      </c>
      <c r="G186" s="2">
        <v>0</v>
      </c>
      <c r="H186" s="3" t="s">
        <v>27</v>
      </c>
      <c r="I186" s="3" t="s">
        <v>668</v>
      </c>
      <c r="J186" s="3" t="s">
        <v>4766</v>
      </c>
      <c r="K186" s="15"/>
      <c r="L186" s="4" t="s">
        <v>669</v>
      </c>
      <c r="M186" s="4">
        <v>22</v>
      </c>
      <c r="N186" s="2">
        <v>51</v>
      </c>
      <c r="O186" s="2">
        <v>4</v>
      </c>
      <c r="P186" s="2">
        <v>6</v>
      </c>
      <c r="Q186" s="2">
        <v>0</v>
      </c>
      <c r="R186" s="2">
        <v>0</v>
      </c>
      <c r="S186" s="2">
        <v>1</v>
      </c>
      <c r="T186" s="2">
        <v>0</v>
      </c>
      <c r="U186" s="2">
        <v>1</v>
      </c>
      <c r="V186" s="2">
        <v>0</v>
      </c>
      <c r="W186" s="2">
        <v>1</v>
      </c>
      <c r="X186" s="2">
        <v>0</v>
      </c>
      <c r="Y186" s="2">
        <v>0</v>
      </c>
      <c r="Z186" s="26" t="s">
        <v>5167</v>
      </c>
      <c r="AA186" s="31">
        <v>1892.06</v>
      </c>
    </row>
    <row r="187" spans="1:27" ht="16" x14ac:dyDescent="0.2">
      <c r="A187" s="3" t="s">
        <v>657</v>
      </c>
      <c r="B187" s="2" t="s">
        <v>658</v>
      </c>
      <c r="C187" s="2" t="s">
        <v>659</v>
      </c>
      <c r="D187" s="6">
        <v>1892</v>
      </c>
      <c r="E187" s="6">
        <v>1890</v>
      </c>
      <c r="F187" s="2">
        <v>0</v>
      </c>
      <c r="G187" s="2">
        <v>0</v>
      </c>
      <c r="H187" s="3" t="s">
        <v>27</v>
      </c>
      <c r="I187" s="3" t="s">
        <v>429</v>
      </c>
      <c r="J187" s="3" t="s">
        <v>660</v>
      </c>
      <c r="K187" s="15"/>
      <c r="L187" s="4" t="s">
        <v>430</v>
      </c>
      <c r="M187" s="4">
        <f>(12*21)+11</f>
        <v>263</v>
      </c>
      <c r="N187" s="2">
        <v>41</v>
      </c>
      <c r="O187" s="2">
        <v>1</v>
      </c>
      <c r="Q187" s="2">
        <v>1</v>
      </c>
      <c r="R187" s="2">
        <v>1</v>
      </c>
      <c r="S187" s="2">
        <v>1</v>
      </c>
      <c r="T187" s="2">
        <v>0</v>
      </c>
      <c r="U187" s="2">
        <v>1</v>
      </c>
      <c r="V187" s="2">
        <v>0</v>
      </c>
      <c r="W187" s="2">
        <v>1</v>
      </c>
      <c r="X187" s="2">
        <v>0</v>
      </c>
      <c r="Y187" s="2">
        <v>0</v>
      </c>
      <c r="Z187" s="26" t="s">
        <v>5167</v>
      </c>
      <c r="AA187" s="31">
        <v>1892.07</v>
      </c>
    </row>
    <row r="188" spans="1:27" ht="16" x14ac:dyDescent="0.2">
      <c r="A188" s="3" t="s">
        <v>679</v>
      </c>
      <c r="B188" s="2" t="s">
        <v>680</v>
      </c>
      <c r="C188" s="2" t="s">
        <v>681</v>
      </c>
      <c r="D188" s="6">
        <v>1893</v>
      </c>
      <c r="E188" s="6">
        <v>1890</v>
      </c>
      <c r="F188" s="2">
        <v>0</v>
      </c>
      <c r="G188" s="2">
        <v>0</v>
      </c>
      <c r="H188" s="3" t="s">
        <v>27</v>
      </c>
      <c r="I188" s="3" t="s">
        <v>682</v>
      </c>
      <c r="J188" s="3" t="s">
        <v>4767</v>
      </c>
      <c r="K188" s="15"/>
      <c r="L188" s="4" t="s">
        <v>683</v>
      </c>
      <c r="M188" s="4">
        <v>28</v>
      </c>
      <c r="N188" s="2">
        <v>51</v>
      </c>
      <c r="O188" s="2">
        <v>4</v>
      </c>
      <c r="P188" s="2">
        <v>5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1</v>
      </c>
      <c r="X188" s="2">
        <v>0</v>
      </c>
      <c r="Y188" s="2">
        <v>0</v>
      </c>
      <c r="Z188" s="26" t="s">
        <v>5167</v>
      </c>
      <c r="AA188" s="31">
        <v>1893.01</v>
      </c>
    </row>
    <row r="189" spans="1:27" ht="16" x14ac:dyDescent="0.2">
      <c r="A189" s="3" t="s">
        <v>3628</v>
      </c>
      <c r="B189" s="2" t="s">
        <v>3629</v>
      </c>
      <c r="C189" s="2" t="s">
        <v>3630</v>
      </c>
      <c r="D189" s="6">
        <v>1893</v>
      </c>
      <c r="E189" s="6">
        <v>1890</v>
      </c>
      <c r="F189" s="2">
        <v>2</v>
      </c>
      <c r="G189" s="2">
        <v>1</v>
      </c>
      <c r="H189" s="3" t="s">
        <v>3434</v>
      </c>
      <c r="I189" s="3" t="s">
        <v>1130</v>
      </c>
      <c r="J189" s="3" t="s">
        <v>3631</v>
      </c>
      <c r="K189" s="15"/>
      <c r="L189" s="4" t="s">
        <v>1131</v>
      </c>
      <c r="M189" s="4">
        <f>5+3+12*4</f>
        <v>56</v>
      </c>
      <c r="N189" s="2">
        <v>50</v>
      </c>
      <c r="O189" s="2">
        <v>4</v>
      </c>
      <c r="Q189" s="2">
        <v>0</v>
      </c>
      <c r="R189" s="2">
        <v>0</v>
      </c>
      <c r="S189" s="2">
        <v>1</v>
      </c>
      <c r="T189" s="2">
        <v>0</v>
      </c>
      <c r="U189" s="2">
        <v>1</v>
      </c>
      <c r="V189" s="2">
        <v>1</v>
      </c>
      <c r="W189" s="2">
        <v>1</v>
      </c>
      <c r="X189" s="2">
        <v>0</v>
      </c>
      <c r="Y189" s="2">
        <v>1</v>
      </c>
      <c r="Z189" s="26" t="s">
        <v>5167</v>
      </c>
      <c r="AA189" s="31">
        <v>1893.02</v>
      </c>
    </row>
    <row r="190" spans="1:27" ht="16" x14ac:dyDescent="0.2">
      <c r="A190" s="3" t="s">
        <v>670</v>
      </c>
      <c r="B190" s="2" t="s">
        <v>671</v>
      </c>
      <c r="C190" s="2" t="s">
        <v>672</v>
      </c>
      <c r="D190" s="6">
        <v>1893</v>
      </c>
      <c r="E190" s="6">
        <v>1890</v>
      </c>
      <c r="F190" s="2">
        <v>0</v>
      </c>
      <c r="G190" s="2">
        <v>0</v>
      </c>
      <c r="H190" s="3" t="s">
        <v>27</v>
      </c>
      <c r="I190" s="3" t="s">
        <v>673</v>
      </c>
      <c r="J190" s="3" t="s">
        <v>4769</v>
      </c>
      <c r="K190" s="15"/>
      <c r="L190" s="4" t="s">
        <v>4768</v>
      </c>
      <c r="M190" s="4">
        <f>7+5</f>
        <v>12</v>
      </c>
      <c r="N190" s="2">
        <v>52</v>
      </c>
      <c r="O190" s="2">
        <v>1</v>
      </c>
      <c r="P190" s="2">
        <v>3</v>
      </c>
      <c r="Q190" s="2">
        <v>1</v>
      </c>
      <c r="R190" s="2">
        <v>1</v>
      </c>
      <c r="S190" s="2">
        <v>1</v>
      </c>
      <c r="T190" s="2">
        <v>0</v>
      </c>
      <c r="U190" s="2">
        <v>0</v>
      </c>
      <c r="V190" s="2">
        <v>0</v>
      </c>
      <c r="W190" s="2">
        <v>1</v>
      </c>
      <c r="X190" s="2">
        <v>3</v>
      </c>
      <c r="Y190" s="2">
        <v>1</v>
      </c>
      <c r="Z190" s="26" t="s">
        <v>5167</v>
      </c>
      <c r="AA190" s="31">
        <v>1893.03</v>
      </c>
    </row>
    <row r="191" spans="1:27" ht="16" x14ac:dyDescent="0.2">
      <c r="A191" s="3" t="s">
        <v>674</v>
      </c>
      <c r="B191" s="2" t="s">
        <v>675</v>
      </c>
      <c r="C191" s="2" t="s">
        <v>676</v>
      </c>
      <c r="D191" s="6">
        <v>1893</v>
      </c>
      <c r="E191" s="6">
        <v>1890</v>
      </c>
      <c r="F191" s="2">
        <v>0</v>
      </c>
      <c r="G191" s="2">
        <v>0</v>
      </c>
      <c r="H191" s="3" t="s">
        <v>27</v>
      </c>
      <c r="I191" s="3" t="s">
        <v>677</v>
      </c>
      <c r="J191" s="3" t="s">
        <v>4770</v>
      </c>
      <c r="K191" s="15"/>
      <c r="L191" s="4" t="s">
        <v>678</v>
      </c>
      <c r="M191" s="4">
        <f>7*12+21</f>
        <v>105</v>
      </c>
      <c r="N191" s="2">
        <v>48</v>
      </c>
      <c r="O191" s="2">
        <v>1</v>
      </c>
      <c r="Q191" s="2">
        <v>1</v>
      </c>
      <c r="R191" s="2">
        <v>1</v>
      </c>
      <c r="S191" s="2">
        <v>1</v>
      </c>
      <c r="T191" s="2">
        <v>0</v>
      </c>
      <c r="U191" s="2">
        <v>1</v>
      </c>
      <c r="V191" s="2">
        <v>0</v>
      </c>
      <c r="W191" s="2">
        <v>1</v>
      </c>
      <c r="X191" s="2">
        <v>0</v>
      </c>
      <c r="Y191" s="2">
        <v>1</v>
      </c>
      <c r="Z191" s="26" t="s">
        <v>5167</v>
      </c>
      <c r="AA191" s="31">
        <v>1893.04</v>
      </c>
    </row>
    <row r="192" spans="1:27" ht="16" x14ac:dyDescent="0.2">
      <c r="A192" s="3" t="s">
        <v>3632</v>
      </c>
      <c r="B192" s="2" t="s">
        <v>3633</v>
      </c>
      <c r="C192" s="2" t="s">
        <v>3634</v>
      </c>
      <c r="D192" s="2">
        <v>1894</v>
      </c>
      <c r="E192" s="6">
        <v>1890</v>
      </c>
      <c r="F192" s="2">
        <v>1</v>
      </c>
      <c r="G192" s="2">
        <v>1</v>
      </c>
      <c r="H192" s="3" t="s">
        <v>3442</v>
      </c>
      <c r="I192" s="3" t="s">
        <v>3635</v>
      </c>
      <c r="J192" s="3" t="s">
        <v>3635</v>
      </c>
      <c r="K192" s="15"/>
      <c r="L192" s="4" t="s">
        <v>3636</v>
      </c>
      <c r="M192" s="4">
        <f>6+(12*43)</f>
        <v>522</v>
      </c>
      <c r="N192" s="2">
        <v>31</v>
      </c>
      <c r="O192" s="2">
        <v>5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6" t="s">
        <v>5167</v>
      </c>
      <c r="AA192" s="31">
        <v>1894.01</v>
      </c>
    </row>
    <row r="193" spans="1:27" ht="16" x14ac:dyDescent="0.2">
      <c r="A193" s="3" t="s">
        <v>689</v>
      </c>
      <c r="B193" s="2" t="s">
        <v>690</v>
      </c>
      <c r="C193" s="2" t="s">
        <v>691</v>
      </c>
      <c r="D193" s="6">
        <v>1894</v>
      </c>
      <c r="E193" s="6">
        <v>1890</v>
      </c>
      <c r="F193" s="2">
        <v>0</v>
      </c>
      <c r="G193" s="2">
        <v>0</v>
      </c>
      <c r="H193" s="3" t="s">
        <v>27</v>
      </c>
      <c r="I193" s="3" t="s">
        <v>692</v>
      </c>
      <c r="J193" s="3" t="s">
        <v>4771</v>
      </c>
      <c r="K193" s="15"/>
      <c r="L193" s="4" t="s">
        <v>693</v>
      </c>
      <c r="M193" s="4">
        <f>4+6+12*3</f>
        <v>46</v>
      </c>
      <c r="N193" s="2">
        <v>51</v>
      </c>
      <c r="O193" s="2">
        <v>5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6" t="s">
        <v>5167</v>
      </c>
      <c r="AA193" s="31">
        <v>1894.02</v>
      </c>
    </row>
    <row r="194" spans="1:27" ht="16" x14ac:dyDescent="0.2">
      <c r="A194" s="3" t="s">
        <v>684</v>
      </c>
      <c r="B194" s="2" t="s">
        <v>685</v>
      </c>
      <c r="C194" s="2" t="s">
        <v>686</v>
      </c>
      <c r="D194" s="6">
        <v>1894</v>
      </c>
      <c r="E194" s="6">
        <v>1890</v>
      </c>
      <c r="F194" s="2">
        <v>0</v>
      </c>
      <c r="G194" s="2">
        <v>0</v>
      </c>
      <c r="H194" s="3" t="s">
        <v>27</v>
      </c>
      <c r="I194" s="3" t="s">
        <v>687</v>
      </c>
      <c r="J194" s="3" t="s">
        <v>2104</v>
      </c>
      <c r="K194" s="15"/>
      <c r="L194" s="4" t="s">
        <v>688</v>
      </c>
      <c r="M194" s="4">
        <f>11+5+12*6</f>
        <v>88</v>
      </c>
      <c r="N194" s="2">
        <v>49</v>
      </c>
      <c r="O194" s="2">
        <v>6</v>
      </c>
      <c r="P194" s="2">
        <v>1</v>
      </c>
      <c r="Q194" s="2">
        <v>1</v>
      </c>
      <c r="R194" s="2">
        <v>0</v>
      </c>
      <c r="S194" s="2">
        <v>1</v>
      </c>
      <c r="T194" s="2">
        <v>0</v>
      </c>
      <c r="U194" s="2">
        <v>1</v>
      </c>
      <c r="V194" s="2">
        <v>0</v>
      </c>
      <c r="W194" s="2">
        <v>1</v>
      </c>
      <c r="X194" s="2">
        <v>3</v>
      </c>
      <c r="Y194" s="2">
        <v>1</v>
      </c>
      <c r="Z194" s="26" t="s">
        <v>5167</v>
      </c>
      <c r="AA194" s="31">
        <v>1894.03</v>
      </c>
    </row>
    <row r="195" spans="1:27" ht="16" x14ac:dyDescent="0.2">
      <c r="A195" s="3" t="s">
        <v>694</v>
      </c>
      <c r="B195" s="2" t="s">
        <v>695</v>
      </c>
      <c r="C195" s="2" t="s">
        <v>696</v>
      </c>
      <c r="D195" s="6">
        <v>1894</v>
      </c>
      <c r="E195" s="6">
        <v>1890</v>
      </c>
      <c r="F195" s="2">
        <v>0</v>
      </c>
      <c r="G195" s="2">
        <v>0</v>
      </c>
      <c r="H195" s="3" t="s">
        <v>27</v>
      </c>
      <c r="I195" s="3" t="s">
        <v>697</v>
      </c>
      <c r="J195" s="3" t="s">
        <v>4772</v>
      </c>
      <c r="K195" s="15"/>
      <c r="L195" s="4" t="s">
        <v>665</v>
      </c>
      <c r="M195" s="4">
        <f>20+24</f>
        <v>44</v>
      </c>
      <c r="N195" s="2">
        <v>51</v>
      </c>
      <c r="O195" s="2">
        <v>6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1</v>
      </c>
      <c r="X195" s="2">
        <v>0</v>
      </c>
      <c r="Y195" s="2">
        <v>0</v>
      </c>
      <c r="Z195" s="26" t="s">
        <v>5167</v>
      </c>
      <c r="AA195" s="31">
        <v>1894.04</v>
      </c>
    </row>
    <row r="196" spans="1:27" ht="16" x14ac:dyDescent="0.2">
      <c r="A196" s="3" t="s">
        <v>3645</v>
      </c>
      <c r="B196" s="2" t="s">
        <v>3646</v>
      </c>
      <c r="C196" s="8" t="s">
        <v>3647</v>
      </c>
      <c r="D196" s="6">
        <v>1895</v>
      </c>
      <c r="E196" s="6">
        <v>1890</v>
      </c>
      <c r="F196" s="2">
        <v>1</v>
      </c>
      <c r="G196" s="2">
        <v>1</v>
      </c>
      <c r="H196" s="3" t="s">
        <v>3442</v>
      </c>
      <c r="I196" s="3" t="s">
        <v>779</v>
      </c>
      <c r="J196" s="3" t="s">
        <v>1535</v>
      </c>
      <c r="K196" s="15"/>
      <c r="L196" s="10" t="s">
        <v>780</v>
      </c>
      <c r="M196" s="4">
        <v>55</v>
      </c>
      <c r="N196" s="2">
        <v>51</v>
      </c>
      <c r="O196" s="2">
        <v>5</v>
      </c>
      <c r="Q196" s="2">
        <v>1</v>
      </c>
      <c r="R196" s="2">
        <v>1</v>
      </c>
      <c r="S196" s="2">
        <v>1</v>
      </c>
      <c r="T196" s="2">
        <v>0</v>
      </c>
      <c r="U196" s="2">
        <v>0</v>
      </c>
      <c r="V196" s="2">
        <v>0</v>
      </c>
      <c r="W196" s="2">
        <v>1</v>
      </c>
      <c r="X196" s="2">
        <v>1</v>
      </c>
      <c r="Y196" s="2">
        <v>0</v>
      </c>
      <c r="Z196" s="26" t="s">
        <v>5167</v>
      </c>
      <c r="AA196" s="31">
        <v>1895.01</v>
      </c>
    </row>
    <row r="197" spans="1:27" ht="16" x14ac:dyDescent="0.2">
      <c r="A197" s="3" t="s">
        <v>698</v>
      </c>
      <c r="B197" s="2" t="s">
        <v>699</v>
      </c>
      <c r="C197" s="2" t="s">
        <v>700</v>
      </c>
      <c r="D197" s="6">
        <v>1895</v>
      </c>
      <c r="E197" s="6">
        <v>1890</v>
      </c>
      <c r="F197" s="2">
        <v>0</v>
      </c>
      <c r="G197" s="2">
        <v>0</v>
      </c>
      <c r="H197" s="3" t="s">
        <v>27</v>
      </c>
      <c r="I197" s="3" t="s">
        <v>701</v>
      </c>
      <c r="J197" s="3" t="s">
        <v>4773</v>
      </c>
      <c r="K197" s="15"/>
      <c r="L197" s="4" t="s">
        <v>702</v>
      </c>
      <c r="M197" s="4">
        <f>3+6+12*4</f>
        <v>57</v>
      </c>
      <c r="N197" s="2">
        <v>51</v>
      </c>
      <c r="O197" s="2">
        <v>4</v>
      </c>
      <c r="Q197" s="2">
        <v>1</v>
      </c>
      <c r="R197" s="2">
        <v>0</v>
      </c>
      <c r="S197" s="2">
        <v>1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6" t="s">
        <v>5167</v>
      </c>
      <c r="AA197" s="31">
        <v>1895.02</v>
      </c>
    </row>
    <row r="198" spans="1:27" ht="16" x14ac:dyDescent="0.2">
      <c r="A198" s="3" t="s">
        <v>3637</v>
      </c>
      <c r="B198" s="2" t="s">
        <v>3638</v>
      </c>
      <c r="C198" s="2" t="s">
        <v>3639</v>
      </c>
      <c r="D198" s="6">
        <v>1895</v>
      </c>
      <c r="E198" s="6">
        <v>1890</v>
      </c>
      <c r="F198" s="2">
        <v>2</v>
      </c>
      <c r="G198" s="2">
        <v>1</v>
      </c>
      <c r="H198" s="3" t="s">
        <v>3434</v>
      </c>
      <c r="I198" s="3" t="s">
        <v>3640</v>
      </c>
      <c r="J198" s="3" t="s">
        <v>3641</v>
      </c>
      <c r="K198" s="15"/>
      <c r="L198" s="4" t="s">
        <v>3642</v>
      </c>
      <c r="M198" s="4">
        <f>4+3</f>
        <v>7</v>
      </c>
      <c r="N198" s="2">
        <v>53</v>
      </c>
      <c r="O198" s="2">
        <v>4</v>
      </c>
      <c r="P198" s="2">
        <v>5</v>
      </c>
      <c r="Q198" s="2">
        <v>1</v>
      </c>
      <c r="R198" s="2">
        <v>1</v>
      </c>
      <c r="S198" s="2">
        <v>1</v>
      </c>
      <c r="T198" s="2">
        <v>0</v>
      </c>
      <c r="U198" s="2">
        <v>1</v>
      </c>
      <c r="V198" s="2">
        <v>1</v>
      </c>
      <c r="W198" s="2">
        <v>0</v>
      </c>
      <c r="X198" s="2">
        <v>2</v>
      </c>
      <c r="Y198" s="2">
        <v>1</v>
      </c>
      <c r="Z198" s="26" t="s">
        <v>5167</v>
      </c>
      <c r="AA198" s="31">
        <v>1895.03</v>
      </c>
    </row>
    <row r="199" spans="1:27" ht="16" x14ac:dyDescent="0.2">
      <c r="A199" s="3" t="s">
        <v>703</v>
      </c>
      <c r="B199" s="2" t="s">
        <v>704</v>
      </c>
      <c r="C199" s="2" t="s">
        <v>705</v>
      </c>
      <c r="D199" s="6">
        <v>1895</v>
      </c>
      <c r="E199" s="6">
        <v>1890</v>
      </c>
      <c r="F199" s="2">
        <v>0</v>
      </c>
      <c r="G199" s="2">
        <v>0</v>
      </c>
      <c r="H199" s="3" t="s">
        <v>27</v>
      </c>
      <c r="I199" s="3" t="s">
        <v>5093</v>
      </c>
      <c r="J199" s="3" t="s">
        <v>706</v>
      </c>
      <c r="K199" s="15"/>
      <c r="L199" s="4" t="s">
        <v>707</v>
      </c>
      <c r="M199" s="4">
        <v>9</v>
      </c>
      <c r="N199" s="2">
        <v>53</v>
      </c>
      <c r="O199" s="2">
        <v>1</v>
      </c>
      <c r="P199" s="2">
        <v>6</v>
      </c>
      <c r="Q199" s="2">
        <v>0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1</v>
      </c>
      <c r="X199" s="2">
        <v>1</v>
      </c>
      <c r="Y199" s="2">
        <v>1</v>
      </c>
      <c r="Z199" s="26" t="s">
        <v>5167</v>
      </c>
      <c r="AA199" s="31">
        <v>1895.04</v>
      </c>
    </row>
    <row r="200" spans="1:27" ht="16" x14ac:dyDescent="0.2">
      <c r="A200" s="3" t="s">
        <v>3637</v>
      </c>
      <c r="B200" s="2" t="s">
        <v>3643</v>
      </c>
      <c r="C200" s="2" t="s">
        <v>3644</v>
      </c>
      <c r="D200" s="6">
        <v>1895</v>
      </c>
      <c r="E200" s="6">
        <v>1890</v>
      </c>
      <c r="F200" s="2">
        <v>2</v>
      </c>
      <c r="G200" s="2">
        <v>1</v>
      </c>
      <c r="H200" s="3" t="s">
        <v>3434</v>
      </c>
      <c r="I200" s="3" t="s">
        <v>3640</v>
      </c>
      <c r="J200" s="3" t="s">
        <v>3641</v>
      </c>
      <c r="K200" s="15"/>
      <c r="L200" s="4" t="s">
        <v>3642</v>
      </c>
      <c r="M200" s="4">
        <f>4+4</f>
        <v>8</v>
      </c>
      <c r="N200" s="2">
        <v>53</v>
      </c>
      <c r="O200" s="2">
        <v>4</v>
      </c>
      <c r="P200" s="2">
        <v>5</v>
      </c>
      <c r="Q200" s="2">
        <v>1</v>
      </c>
      <c r="R200" s="2">
        <v>1</v>
      </c>
      <c r="S200" s="2">
        <v>1</v>
      </c>
      <c r="T200" s="2">
        <v>0</v>
      </c>
      <c r="U200" s="2">
        <v>1</v>
      </c>
      <c r="V200" s="2">
        <v>1</v>
      </c>
      <c r="W200" s="2">
        <v>0</v>
      </c>
      <c r="X200" s="2">
        <v>4</v>
      </c>
      <c r="Y200" s="2">
        <v>1</v>
      </c>
      <c r="Z200" s="26" t="s">
        <v>5167</v>
      </c>
      <c r="AA200" s="31">
        <v>1895.05</v>
      </c>
    </row>
    <row r="201" spans="1:27" ht="16" x14ac:dyDescent="0.2">
      <c r="A201" s="3" t="s">
        <v>713</v>
      </c>
      <c r="B201" s="2" t="s">
        <v>714</v>
      </c>
      <c r="C201" s="2" t="s">
        <v>715</v>
      </c>
      <c r="D201" s="6">
        <v>1896</v>
      </c>
      <c r="E201" s="6">
        <v>1890</v>
      </c>
      <c r="F201" s="2">
        <v>0</v>
      </c>
      <c r="G201" s="2">
        <v>0</v>
      </c>
      <c r="H201" s="3" t="s">
        <v>27</v>
      </c>
      <c r="I201" s="3" t="s">
        <v>716</v>
      </c>
      <c r="J201" s="3" t="s">
        <v>4774</v>
      </c>
      <c r="K201" s="15"/>
      <c r="L201" s="4" t="s">
        <v>717</v>
      </c>
      <c r="M201" s="4">
        <f>7*12+5</f>
        <v>89</v>
      </c>
      <c r="N201" s="2">
        <v>50</v>
      </c>
      <c r="O201" s="2">
        <v>4</v>
      </c>
      <c r="P201" s="2">
        <v>6</v>
      </c>
      <c r="Q201" s="2">
        <v>0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1</v>
      </c>
      <c r="X201" s="2">
        <v>0</v>
      </c>
      <c r="Y201" s="2">
        <v>1</v>
      </c>
      <c r="Z201" s="26" t="s">
        <v>5167</v>
      </c>
      <c r="AA201" s="31">
        <v>1896.01</v>
      </c>
    </row>
    <row r="202" spans="1:27" ht="16" x14ac:dyDescent="0.2">
      <c r="A202" s="3" t="s">
        <v>718</v>
      </c>
      <c r="B202" s="2" t="s">
        <v>719</v>
      </c>
      <c r="C202" s="2" t="s">
        <v>720</v>
      </c>
      <c r="D202" s="6">
        <v>1896</v>
      </c>
      <c r="E202" s="6">
        <v>1890</v>
      </c>
      <c r="F202" s="2">
        <v>0</v>
      </c>
      <c r="G202" s="2">
        <v>0</v>
      </c>
      <c r="H202" s="3" t="s">
        <v>27</v>
      </c>
      <c r="I202" s="3" t="s">
        <v>721</v>
      </c>
      <c r="J202" s="3" t="s">
        <v>4775</v>
      </c>
      <c r="K202" s="15"/>
      <c r="L202" s="4" t="s">
        <v>722</v>
      </c>
      <c r="M202" s="4">
        <v>20</v>
      </c>
      <c r="N202" s="2">
        <v>53</v>
      </c>
      <c r="O202" s="7" t="s">
        <v>723</v>
      </c>
      <c r="P202" s="7"/>
      <c r="Q202" s="2">
        <v>0</v>
      </c>
      <c r="R202" s="2">
        <v>0</v>
      </c>
      <c r="S202" s="2">
        <v>1</v>
      </c>
      <c r="T202" s="2">
        <v>0</v>
      </c>
      <c r="U202" s="2">
        <v>1</v>
      </c>
      <c r="V202" s="2">
        <v>0</v>
      </c>
      <c r="W202" s="2">
        <v>1</v>
      </c>
      <c r="X202" s="2">
        <v>0</v>
      </c>
      <c r="Y202" s="2">
        <v>1</v>
      </c>
      <c r="Z202" s="26" t="s">
        <v>5167</v>
      </c>
      <c r="AA202" s="31">
        <v>1896.02</v>
      </c>
    </row>
    <row r="203" spans="1:27" ht="16" x14ac:dyDescent="0.2">
      <c r="A203" s="3" t="s">
        <v>708</v>
      </c>
      <c r="B203" s="2" t="s">
        <v>709</v>
      </c>
      <c r="C203" s="2" t="s">
        <v>710</v>
      </c>
      <c r="D203" s="6">
        <v>1896</v>
      </c>
      <c r="E203" s="6">
        <v>1890</v>
      </c>
      <c r="F203" s="2">
        <v>0</v>
      </c>
      <c r="G203" s="2">
        <v>0</v>
      </c>
      <c r="H203" s="3" t="s">
        <v>27</v>
      </c>
      <c r="I203" s="3" t="s">
        <v>711</v>
      </c>
      <c r="J203" s="3" t="s">
        <v>4776</v>
      </c>
      <c r="K203" s="15"/>
      <c r="L203" s="4" t="s">
        <v>712</v>
      </c>
      <c r="M203" s="4">
        <f>14+24</f>
        <v>38</v>
      </c>
      <c r="N203" s="2">
        <v>52</v>
      </c>
      <c r="O203" s="2">
        <v>1</v>
      </c>
      <c r="P203" s="2">
        <v>6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1</v>
      </c>
      <c r="X203" s="2">
        <v>4</v>
      </c>
      <c r="Y203" s="2">
        <v>1</v>
      </c>
      <c r="Z203" s="26" t="s">
        <v>5167</v>
      </c>
      <c r="AA203" s="31">
        <v>1896.03</v>
      </c>
    </row>
    <row r="204" spans="1:27" ht="16" x14ac:dyDescent="0.2">
      <c r="A204" s="3" t="s">
        <v>3648</v>
      </c>
      <c r="B204" s="2" t="s">
        <v>3649</v>
      </c>
      <c r="C204" s="2" t="s">
        <v>3650</v>
      </c>
      <c r="D204" s="6">
        <v>1896</v>
      </c>
      <c r="E204" s="6">
        <v>1890</v>
      </c>
      <c r="F204" s="2">
        <v>1</v>
      </c>
      <c r="G204" s="2">
        <v>1</v>
      </c>
      <c r="H204" s="3" t="s">
        <v>3442</v>
      </c>
      <c r="I204" s="3" t="s">
        <v>673</v>
      </c>
      <c r="J204" s="3" t="s">
        <v>4769</v>
      </c>
      <c r="K204" s="15"/>
      <c r="L204" s="4" t="s">
        <v>4768</v>
      </c>
      <c r="M204" s="4">
        <f>12*3+5+8</f>
        <v>49</v>
      </c>
      <c r="N204" s="2">
        <v>52</v>
      </c>
      <c r="O204" s="2">
        <v>1</v>
      </c>
      <c r="P204" s="2">
        <v>3</v>
      </c>
      <c r="Q204" s="2">
        <v>1</v>
      </c>
      <c r="R204" s="2">
        <v>0</v>
      </c>
      <c r="S204" s="2">
        <v>1</v>
      </c>
      <c r="T204" s="2">
        <v>0</v>
      </c>
      <c r="U204" s="2">
        <v>1</v>
      </c>
      <c r="V204" s="2">
        <v>1</v>
      </c>
      <c r="W204" s="2">
        <v>1</v>
      </c>
      <c r="X204" s="2">
        <v>1</v>
      </c>
      <c r="Y204" s="2">
        <v>1</v>
      </c>
      <c r="Z204" s="26" t="s">
        <v>5167</v>
      </c>
      <c r="AA204" s="31">
        <v>1896.04</v>
      </c>
    </row>
    <row r="205" spans="1:27" ht="16" x14ac:dyDescent="0.2">
      <c r="A205" s="3" t="s">
        <v>724</v>
      </c>
      <c r="B205" s="2" t="s">
        <v>725</v>
      </c>
      <c r="C205" s="2" t="s">
        <v>726</v>
      </c>
      <c r="D205" s="6">
        <v>1896</v>
      </c>
      <c r="E205" s="6">
        <v>1890</v>
      </c>
      <c r="F205" s="2">
        <v>0</v>
      </c>
      <c r="G205" s="2">
        <v>0</v>
      </c>
      <c r="H205" s="3" t="s">
        <v>27</v>
      </c>
      <c r="I205" s="3" t="s">
        <v>727</v>
      </c>
      <c r="J205" s="3" t="s">
        <v>4777</v>
      </c>
      <c r="K205" s="15"/>
      <c r="L205" s="4" t="s">
        <v>728</v>
      </c>
      <c r="M205" s="4">
        <f>10+5</f>
        <v>15</v>
      </c>
      <c r="N205" s="2">
        <v>53</v>
      </c>
      <c r="O205" s="2">
        <v>4</v>
      </c>
      <c r="Q205" s="2">
        <v>0</v>
      </c>
      <c r="R205" s="2">
        <v>0</v>
      </c>
      <c r="S205" s="2">
        <v>1</v>
      </c>
      <c r="T205" s="2">
        <v>0</v>
      </c>
      <c r="U205" s="2">
        <v>0</v>
      </c>
      <c r="V205" s="2">
        <v>0</v>
      </c>
      <c r="W205" s="2">
        <v>1</v>
      </c>
      <c r="X205" s="2">
        <v>0</v>
      </c>
      <c r="Y205" s="2">
        <v>1</v>
      </c>
      <c r="Z205" s="26" t="s">
        <v>5167</v>
      </c>
      <c r="AA205" s="31">
        <v>1896.05</v>
      </c>
    </row>
    <row r="206" spans="1:27" ht="16" x14ac:dyDescent="0.2">
      <c r="A206" s="3" t="s">
        <v>754</v>
      </c>
      <c r="B206" s="2" t="s">
        <v>755</v>
      </c>
      <c r="C206" s="2" t="s">
        <v>756</v>
      </c>
      <c r="D206" s="6">
        <v>1897</v>
      </c>
      <c r="E206" s="6">
        <v>1890</v>
      </c>
      <c r="F206" s="2">
        <v>0</v>
      </c>
      <c r="G206" s="2">
        <v>0</v>
      </c>
      <c r="H206" s="3" t="s">
        <v>27</v>
      </c>
      <c r="I206" s="3" t="s">
        <v>757</v>
      </c>
      <c r="J206" s="3" t="s">
        <v>758</v>
      </c>
      <c r="K206" s="18" t="s">
        <v>759</v>
      </c>
      <c r="L206" s="4" t="s">
        <v>760</v>
      </c>
      <c r="M206" s="4">
        <f>5+1+12*106</f>
        <v>1278</v>
      </c>
      <c r="N206" s="2">
        <v>1</v>
      </c>
      <c r="O206" s="2">
        <v>6</v>
      </c>
      <c r="P206" s="2">
        <v>2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0</v>
      </c>
      <c r="W206" s="2">
        <v>1</v>
      </c>
      <c r="X206" s="2">
        <v>1</v>
      </c>
      <c r="Y206" s="2">
        <v>1</v>
      </c>
      <c r="Z206" s="26" t="s">
        <v>5167</v>
      </c>
      <c r="AA206" s="31">
        <v>1897.01</v>
      </c>
    </row>
    <row r="207" spans="1:27" ht="16" x14ac:dyDescent="0.2">
      <c r="A207" s="3" t="s">
        <v>729</v>
      </c>
      <c r="B207" s="2" t="s">
        <v>730</v>
      </c>
      <c r="C207" s="2" t="s">
        <v>731</v>
      </c>
      <c r="D207" s="6">
        <v>1897</v>
      </c>
      <c r="E207" s="6">
        <v>1890</v>
      </c>
      <c r="F207" s="2">
        <v>0</v>
      </c>
      <c r="G207" s="2">
        <v>0</v>
      </c>
      <c r="H207" s="3" t="s">
        <v>27</v>
      </c>
      <c r="I207" s="3" t="s">
        <v>732</v>
      </c>
      <c r="J207" s="3" t="s">
        <v>4778</v>
      </c>
      <c r="K207" s="15"/>
      <c r="L207" s="4" t="s">
        <v>733</v>
      </c>
      <c r="M207" s="4">
        <f>12*10+6+2</f>
        <v>128</v>
      </c>
      <c r="N207" s="2">
        <v>49</v>
      </c>
      <c r="O207" s="2">
        <v>4</v>
      </c>
      <c r="P207" s="2">
        <v>1</v>
      </c>
      <c r="Q207" s="2">
        <v>0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1</v>
      </c>
      <c r="Z207" s="26" t="s">
        <v>5167</v>
      </c>
      <c r="AA207" s="31">
        <v>1897.02</v>
      </c>
    </row>
    <row r="208" spans="1:27" ht="16" x14ac:dyDescent="0.2">
      <c r="A208" s="3" t="s">
        <v>749</v>
      </c>
      <c r="B208" s="2" t="s">
        <v>750</v>
      </c>
      <c r="C208" s="2" t="s">
        <v>751</v>
      </c>
      <c r="D208" s="6">
        <v>1897</v>
      </c>
      <c r="E208" s="6">
        <v>1890</v>
      </c>
      <c r="F208" s="2">
        <v>0</v>
      </c>
      <c r="G208" s="2">
        <v>0</v>
      </c>
      <c r="H208" s="3" t="s">
        <v>27</v>
      </c>
      <c r="I208" s="3" t="s">
        <v>752</v>
      </c>
      <c r="J208" s="3" t="s">
        <v>4779</v>
      </c>
      <c r="K208" s="15"/>
      <c r="L208" s="4" t="s">
        <v>753</v>
      </c>
      <c r="M208" s="4">
        <f>12*10+5+2</f>
        <v>127</v>
      </c>
      <c r="N208" s="2">
        <v>49</v>
      </c>
      <c r="O208" s="2">
        <v>6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1</v>
      </c>
      <c r="X208" s="2">
        <v>0</v>
      </c>
      <c r="Y208" s="2">
        <v>1</v>
      </c>
      <c r="Z208" s="26" t="s">
        <v>5167</v>
      </c>
      <c r="AA208" s="31">
        <v>1897.03</v>
      </c>
    </row>
    <row r="209" spans="1:27" ht="16" x14ac:dyDescent="0.2">
      <c r="A209" s="3" t="s">
        <v>744</v>
      </c>
      <c r="B209" s="2" t="s">
        <v>745</v>
      </c>
      <c r="C209" s="2" t="s">
        <v>746</v>
      </c>
      <c r="D209" s="6">
        <v>1897</v>
      </c>
      <c r="E209" s="6">
        <v>1890</v>
      </c>
      <c r="F209" s="2">
        <v>0</v>
      </c>
      <c r="G209" s="2">
        <v>0</v>
      </c>
      <c r="H209" s="3" t="s">
        <v>27</v>
      </c>
      <c r="I209" s="3" t="s">
        <v>747</v>
      </c>
      <c r="J209" s="3" t="s">
        <v>4780</v>
      </c>
      <c r="K209" s="15"/>
      <c r="L209" s="4" t="s">
        <v>748</v>
      </c>
      <c r="M209" s="4">
        <f>12*39+11+4</f>
        <v>483</v>
      </c>
      <c r="N209" s="2">
        <v>34</v>
      </c>
      <c r="O209" s="2">
        <v>1</v>
      </c>
      <c r="P209" s="2">
        <v>6</v>
      </c>
      <c r="Q209" s="2">
        <v>0</v>
      </c>
      <c r="R209" s="2">
        <v>0</v>
      </c>
      <c r="S209" s="2">
        <v>1</v>
      </c>
      <c r="T209" s="2">
        <v>0</v>
      </c>
      <c r="U209" s="2">
        <v>0</v>
      </c>
      <c r="V209" s="2">
        <v>0</v>
      </c>
      <c r="W209" s="2">
        <v>1</v>
      </c>
      <c r="X209" s="2">
        <v>0</v>
      </c>
      <c r="Y209" s="2">
        <v>0</v>
      </c>
      <c r="Z209" s="26" t="s">
        <v>5167</v>
      </c>
      <c r="AA209" s="31">
        <v>1897.04</v>
      </c>
    </row>
    <row r="210" spans="1:27" ht="16" x14ac:dyDescent="0.2">
      <c r="A210" s="3" t="s">
        <v>761</v>
      </c>
      <c r="B210" s="2" t="s">
        <v>762</v>
      </c>
      <c r="C210" s="2" t="s">
        <v>736</v>
      </c>
      <c r="D210" s="6">
        <v>1897</v>
      </c>
      <c r="E210" s="6">
        <v>1890</v>
      </c>
      <c r="F210" s="2">
        <v>0</v>
      </c>
      <c r="G210" s="2">
        <v>0</v>
      </c>
      <c r="H210" s="3" t="s">
        <v>27</v>
      </c>
      <c r="I210" s="3" t="s">
        <v>256</v>
      </c>
      <c r="J210" s="3" t="s">
        <v>4587</v>
      </c>
      <c r="K210" s="15"/>
      <c r="L210" s="4" t="s">
        <v>257</v>
      </c>
      <c r="M210" s="4">
        <f>7+4+12*32</f>
        <v>395</v>
      </c>
      <c r="N210" s="2">
        <v>38</v>
      </c>
      <c r="O210" s="2">
        <v>6</v>
      </c>
      <c r="Q210" s="2">
        <v>0</v>
      </c>
      <c r="R210" s="2">
        <v>0</v>
      </c>
      <c r="S210" s="2">
        <v>1</v>
      </c>
      <c r="T210" s="2">
        <v>0</v>
      </c>
      <c r="U210" s="2">
        <v>0</v>
      </c>
      <c r="V210" s="2">
        <v>0</v>
      </c>
      <c r="W210" s="2">
        <v>1</v>
      </c>
      <c r="X210" s="2">
        <v>0</v>
      </c>
      <c r="Y210" s="2">
        <v>0</v>
      </c>
      <c r="Z210" s="26" t="s">
        <v>5167</v>
      </c>
      <c r="AA210" s="31">
        <v>1897.05</v>
      </c>
    </row>
    <row r="211" spans="1:27" ht="16" x14ac:dyDescent="0.2">
      <c r="A211" s="3" t="s">
        <v>739</v>
      </c>
      <c r="B211" s="2" t="s">
        <v>740</v>
      </c>
      <c r="C211" s="2" t="s">
        <v>741</v>
      </c>
      <c r="D211" s="6">
        <v>1897</v>
      </c>
      <c r="E211" s="6">
        <v>1890</v>
      </c>
      <c r="F211" s="2">
        <v>0</v>
      </c>
      <c r="G211" s="2">
        <v>0</v>
      </c>
      <c r="H211" s="3" t="s">
        <v>27</v>
      </c>
      <c r="I211" s="3" t="s">
        <v>742</v>
      </c>
      <c r="J211" s="3" t="s">
        <v>4781</v>
      </c>
      <c r="K211" s="15"/>
      <c r="L211" s="4" t="s">
        <v>743</v>
      </c>
      <c r="M211" s="4">
        <f>10+5+12*11</f>
        <v>147</v>
      </c>
      <c r="N211" s="2">
        <v>48</v>
      </c>
      <c r="O211" s="2">
        <v>5</v>
      </c>
      <c r="Q211" s="2">
        <v>1</v>
      </c>
      <c r="R211" s="2">
        <v>1</v>
      </c>
      <c r="S211" s="2">
        <v>1</v>
      </c>
      <c r="T211" s="2">
        <v>0</v>
      </c>
      <c r="U211" s="2">
        <v>0</v>
      </c>
      <c r="V211" s="2">
        <v>0</v>
      </c>
      <c r="W211" s="2">
        <v>1</v>
      </c>
      <c r="X211" s="2">
        <v>0</v>
      </c>
      <c r="Y211" s="2">
        <v>1</v>
      </c>
      <c r="Z211" s="26" t="s">
        <v>5167</v>
      </c>
      <c r="AA211" s="31">
        <v>1897.06</v>
      </c>
    </row>
    <row r="212" spans="1:27" ht="16" x14ac:dyDescent="0.2">
      <c r="A212" s="3" t="s">
        <v>734</v>
      </c>
      <c r="B212" s="2" t="s">
        <v>735</v>
      </c>
      <c r="C212" s="2" t="s">
        <v>736</v>
      </c>
      <c r="D212" s="6">
        <v>1897</v>
      </c>
      <c r="E212" s="6">
        <v>1890</v>
      </c>
      <c r="F212" s="2">
        <v>0</v>
      </c>
      <c r="G212" s="2">
        <v>0</v>
      </c>
      <c r="H212" s="3" t="s">
        <v>27</v>
      </c>
      <c r="I212" s="3" t="s">
        <v>737</v>
      </c>
      <c r="J212" s="3" t="s">
        <v>4782</v>
      </c>
      <c r="K212" s="15"/>
      <c r="L212" s="4" t="s">
        <v>738</v>
      </c>
      <c r="M212" s="4">
        <f>10+4+12*3</f>
        <v>50</v>
      </c>
      <c r="N212" s="2">
        <v>52</v>
      </c>
      <c r="O212" s="2">
        <v>4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1</v>
      </c>
      <c r="V212" s="2">
        <v>0</v>
      </c>
      <c r="W212" s="2">
        <v>1</v>
      </c>
      <c r="X212" s="2">
        <v>0</v>
      </c>
      <c r="Y212" s="2">
        <v>1</v>
      </c>
      <c r="Z212" s="26" t="s">
        <v>5167</v>
      </c>
      <c r="AA212" s="31">
        <v>1897.07</v>
      </c>
    </row>
    <row r="213" spans="1:27" ht="16" x14ac:dyDescent="0.2">
      <c r="A213" s="3" t="s">
        <v>773</v>
      </c>
      <c r="B213" s="2" t="s">
        <v>774</v>
      </c>
      <c r="C213" s="2" t="s">
        <v>775</v>
      </c>
      <c r="D213" s="6">
        <v>1898</v>
      </c>
      <c r="E213" s="6">
        <v>1890</v>
      </c>
      <c r="F213" s="2">
        <v>0</v>
      </c>
      <c r="G213" s="2">
        <v>0</v>
      </c>
      <c r="H213" s="3" t="s">
        <v>27</v>
      </c>
      <c r="I213" s="3" t="s">
        <v>682</v>
      </c>
      <c r="J213" s="3" t="s">
        <v>4767</v>
      </c>
      <c r="K213" s="15"/>
      <c r="L213" s="4" t="s">
        <v>683</v>
      </c>
      <c r="M213" s="4">
        <f>3+7*12</f>
        <v>87</v>
      </c>
      <c r="N213" s="2">
        <v>51</v>
      </c>
      <c r="O213" s="2">
        <v>4</v>
      </c>
      <c r="Q213" s="2">
        <v>0</v>
      </c>
      <c r="R213" s="2">
        <v>0</v>
      </c>
      <c r="S213" s="2">
        <v>1</v>
      </c>
      <c r="T213" s="2">
        <v>0</v>
      </c>
      <c r="U213" s="2">
        <v>1</v>
      </c>
      <c r="V213" s="2">
        <v>0</v>
      </c>
      <c r="W213" s="2">
        <v>1</v>
      </c>
      <c r="X213" s="2">
        <v>0</v>
      </c>
      <c r="Y213" s="2">
        <v>0</v>
      </c>
      <c r="Z213" s="26" t="s">
        <v>5167</v>
      </c>
      <c r="AA213" s="31">
        <v>1898.01</v>
      </c>
    </row>
    <row r="214" spans="1:27" ht="16" x14ac:dyDescent="0.2">
      <c r="A214" s="3" t="s">
        <v>763</v>
      </c>
      <c r="B214" s="2" t="s">
        <v>764</v>
      </c>
      <c r="C214" s="2" t="s">
        <v>765</v>
      </c>
      <c r="D214" s="6">
        <v>1898</v>
      </c>
      <c r="E214" s="6">
        <v>1890</v>
      </c>
      <c r="F214" s="2">
        <v>0</v>
      </c>
      <c r="G214" s="2">
        <v>0</v>
      </c>
      <c r="H214" s="3" t="s">
        <v>27</v>
      </c>
      <c r="I214" s="3" t="s">
        <v>766</v>
      </c>
      <c r="J214" s="3" t="s">
        <v>4783</v>
      </c>
      <c r="K214" s="15"/>
      <c r="L214" s="4" t="s">
        <v>767</v>
      </c>
      <c r="M214" s="4">
        <f>5+3+3*12</f>
        <v>44</v>
      </c>
      <c r="N214" s="2">
        <v>53</v>
      </c>
      <c r="O214" s="2">
        <v>1</v>
      </c>
      <c r="P214" s="2">
        <v>4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1</v>
      </c>
      <c r="X214" s="2">
        <v>0</v>
      </c>
      <c r="Y214" s="2">
        <v>1</v>
      </c>
      <c r="Z214" s="26" t="s">
        <v>5167</v>
      </c>
      <c r="AA214" s="31">
        <v>1898.02</v>
      </c>
    </row>
    <row r="215" spans="1:27" ht="16" x14ac:dyDescent="0.2">
      <c r="A215" s="3" t="s">
        <v>768</v>
      </c>
      <c r="B215" s="2" t="s">
        <v>769</v>
      </c>
      <c r="C215" s="2" t="s">
        <v>770</v>
      </c>
      <c r="D215" s="6">
        <v>1898</v>
      </c>
      <c r="E215" s="6">
        <v>1890</v>
      </c>
      <c r="F215" s="2">
        <v>0</v>
      </c>
      <c r="G215" s="2">
        <v>0</v>
      </c>
      <c r="H215" s="3" t="s">
        <v>27</v>
      </c>
      <c r="I215" s="3" t="s">
        <v>771</v>
      </c>
      <c r="J215" s="3" t="s">
        <v>4784</v>
      </c>
      <c r="K215" s="15"/>
      <c r="L215" s="4" t="s">
        <v>772</v>
      </c>
      <c r="M215" s="4">
        <v>45</v>
      </c>
      <c r="N215" s="2">
        <v>53</v>
      </c>
      <c r="O215" s="2">
        <v>4</v>
      </c>
      <c r="Q215" s="2">
        <v>1</v>
      </c>
      <c r="R215" s="2">
        <v>1</v>
      </c>
      <c r="S215" s="2">
        <v>1</v>
      </c>
      <c r="T215" s="2">
        <v>0</v>
      </c>
      <c r="U215" s="2">
        <v>1</v>
      </c>
      <c r="V215" s="2">
        <v>0</v>
      </c>
      <c r="W215" s="2">
        <v>1</v>
      </c>
      <c r="X215" s="2">
        <v>3</v>
      </c>
      <c r="Y215" s="2">
        <v>1</v>
      </c>
      <c r="Z215" s="26" t="s">
        <v>5167</v>
      </c>
      <c r="AA215" s="31">
        <v>1898.03</v>
      </c>
    </row>
    <row r="216" spans="1:27" ht="16" x14ac:dyDescent="0.2">
      <c r="A216" s="3" t="s">
        <v>3651</v>
      </c>
      <c r="B216" s="2" t="s">
        <v>3652</v>
      </c>
      <c r="C216" s="2" t="s">
        <v>770</v>
      </c>
      <c r="D216" s="6">
        <v>1898</v>
      </c>
      <c r="E216" s="6">
        <v>1890</v>
      </c>
      <c r="F216" s="2">
        <v>1</v>
      </c>
      <c r="G216" s="2">
        <v>1</v>
      </c>
      <c r="H216" s="3" t="s">
        <v>3442</v>
      </c>
      <c r="I216" s="3" t="s">
        <v>779</v>
      </c>
      <c r="J216" s="3" t="s">
        <v>1535</v>
      </c>
      <c r="K216" s="15"/>
      <c r="L216" s="4" t="s">
        <v>780</v>
      </c>
      <c r="M216" s="4">
        <v>100</v>
      </c>
      <c r="N216" s="2">
        <v>51</v>
      </c>
      <c r="O216" s="2">
        <v>4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  <c r="V216" s="2">
        <v>0</v>
      </c>
      <c r="W216" s="2">
        <v>1</v>
      </c>
      <c r="X216" s="2">
        <v>0</v>
      </c>
      <c r="Y216" s="2">
        <v>0</v>
      </c>
      <c r="Z216" s="26" t="s">
        <v>5167</v>
      </c>
      <c r="AA216" s="31">
        <v>1898.04</v>
      </c>
    </row>
    <row r="217" spans="1:27" ht="16" x14ac:dyDescent="0.2">
      <c r="A217" s="3" t="s">
        <v>804</v>
      </c>
      <c r="B217" s="2" t="s">
        <v>805</v>
      </c>
      <c r="C217" s="2" t="s">
        <v>806</v>
      </c>
      <c r="D217" s="6">
        <v>1899</v>
      </c>
      <c r="E217" s="6">
        <v>1890</v>
      </c>
      <c r="F217" s="2">
        <v>0</v>
      </c>
      <c r="G217" s="2">
        <v>0</v>
      </c>
      <c r="H217" s="3" t="s">
        <v>27</v>
      </c>
      <c r="I217" s="3" t="s">
        <v>807</v>
      </c>
      <c r="J217" s="3" t="s">
        <v>4785</v>
      </c>
      <c r="K217" s="15"/>
      <c r="L217" s="4" t="s">
        <v>808</v>
      </c>
      <c r="M217" s="4">
        <f>11+1+5*12</f>
        <v>72</v>
      </c>
      <c r="N217" s="2">
        <v>52</v>
      </c>
      <c r="O217" s="2">
        <v>6</v>
      </c>
      <c r="Q217" s="2">
        <v>0</v>
      </c>
      <c r="R217" s="2">
        <v>0</v>
      </c>
      <c r="S217" s="2">
        <v>1</v>
      </c>
      <c r="T217" s="2">
        <v>0</v>
      </c>
      <c r="U217" s="2">
        <v>0</v>
      </c>
      <c r="V217" s="2">
        <v>0</v>
      </c>
      <c r="W217" s="2">
        <v>1</v>
      </c>
      <c r="X217" s="2">
        <v>0</v>
      </c>
      <c r="Y217" s="2">
        <v>1</v>
      </c>
      <c r="Z217" s="26" t="s">
        <v>5167</v>
      </c>
      <c r="AA217" s="31">
        <v>1899.01</v>
      </c>
    </row>
    <row r="218" spans="1:27" ht="16" x14ac:dyDescent="0.2">
      <c r="A218" s="3" t="s">
        <v>795</v>
      </c>
      <c r="B218" s="2" t="s">
        <v>796</v>
      </c>
      <c r="C218" s="2" t="s">
        <v>797</v>
      </c>
      <c r="D218" s="6">
        <v>1899</v>
      </c>
      <c r="E218" s="6">
        <v>1890</v>
      </c>
      <c r="F218" s="2">
        <v>0</v>
      </c>
      <c r="G218" s="2">
        <v>0</v>
      </c>
      <c r="H218" s="3" t="s">
        <v>27</v>
      </c>
      <c r="I218" s="3" t="s">
        <v>798</v>
      </c>
      <c r="J218" s="3" t="s">
        <v>3665</v>
      </c>
      <c r="K218" s="15"/>
      <c r="L218" s="4" t="s">
        <v>799</v>
      </c>
      <c r="M218" s="4">
        <f>7+3</f>
        <v>10</v>
      </c>
      <c r="N218" s="2">
        <v>55</v>
      </c>
      <c r="O218" s="2">
        <v>4</v>
      </c>
      <c r="P218" s="2">
        <v>5</v>
      </c>
      <c r="Q218" s="2">
        <v>1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1</v>
      </c>
      <c r="X218" s="2">
        <v>0</v>
      </c>
      <c r="Y218" s="2">
        <v>0</v>
      </c>
      <c r="Z218" s="26" t="s">
        <v>5167</v>
      </c>
      <c r="AA218" s="31">
        <v>1899.02</v>
      </c>
    </row>
    <row r="219" spans="1:27" ht="16" x14ac:dyDescent="0.2">
      <c r="A219" s="3" t="s">
        <v>785</v>
      </c>
      <c r="B219" s="2" t="s">
        <v>786</v>
      </c>
      <c r="C219" s="2" t="s">
        <v>787</v>
      </c>
      <c r="D219" s="6">
        <v>1899</v>
      </c>
      <c r="E219" s="6">
        <v>1890</v>
      </c>
      <c r="F219" s="2">
        <v>0</v>
      </c>
      <c r="G219" s="2">
        <v>0</v>
      </c>
      <c r="H219" s="3" t="s">
        <v>27</v>
      </c>
      <c r="I219" s="3" t="s">
        <v>788</v>
      </c>
      <c r="J219" s="3" t="s">
        <v>4786</v>
      </c>
      <c r="K219" s="15"/>
      <c r="L219" s="4" t="s">
        <v>789</v>
      </c>
      <c r="M219" s="4">
        <f>11+3+3*12</f>
        <v>50</v>
      </c>
      <c r="N219" s="2">
        <v>53</v>
      </c>
      <c r="O219" s="2">
        <v>1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1</v>
      </c>
      <c r="Z219" s="26" t="s">
        <v>5167</v>
      </c>
      <c r="AA219" s="31">
        <v>1899.03</v>
      </c>
    </row>
    <row r="220" spans="1:27" ht="16" x14ac:dyDescent="0.2">
      <c r="A220" s="3" t="s">
        <v>800</v>
      </c>
      <c r="B220" s="2" t="s">
        <v>801</v>
      </c>
      <c r="C220" s="2" t="s">
        <v>802</v>
      </c>
      <c r="D220" s="6">
        <v>1899</v>
      </c>
      <c r="E220" s="6">
        <v>1890</v>
      </c>
      <c r="F220" s="2">
        <v>0</v>
      </c>
      <c r="G220" s="2">
        <v>0</v>
      </c>
      <c r="H220" s="3" t="s">
        <v>27</v>
      </c>
      <c r="I220" s="3" t="s">
        <v>567</v>
      </c>
      <c r="J220" s="3" t="s">
        <v>4787</v>
      </c>
      <c r="K220" s="15"/>
      <c r="L220" s="4" t="s">
        <v>803</v>
      </c>
      <c r="M220" s="4">
        <f>6+5</f>
        <v>11</v>
      </c>
      <c r="N220" s="2">
        <v>55</v>
      </c>
      <c r="O220" s="2">
        <v>6</v>
      </c>
      <c r="P220" s="2">
        <v>1</v>
      </c>
      <c r="Q220" s="2">
        <v>1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2</v>
      </c>
      <c r="Y220" s="2">
        <v>0</v>
      </c>
      <c r="Z220" s="26" t="s">
        <v>5167</v>
      </c>
      <c r="AA220" s="31">
        <v>1899.04</v>
      </c>
    </row>
    <row r="221" spans="1:27" ht="16" x14ac:dyDescent="0.2">
      <c r="A221" s="3" t="s">
        <v>3659</v>
      </c>
      <c r="B221" s="2" t="s">
        <v>3660</v>
      </c>
      <c r="C221" s="2" t="s">
        <v>787</v>
      </c>
      <c r="D221" s="6">
        <v>1899</v>
      </c>
      <c r="E221" s="6">
        <v>1890</v>
      </c>
      <c r="F221" s="2">
        <v>2</v>
      </c>
      <c r="G221" s="2">
        <v>1</v>
      </c>
      <c r="H221" s="3" t="s">
        <v>3434</v>
      </c>
      <c r="I221" s="3" t="s">
        <v>3661</v>
      </c>
      <c r="J221" s="3" t="s">
        <v>3662</v>
      </c>
      <c r="K221" s="15"/>
      <c r="L221" s="4" t="s">
        <v>445</v>
      </c>
      <c r="M221" s="4">
        <f>10+3+12*23</f>
        <v>289</v>
      </c>
      <c r="N221" s="2">
        <v>43</v>
      </c>
      <c r="O221" s="2">
        <v>1</v>
      </c>
      <c r="Q221" s="2">
        <v>0</v>
      </c>
      <c r="R221" s="2">
        <v>0</v>
      </c>
      <c r="S221" s="2">
        <v>1</v>
      </c>
      <c r="T221" s="2">
        <v>0</v>
      </c>
      <c r="U221" s="2">
        <v>1</v>
      </c>
      <c r="V221" s="2">
        <v>1</v>
      </c>
      <c r="W221" s="2">
        <v>1</v>
      </c>
      <c r="X221" s="2">
        <v>2</v>
      </c>
      <c r="Y221" s="2">
        <v>0</v>
      </c>
      <c r="Z221" s="26" t="s">
        <v>5167</v>
      </c>
      <c r="AA221" s="31">
        <v>1899.05</v>
      </c>
    </row>
    <row r="222" spans="1:27" ht="16" x14ac:dyDescent="0.2">
      <c r="A222" s="3" t="s">
        <v>3653</v>
      </c>
      <c r="B222" s="2" t="s">
        <v>3654</v>
      </c>
      <c r="C222" s="2" t="s">
        <v>3655</v>
      </c>
      <c r="D222" s="6">
        <v>1899</v>
      </c>
      <c r="E222" s="6">
        <v>1890</v>
      </c>
      <c r="F222" s="2">
        <v>2</v>
      </c>
      <c r="G222" s="2">
        <v>1</v>
      </c>
      <c r="H222" s="3" t="s">
        <v>3434</v>
      </c>
      <c r="I222" s="3" t="s">
        <v>3656</v>
      </c>
      <c r="J222" s="3" t="s">
        <v>3657</v>
      </c>
      <c r="K222" s="15"/>
      <c r="L222" s="4" t="s">
        <v>3658</v>
      </c>
      <c r="M222" s="4">
        <f>5+10+4*12</f>
        <v>63</v>
      </c>
      <c r="N222" s="2">
        <v>53</v>
      </c>
      <c r="O222" s="2">
        <v>4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1</v>
      </c>
      <c r="W222" s="2">
        <v>0</v>
      </c>
      <c r="X222" s="2">
        <v>0</v>
      </c>
      <c r="Y222" s="2">
        <v>1</v>
      </c>
      <c r="Z222" s="26" t="s">
        <v>5167</v>
      </c>
      <c r="AA222" s="31">
        <v>1899.06</v>
      </c>
    </row>
    <row r="223" spans="1:27" ht="16" x14ac:dyDescent="0.2">
      <c r="A223" s="3" t="s">
        <v>776</v>
      </c>
      <c r="B223" s="2" t="s">
        <v>777</v>
      </c>
      <c r="C223" s="8" t="s">
        <v>778</v>
      </c>
      <c r="D223" s="6">
        <v>1899</v>
      </c>
      <c r="E223" s="6">
        <v>1890</v>
      </c>
      <c r="F223" s="2">
        <v>0</v>
      </c>
      <c r="G223" s="2">
        <v>0</v>
      </c>
      <c r="H223" s="3" t="s">
        <v>27</v>
      </c>
      <c r="I223" s="3" t="s">
        <v>779</v>
      </c>
      <c r="J223" s="3" t="s">
        <v>1535</v>
      </c>
      <c r="K223" s="15"/>
      <c r="L223" s="4" t="s">
        <v>780</v>
      </c>
      <c r="M223" s="4">
        <f>11+6+12*8</f>
        <v>113</v>
      </c>
      <c r="N223" s="2">
        <v>51</v>
      </c>
      <c r="O223" s="2">
        <v>4</v>
      </c>
      <c r="P223" s="2">
        <v>5</v>
      </c>
      <c r="Q223" s="2">
        <v>1</v>
      </c>
      <c r="R223" s="2">
        <v>1</v>
      </c>
      <c r="S223" s="2">
        <v>1</v>
      </c>
      <c r="T223" s="2">
        <v>0</v>
      </c>
      <c r="U223" s="2">
        <v>0</v>
      </c>
      <c r="V223" s="2">
        <v>0</v>
      </c>
      <c r="W223" s="2">
        <v>1</v>
      </c>
      <c r="X223" s="2">
        <v>0</v>
      </c>
      <c r="Y223" s="2">
        <v>0</v>
      </c>
      <c r="Z223" s="26" t="s">
        <v>5167</v>
      </c>
      <c r="AA223" s="31">
        <v>1899.07</v>
      </c>
    </row>
    <row r="224" spans="1:27" ht="16" x14ac:dyDescent="0.2">
      <c r="A224" s="3" t="s">
        <v>781</v>
      </c>
      <c r="B224" s="2" t="s">
        <v>782</v>
      </c>
      <c r="C224" s="2" t="s">
        <v>778</v>
      </c>
      <c r="D224" s="6">
        <v>1899</v>
      </c>
      <c r="E224" s="6">
        <v>1890</v>
      </c>
      <c r="F224" s="2">
        <v>0</v>
      </c>
      <c r="G224" s="2">
        <v>0</v>
      </c>
      <c r="H224" s="3" t="s">
        <v>27</v>
      </c>
      <c r="I224" s="3" t="s">
        <v>783</v>
      </c>
      <c r="J224" s="3" t="s">
        <v>4788</v>
      </c>
      <c r="K224" s="15"/>
      <c r="L224" s="4" t="s">
        <v>784</v>
      </c>
      <c r="M224" s="4">
        <f>10+11+12</f>
        <v>33</v>
      </c>
      <c r="N224" s="2">
        <v>54</v>
      </c>
      <c r="O224" s="2">
        <v>2</v>
      </c>
      <c r="Q224" s="2">
        <v>0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1</v>
      </c>
      <c r="X224" s="2">
        <v>0</v>
      </c>
      <c r="Y224" s="2">
        <v>0</v>
      </c>
      <c r="Z224" s="26" t="s">
        <v>5167</v>
      </c>
      <c r="AA224" s="31">
        <v>1899.08</v>
      </c>
    </row>
    <row r="225" spans="1:27" ht="16" x14ac:dyDescent="0.2">
      <c r="A225" s="3" t="s">
        <v>790</v>
      </c>
      <c r="B225" s="2" t="s">
        <v>791</v>
      </c>
      <c r="C225" s="9" t="s">
        <v>792</v>
      </c>
      <c r="D225" s="6">
        <v>1899</v>
      </c>
      <c r="E225" s="6">
        <v>1890</v>
      </c>
      <c r="F225" s="2">
        <v>0</v>
      </c>
      <c r="G225" s="2">
        <v>0</v>
      </c>
      <c r="H225" s="3" t="s">
        <v>27</v>
      </c>
      <c r="I225" s="3" t="s">
        <v>793</v>
      </c>
      <c r="J225" s="3" t="s">
        <v>4789</v>
      </c>
      <c r="K225" s="15"/>
      <c r="L225" s="4" t="s">
        <v>794</v>
      </c>
      <c r="M225" s="4">
        <f>11+6*12</f>
        <v>83</v>
      </c>
      <c r="N225" s="2">
        <v>52</v>
      </c>
      <c r="O225" s="2">
        <v>6</v>
      </c>
      <c r="Q225" s="2">
        <v>0</v>
      </c>
      <c r="R225" s="2">
        <v>0</v>
      </c>
      <c r="S225" s="2">
        <v>1</v>
      </c>
      <c r="T225" s="2">
        <v>0</v>
      </c>
      <c r="U225" s="2">
        <v>0</v>
      </c>
      <c r="V225" s="2">
        <v>0</v>
      </c>
      <c r="W225" s="2">
        <v>1</v>
      </c>
      <c r="X225" s="2">
        <v>0</v>
      </c>
      <c r="Y225" s="2">
        <v>1</v>
      </c>
      <c r="Z225" s="26" t="s">
        <v>5167</v>
      </c>
      <c r="AA225" s="31">
        <v>1899.09</v>
      </c>
    </row>
    <row r="226" spans="1:27" ht="16" x14ac:dyDescent="0.2">
      <c r="A226" s="3" t="s">
        <v>809</v>
      </c>
      <c r="B226" s="2" t="s">
        <v>810</v>
      </c>
      <c r="C226" s="8">
        <v>135</v>
      </c>
      <c r="D226" s="6">
        <v>1900</v>
      </c>
      <c r="E226" s="6">
        <v>1900</v>
      </c>
      <c r="F226" s="2">
        <v>0</v>
      </c>
      <c r="G226" s="2">
        <v>0</v>
      </c>
      <c r="H226" s="3" t="s">
        <v>27</v>
      </c>
      <c r="I226" s="3" t="s">
        <v>798</v>
      </c>
      <c r="J226" s="3" t="s">
        <v>3665</v>
      </c>
      <c r="K226" s="15"/>
      <c r="L226" s="4" t="s">
        <v>799</v>
      </c>
      <c r="M226" s="4">
        <f>7+4+12</f>
        <v>23</v>
      </c>
      <c r="N226" s="2">
        <v>55</v>
      </c>
      <c r="O226" s="2">
        <v>4</v>
      </c>
      <c r="Q226" s="2">
        <v>1</v>
      </c>
      <c r="R226" s="2">
        <v>0</v>
      </c>
      <c r="S226" s="2">
        <v>1</v>
      </c>
      <c r="T226" s="2">
        <v>0</v>
      </c>
      <c r="U226" s="2">
        <v>1</v>
      </c>
      <c r="V226" s="2">
        <v>0</v>
      </c>
      <c r="W226" s="2">
        <v>1</v>
      </c>
      <c r="X226" s="2">
        <v>3</v>
      </c>
      <c r="Y226" s="2">
        <v>0</v>
      </c>
      <c r="Z226" s="26" t="s">
        <v>5167</v>
      </c>
      <c r="AA226" s="31">
        <v>1900.01</v>
      </c>
    </row>
    <row r="227" spans="1:27" ht="16" x14ac:dyDescent="0.2">
      <c r="A227" s="3" t="s">
        <v>820</v>
      </c>
      <c r="B227" s="2" t="s">
        <v>821</v>
      </c>
      <c r="C227" s="8">
        <v>380</v>
      </c>
      <c r="D227" s="6">
        <v>1901</v>
      </c>
      <c r="E227" s="6">
        <v>1900</v>
      </c>
      <c r="F227" s="2">
        <v>0</v>
      </c>
      <c r="G227" s="2">
        <v>0</v>
      </c>
      <c r="H227" s="3" t="s">
        <v>27</v>
      </c>
      <c r="I227" s="3" t="s">
        <v>822</v>
      </c>
      <c r="J227" s="3" t="s">
        <v>4790</v>
      </c>
      <c r="K227" s="15"/>
      <c r="L227" s="10">
        <v>158</v>
      </c>
      <c r="M227" s="4">
        <v>7</v>
      </c>
      <c r="N227" s="2">
        <v>56</v>
      </c>
      <c r="O227" s="2">
        <v>1</v>
      </c>
      <c r="Q227" s="2">
        <v>0</v>
      </c>
      <c r="R227" s="2">
        <v>0</v>
      </c>
      <c r="S227" s="2">
        <v>1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0</v>
      </c>
      <c r="Z227" s="26" t="s">
        <v>5167</v>
      </c>
      <c r="AA227" s="31">
        <v>1901.01</v>
      </c>
    </row>
    <row r="228" spans="1:27" ht="16" x14ac:dyDescent="0.2">
      <c r="A228" s="3" t="s">
        <v>823</v>
      </c>
      <c r="B228" s="2" t="s">
        <v>824</v>
      </c>
      <c r="C228" s="8">
        <v>422</v>
      </c>
      <c r="D228" s="6">
        <v>1901</v>
      </c>
      <c r="E228" s="6">
        <v>1900</v>
      </c>
      <c r="F228" s="2">
        <v>0</v>
      </c>
      <c r="G228" s="2">
        <v>0</v>
      </c>
      <c r="H228" s="3" t="s">
        <v>27</v>
      </c>
      <c r="I228" s="3" t="s">
        <v>825</v>
      </c>
      <c r="J228" s="3" t="s">
        <v>4791</v>
      </c>
      <c r="K228" s="15"/>
      <c r="L228" s="4" t="s">
        <v>826</v>
      </c>
      <c r="M228" s="4">
        <f>7+2+12*4</f>
        <v>57</v>
      </c>
      <c r="N228" s="2">
        <v>54</v>
      </c>
      <c r="O228" s="2">
        <v>6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1</v>
      </c>
      <c r="X228" s="2">
        <v>0</v>
      </c>
      <c r="Y228" s="2">
        <v>0</v>
      </c>
      <c r="Z228" s="26" t="s">
        <v>5167</v>
      </c>
      <c r="AA228" s="31">
        <v>1901.02</v>
      </c>
    </row>
    <row r="229" spans="1:27" ht="16" x14ac:dyDescent="0.2">
      <c r="A229" s="3" t="s">
        <v>816</v>
      </c>
      <c r="B229" s="2" t="s">
        <v>817</v>
      </c>
      <c r="C229" s="8">
        <v>443</v>
      </c>
      <c r="D229" s="6">
        <v>1901</v>
      </c>
      <c r="E229" s="6">
        <v>1900</v>
      </c>
      <c r="F229" s="2">
        <v>0</v>
      </c>
      <c r="G229" s="2">
        <v>0</v>
      </c>
      <c r="H229" s="3" t="s">
        <v>27</v>
      </c>
      <c r="I229" s="3" t="s">
        <v>818</v>
      </c>
      <c r="J229" s="3" t="s">
        <v>4792</v>
      </c>
      <c r="K229" s="15"/>
      <c r="L229" s="4" t="s">
        <v>819</v>
      </c>
      <c r="M229" s="4">
        <f>2+3+7*12</f>
        <v>89</v>
      </c>
      <c r="N229" s="2">
        <v>53</v>
      </c>
      <c r="O229" s="2">
        <v>1</v>
      </c>
      <c r="Q229" s="2">
        <v>0</v>
      </c>
      <c r="R229" s="2">
        <v>0</v>
      </c>
      <c r="S229" s="2">
        <v>1</v>
      </c>
      <c r="T229" s="2">
        <v>1</v>
      </c>
      <c r="U229" s="2">
        <v>0</v>
      </c>
      <c r="V229" s="2">
        <v>0</v>
      </c>
      <c r="W229" s="2">
        <v>1</v>
      </c>
      <c r="X229" s="2">
        <v>0</v>
      </c>
      <c r="Y229" s="2">
        <v>1</v>
      </c>
      <c r="Z229" s="26" t="s">
        <v>5167</v>
      </c>
      <c r="AA229" s="31">
        <v>1901.03</v>
      </c>
    </row>
    <row r="230" spans="1:27" ht="16" x14ac:dyDescent="0.2">
      <c r="A230" s="3" t="s">
        <v>3663</v>
      </c>
      <c r="B230" s="2" t="s">
        <v>3664</v>
      </c>
      <c r="C230" s="8">
        <v>471</v>
      </c>
      <c r="D230" s="6">
        <v>1901</v>
      </c>
      <c r="E230" s="6">
        <v>1900</v>
      </c>
      <c r="F230" s="2">
        <v>2</v>
      </c>
      <c r="G230" s="2">
        <v>1</v>
      </c>
      <c r="H230" s="3" t="s">
        <v>3434</v>
      </c>
      <c r="I230" s="3" t="s">
        <v>798</v>
      </c>
      <c r="J230" s="3" t="s">
        <v>3665</v>
      </c>
      <c r="K230" s="15"/>
      <c r="L230" s="4" t="s">
        <v>799</v>
      </c>
      <c r="M230" s="4">
        <f>7+4+24</f>
        <v>35</v>
      </c>
      <c r="N230" s="2">
        <v>55</v>
      </c>
      <c r="O230" s="2">
        <v>4</v>
      </c>
      <c r="Q230" s="2">
        <v>1</v>
      </c>
      <c r="R230" s="2">
        <v>0</v>
      </c>
      <c r="S230" s="2">
        <v>1</v>
      </c>
      <c r="T230" s="2">
        <v>0</v>
      </c>
      <c r="U230" s="2">
        <v>1</v>
      </c>
      <c r="V230" s="2">
        <v>1</v>
      </c>
      <c r="W230" s="2">
        <v>1</v>
      </c>
      <c r="X230" s="2">
        <v>4</v>
      </c>
      <c r="Y230" s="2">
        <v>0</v>
      </c>
      <c r="Z230" s="26" t="s">
        <v>5167</v>
      </c>
      <c r="AA230" s="31">
        <v>1901.04</v>
      </c>
    </row>
    <row r="231" spans="1:27" ht="16" x14ac:dyDescent="0.2">
      <c r="A231" s="3" t="s">
        <v>827</v>
      </c>
      <c r="B231" s="2" t="s">
        <v>828</v>
      </c>
      <c r="C231" s="8">
        <v>485</v>
      </c>
      <c r="D231" s="6">
        <v>1901</v>
      </c>
      <c r="E231" s="6">
        <v>1900</v>
      </c>
      <c r="F231" s="2">
        <v>0</v>
      </c>
      <c r="G231" s="2">
        <v>0</v>
      </c>
      <c r="H231" s="3" t="s">
        <v>27</v>
      </c>
      <c r="I231" s="3" t="s">
        <v>829</v>
      </c>
      <c r="J231" s="3" t="s">
        <v>4793</v>
      </c>
      <c r="K231" s="15"/>
      <c r="L231" s="4" t="s">
        <v>830</v>
      </c>
      <c r="M231" s="4">
        <f>10+4+12</f>
        <v>26</v>
      </c>
      <c r="N231" s="2">
        <v>55</v>
      </c>
      <c r="O231" s="2">
        <v>4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1</v>
      </c>
      <c r="V231" s="2">
        <v>0</v>
      </c>
      <c r="W231" s="2">
        <v>0</v>
      </c>
      <c r="X231" s="2">
        <v>3</v>
      </c>
      <c r="Y231" s="2">
        <v>0</v>
      </c>
      <c r="Z231" s="26" t="s">
        <v>5167</v>
      </c>
      <c r="AA231" s="31">
        <v>1901.05</v>
      </c>
    </row>
    <row r="232" spans="1:27" ht="16" x14ac:dyDescent="0.2">
      <c r="A232" s="3" t="s">
        <v>814</v>
      </c>
      <c r="B232" s="2" t="s">
        <v>815</v>
      </c>
      <c r="C232" s="8">
        <v>513</v>
      </c>
      <c r="D232" s="6">
        <v>1901</v>
      </c>
      <c r="E232" s="6">
        <v>1900</v>
      </c>
      <c r="F232" s="2">
        <v>0</v>
      </c>
      <c r="G232" s="2">
        <v>0</v>
      </c>
      <c r="H232" s="3" t="s">
        <v>27</v>
      </c>
      <c r="I232" s="3" t="s">
        <v>813</v>
      </c>
      <c r="J232" s="3" t="s">
        <v>4650</v>
      </c>
      <c r="K232" s="15"/>
      <c r="L232" s="10">
        <v>103</v>
      </c>
      <c r="M232" s="4">
        <f>9+5</f>
        <v>14</v>
      </c>
      <c r="N232" s="2">
        <v>56</v>
      </c>
      <c r="O232" s="2">
        <v>4</v>
      </c>
      <c r="Q232" s="2">
        <v>1</v>
      </c>
      <c r="R232" s="2">
        <v>1</v>
      </c>
      <c r="S232" s="2">
        <v>1</v>
      </c>
      <c r="T232" s="2">
        <v>0</v>
      </c>
      <c r="U232" s="2">
        <v>0</v>
      </c>
      <c r="V232" s="2">
        <v>0</v>
      </c>
      <c r="W232" s="2">
        <v>1</v>
      </c>
      <c r="X232" s="2">
        <v>4</v>
      </c>
      <c r="Y232" s="2">
        <v>0</v>
      </c>
      <c r="Z232" s="26" t="s">
        <v>5167</v>
      </c>
      <c r="AA232" s="31">
        <v>1901.06</v>
      </c>
    </row>
    <row r="233" spans="1:27" ht="16" x14ac:dyDescent="0.2">
      <c r="A233" s="3" t="s">
        <v>811</v>
      </c>
      <c r="B233" s="2" t="s">
        <v>812</v>
      </c>
      <c r="C233" s="8">
        <v>702</v>
      </c>
      <c r="D233" s="6">
        <v>1901</v>
      </c>
      <c r="E233" s="6">
        <v>1900</v>
      </c>
      <c r="F233" s="2">
        <v>0</v>
      </c>
      <c r="G233" s="2">
        <v>0</v>
      </c>
      <c r="H233" s="3" t="s">
        <v>27</v>
      </c>
      <c r="I233" s="3" t="s">
        <v>813</v>
      </c>
      <c r="J233" s="3" t="s">
        <v>4650</v>
      </c>
      <c r="K233" s="15"/>
      <c r="L233" s="10">
        <v>103</v>
      </c>
      <c r="M233" s="4">
        <f>9+11</f>
        <v>20</v>
      </c>
      <c r="N233" s="2">
        <v>56</v>
      </c>
      <c r="O233" s="2">
        <v>4</v>
      </c>
      <c r="Q233" s="2">
        <v>1</v>
      </c>
      <c r="R233" s="2">
        <v>1</v>
      </c>
      <c r="S233" s="2">
        <v>1</v>
      </c>
      <c r="T233" s="2">
        <v>0</v>
      </c>
      <c r="U233" s="2">
        <v>0</v>
      </c>
      <c r="V233" s="2">
        <v>0</v>
      </c>
      <c r="W233" s="2">
        <v>1</v>
      </c>
      <c r="X233" s="2">
        <v>4</v>
      </c>
      <c r="Y233" s="2">
        <v>0</v>
      </c>
      <c r="Z233" s="26" t="s">
        <v>5167</v>
      </c>
      <c r="AA233" s="31">
        <v>1901.07</v>
      </c>
    </row>
    <row r="234" spans="1:27" ht="16" x14ac:dyDescent="0.2">
      <c r="A234" s="3" t="s">
        <v>846</v>
      </c>
      <c r="B234" s="2" t="s">
        <v>847</v>
      </c>
      <c r="C234" s="8">
        <v>807</v>
      </c>
      <c r="D234" s="6">
        <v>1902</v>
      </c>
      <c r="E234" s="6">
        <v>1900</v>
      </c>
      <c r="F234" s="2">
        <v>0</v>
      </c>
      <c r="G234" s="2">
        <v>0</v>
      </c>
      <c r="H234" s="3" t="s">
        <v>27</v>
      </c>
      <c r="I234" s="3" t="s">
        <v>798</v>
      </c>
      <c r="J234" s="3" t="s">
        <v>3665</v>
      </c>
      <c r="K234" s="15"/>
      <c r="L234" s="4" t="s">
        <v>799</v>
      </c>
      <c r="M234" s="4">
        <f>7+3+3*12</f>
        <v>46</v>
      </c>
      <c r="N234" s="2">
        <v>55</v>
      </c>
      <c r="O234" s="2">
        <v>4</v>
      </c>
      <c r="Q234" s="2">
        <v>1</v>
      </c>
      <c r="R234" s="2">
        <v>1</v>
      </c>
      <c r="S234" s="2">
        <v>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6" t="s">
        <v>5167</v>
      </c>
      <c r="AA234" s="31">
        <v>1902.01</v>
      </c>
    </row>
    <row r="235" spans="1:27" ht="16" x14ac:dyDescent="0.2">
      <c r="A235" s="3" t="s">
        <v>842</v>
      </c>
      <c r="B235" s="2" t="s">
        <v>843</v>
      </c>
      <c r="C235" s="8">
        <v>870</v>
      </c>
      <c r="D235" s="6">
        <v>1902</v>
      </c>
      <c r="E235" s="6">
        <v>1900</v>
      </c>
      <c r="F235" s="2">
        <v>0</v>
      </c>
      <c r="G235" s="2">
        <v>0</v>
      </c>
      <c r="H235" s="3" t="s">
        <v>27</v>
      </c>
      <c r="I235" s="3" t="s">
        <v>844</v>
      </c>
      <c r="J235" s="3" t="s">
        <v>4794</v>
      </c>
      <c r="K235" s="15"/>
      <c r="L235" s="4" t="s">
        <v>845</v>
      </c>
      <c r="M235" s="4">
        <f>11+5+4*12</f>
        <v>64</v>
      </c>
      <c r="N235" s="2">
        <v>54</v>
      </c>
      <c r="O235" s="2">
        <v>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6" t="s">
        <v>5167</v>
      </c>
      <c r="AA235" s="31">
        <v>1902.02</v>
      </c>
    </row>
    <row r="236" spans="1:27" ht="16" x14ac:dyDescent="0.2">
      <c r="A236" s="3" t="s">
        <v>835</v>
      </c>
      <c r="B236" s="2" t="s">
        <v>836</v>
      </c>
      <c r="C236" s="8">
        <v>870</v>
      </c>
      <c r="D236" s="6">
        <v>1902</v>
      </c>
      <c r="E236" s="6">
        <v>1900</v>
      </c>
      <c r="F236" s="2">
        <v>0</v>
      </c>
      <c r="G236" s="2">
        <v>0</v>
      </c>
      <c r="H236" s="3" t="s">
        <v>27</v>
      </c>
      <c r="I236" s="3" t="s">
        <v>837</v>
      </c>
      <c r="J236" s="3" t="s">
        <v>4795</v>
      </c>
      <c r="K236" s="15"/>
      <c r="L236" s="4" t="s">
        <v>838</v>
      </c>
      <c r="M236" s="4">
        <f>5+5+4*12</f>
        <v>58</v>
      </c>
      <c r="N236" s="2">
        <v>55</v>
      </c>
      <c r="O236" s="2">
        <v>4</v>
      </c>
      <c r="Q236" s="2">
        <v>1</v>
      </c>
      <c r="R236" s="2">
        <v>0</v>
      </c>
      <c r="S236" s="2">
        <v>1</v>
      </c>
      <c r="T236" s="2">
        <v>0</v>
      </c>
      <c r="U236" s="2">
        <v>0</v>
      </c>
      <c r="V236" s="2">
        <v>0</v>
      </c>
      <c r="W236" s="2">
        <v>1</v>
      </c>
      <c r="X236" s="2">
        <v>1</v>
      </c>
      <c r="Y236" s="2">
        <v>0</v>
      </c>
      <c r="Z236" s="26" t="s">
        <v>5167</v>
      </c>
      <c r="AA236" s="31">
        <v>1902.03</v>
      </c>
    </row>
    <row r="237" spans="1:27" ht="16" x14ac:dyDescent="0.2">
      <c r="A237" s="3" t="s">
        <v>839</v>
      </c>
      <c r="B237" s="2" t="s">
        <v>840</v>
      </c>
      <c r="C237" s="8">
        <v>884</v>
      </c>
      <c r="D237" s="6">
        <v>1902</v>
      </c>
      <c r="E237" s="6">
        <v>1900</v>
      </c>
      <c r="F237" s="2">
        <v>0</v>
      </c>
      <c r="G237" s="2">
        <v>0</v>
      </c>
      <c r="H237" s="3" t="s">
        <v>27</v>
      </c>
      <c r="I237" s="3" t="s">
        <v>841</v>
      </c>
      <c r="J237" s="3" t="s">
        <v>4796</v>
      </c>
      <c r="K237" s="15"/>
      <c r="L237" s="4" t="s">
        <v>803</v>
      </c>
      <c r="M237" s="4">
        <f>6+5+12*3</f>
        <v>47</v>
      </c>
      <c r="N237" s="2">
        <v>55</v>
      </c>
      <c r="O237" s="2">
        <v>4</v>
      </c>
      <c r="P237" s="2">
        <v>5</v>
      </c>
      <c r="Q237" s="2">
        <v>1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6" t="s">
        <v>5167</v>
      </c>
      <c r="AA237" s="31">
        <v>1902.04</v>
      </c>
    </row>
    <row r="238" spans="1:27" ht="16" x14ac:dyDescent="0.2">
      <c r="A238" s="3" t="s">
        <v>831</v>
      </c>
      <c r="B238" s="2" t="s">
        <v>832</v>
      </c>
      <c r="C238" s="8">
        <v>1066</v>
      </c>
      <c r="D238" s="6">
        <v>1902</v>
      </c>
      <c r="E238" s="6">
        <v>1900</v>
      </c>
      <c r="F238" s="2">
        <v>0</v>
      </c>
      <c r="G238" s="2">
        <v>0</v>
      </c>
      <c r="H238" s="3" t="s">
        <v>27</v>
      </c>
      <c r="I238" s="3" t="s">
        <v>833</v>
      </c>
      <c r="J238" s="3" t="s">
        <v>4797</v>
      </c>
      <c r="K238" s="15"/>
      <c r="L238" s="4" t="s">
        <v>834</v>
      </c>
      <c r="M238" s="4">
        <v>53</v>
      </c>
      <c r="N238" s="2">
        <v>55</v>
      </c>
      <c r="O238" s="2">
        <v>4</v>
      </c>
      <c r="P238" s="2">
        <v>5</v>
      </c>
      <c r="Q238" s="2">
        <v>1</v>
      </c>
      <c r="R238" s="2">
        <v>1</v>
      </c>
      <c r="S238" s="2">
        <v>1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0</v>
      </c>
      <c r="Z238" s="26" t="s">
        <v>5167</v>
      </c>
      <c r="AA238" s="31">
        <v>1902.05</v>
      </c>
    </row>
    <row r="239" spans="1:27" ht="16" x14ac:dyDescent="0.2">
      <c r="A239" s="3" t="s">
        <v>857</v>
      </c>
      <c r="B239" s="2" t="s">
        <v>858</v>
      </c>
      <c r="C239" s="8">
        <v>1101</v>
      </c>
      <c r="D239" s="6">
        <v>1903</v>
      </c>
      <c r="E239" s="6">
        <v>1900</v>
      </c>
      <c r="F239" s="2">
        <v>0</v>
      </c>
      <c r="G239" s="2">
        <v>0</v>
      </c>
      <c r="H239" s="3" t="s">
        <v>27</v>
      </c>
      <c r="I239" s="3" t="s">
        <v>859</v>
      </c>
      <c r="J239" s="3" t="s">
        <v>4798</v>
      </c>
      <c r="K239" s="15"/>
      <c r="L239" s="10">
        <v>158</v>
      </c>
      <c r="M239" s="4">
        <v>31</v>
      </c>
      <c r="N239" s="2">
        <v>56</v>
      </c>
      <c r="O239" s="2">
        <v>5</v>
      </c>
      <c r="Q239" s="2">
        <v>0</v>
      </c>
      <c r="R239" s="2">
        <v>0</v>
      </c>
      <c r="S239" s="2">
        <v>1</v>
      </c>
      <c r="T239" s="2">
        <v>0</v>
      </c>
      <c r="U239" s="2">
        <v>0</v>
      </c>
      <c r="V239" s="2">
        <v>0</v>
      </c>
      <c r="W239" s="2">
        <v>1</v>
      </c>
      <c r="X239" s="2">
        <v>0</v>
      </c>
      <c r="Y239" s="2">
        <v>0</v>
      </c>
      <c r="Z239" s="26" t="s">
        <v>5167</v>
      </c>
      <c r="AA239" s="31">
        <v>1903.01</v>
      </c>
    </row>
    <row r="240" spans="1:27" ht="16" x14ac:dyDescent="0.2">
      <c r="A240" s="3" t="s">
        <v>848</v>
      </c>
      <c r="B240" s="2" t="s">
        <v>849</v>
      </c>
      <c r="C240" s="8">
        <v>1129</v>
      </c>
      <c r="D240" s="6">
        <v>1903</v>
      </c>
      <c r="E240" s="6">
        <v>1900</v>
      </c>
      <c r="F240" s="2">
        <v>0</v>
      </c>
      <c r="G240" s="2">
        <v>0</v>
      </c>
      <c r="H240" s="3" t="s">
        <v>27</v>
      </c>
      <c r="I240" s="3" t="s">
        <v>850</v>
      </c>
      <c r="J240" s="3" t="s">
        <v>4630</v>
      </c>
      <c r="K240" s="15"/>
      <c r="L240" s="4" t="s">
        <v>511</v>
      </c>
      <c r="M240" s="4">
        <f>6+1+12*28</f>
        <v>343</v>
      </c>
      <c r="N240" s="2">
        <v>43</v>
      </c>
      <c r="O240" s="2">
        <v>4</v>
      </c>
      <c r="Q240" s="2">
        <v>0</v>
      </c>
      <c r="R240" s="2">
        <v>0</v>
      </c>
      <c r="S240" s="2">
        <v>0</v>
      </c>
      <c r="T240" s="2">
        <v>0</v>
      </c>
      <c r="U240" s="2">
        <v>1</v>
      </c>
      <c r="V240" s="2">
        <v>0</v>
      </c>
      <c r="W240" s="2">
        <v>0</v>
      </c>
      <c r="X240" s="2">
        <v>2</v>
      </c>
      <c r="Y240" s="2">
        <v>0</v>
      </c>
      <c r="Z240" s="26" t="s">
        <v>5167</v>
      </c>
      <c r="AA240" s="31">
        <v>1903.02</v>
      </c>
    </row>
    <row r="241" spans="1:27" ht="16" x14ac:dyDescent="0.2">
      <c r="A241" s="3" t="s">
        <v>851</v>
      </c>
      <c r="B241" s="2" t="s">
        <v>852</v>
      </c>
      <c r="C241" s="8">
        <v>1150</v>
      </c>
      <c r="D241" s="6">
        <v>1903</v>
      </c>
      <c r="E241" s="6">
        <v>1900</v>
      </c>
      <c r="F241" s="2">
        <v>0</v>
      </c>
      <c r="G241" s="2">
        <v>0</v>
      </c>
      <c r="H241" s="3" t="s">
        <v>27</v>
      </c>
      <c r="I241" s="3" t="s">
        <v>853</v>
      </c>
      <c r="J241" s="3" t="s">
        <v>4799</v>
      </c>
      <c r="K241" s="15"/>
      <c r="L241" s="4" t="s">
        <v>728</v>
      </c>
      <c r="M241" s="4">
        <f>10+2+7*12</f>
        <v>96</v>
      </c>
      <c r="N241" s="2">
        <v>53</v>
      </c>
      <c r="O241" s="2">
        <v>5</v>
      </c>
      <c r="Q241" s="2">
        <v>0</v>
      </c>
      <c r="R241" s="2">
        <v>0</v>
      </c>
      <c r="S241" s="2">
        <v>1</v>
      </c>
      <c r="T241" s="2">
        <v>0</v>
      </c>
      <c r="U241" s="2">
        <v>0</v>
      </c>
      <c r="V241" s="2">
        <v>0</v>
      </c>
      <c r="W241" s="2">
        <v>1</v>
      </c>
      <c r="X241" s="2">
        <v>4</v>
      </c>
      <c r="Y241" s="2">
        <v>1</v>
      </c>
      <c r="Z241" s="26" t="s">
        <v>5167</v>
      </c>
      <c r="AA241" s="31">
        <v>1903.03</v>
      </c>
    </row>
    <row r="242" spans="1:27" ht="16" x14ac:dyDescent="0.2">
      <c r="A242" s="3" t="s">
        <v>854</v>
      </c>
      <c r="B242" s="2" t="s">
        <v>855</v>
      </c>
      <c r="C242" s="8">
        <v>1192</v>
      </c>
      <c r="D242" s="6">
        <v>1903</v>
      </c>
      <c r="E242" s="6">
        <v>1900</v>
      </c>
      <c r="F242" s="2">
        <v>0</v>
      </c>
      <c r="G242" s="2">
        <v>0</v>
      </c>
      <c r="H242" s="3" t="s">
        <v>27</v>
      </c>
      <c r="I242" s="3" t="s">
        <v>856</v>
      </c>
      <c r="J242" s="3" t="s">
        <v>4763</v>
      </c>
      <c r="K242" s="15"/>
      <c r="L242" s="4" t="s">
        <v>665</v>
      </c>
      <c r="M242" s="4">
        <v>145</v>
      </c>
      <c r="N242" s="2">
        <v>51</v>
      </c>
      <c r="O242" s="2">
        <v>1</v>
      </c>
      <c r="Q242" s="2">
        <v>1</v>
      </c>
      <c r="R242" s="2">
        <v>1</v>
      </c>
      <c r="S242" s="2">
        <v>1</v>
      </c>
      <c r="T242" s="2">
        <v>0</v>
      </c>
      <c r="U242" s="2">
        <v>0</v>
      </c>
      <c r="V242" s="2">
        <v>0</v>
      </c>
      <c r="W242" s="2">
        <v>1</v>
      </c>
      <c r="X242" s="2">
        <v>2</v>
      </c>
      <c r="Y242" s="2">
        <v>0</v>
      </c>
      <c r="Z242" s="26" t="s">
        <v>5167</v>
      </c>
      <c r="AA242" s="31">
        <v>1903.04</v>
      </c>
    </row>
    <row r="243" spans="1:27" ht="16" x14ac:dyDescent="0.2">
      <c r="A243" s="3" t="s">
        <v>3666</v>
      </c>
      <c r="B243" s="2" t="s">
        <v>3667</v>
      </c>
      <c r="C243" s="8">
        <v>1220</v>
      </c>
      <c r="D243" s="6">
        <v>1903</v>
      </c>
      <c r="E243" s="6">
        <v>1900</v>
      </c>
      <c r="F243" s="2">
        <v>2</v>
      </c>
      <c r="G243" s="2">
        <v>1</v>
      </c>
      <c r="H243" s="3" t="s">
        <v>3434</v>
      </c>
      <c r="I243" s="3" t="s">
        <v>429</v>
      </c>
      <c r="J243" s="3" t="s">
        <v>3579</v>
      </c>
      <c r="K243" s="15"/>
      <c r="L243" s="4" t="s">
        <v>430</v>
      </c>
      <c r="M243" s="4">
        <f>7+4+32*12</f>
        <v>395</v>
      </c>
      <c r="N243" s="2">
        <v>41</v>
      </c>
      <c r="O243" s="2">
        <v>5</v>
      </c>
      <c r="P243" s="2">
        <v>3</v>
      </c>
      <c r="Q243" s="2">
        <v>1</v>
      </c>
      <c r="R243" s="2">
        <v>1</v>
      </c>
      <c r="S243" s="2">
        <v>1</v>
      </c>
      <c r="T243" s="2">
        <v>0</v>
      </c>
      <c r="U243" s="2">
        <v>0</v>
      </c>
      <c r="V243" s="2">
        <v>1</v>
      </c>
      <c r="W243" s="2">
        <v>1</v>
      </c>
      <c r="X243" s="2">
        <v>2</v>
      </c>
      <c r="Y243" s="2">
        <v>0</v>
      </c>
      <c r="Z243" s="26" t="s">
        <v>5167</v>
      </c>
      <c r="AA243" s="31">
        <v>1903.05</v>
      </c>
    </row>
    <row r="244" spans="1:27" ht="16" x14ac:dyDescent="0.2">
      <c r="A244" s="3" t="s">
        <v>860</v>
      </c>
      <c r="B244" s="2" t="s">
        <v>861</v>
      </c>
      <c r="C244" s="8">
        <v>1248</v>
      </c>
      <c r="D244" s="6">
        <v>1903</v>
      </c>
      <c r="E244" s="6">
        <v>1900</v>
      </c>
      <c r="F244" s="2">
        <v>0</v>
      </c>
      <c r="G244" s="2">
        <v>0</v>
      </c>
      <c r="H244" s="3" t="s">
        <v>27</v>
      </c>
      <c r="I244" s="3" t="s">
        <v>862</v>
      </c>
      <c r="J244" s="3" t="s">
        <v>4800</v>
      </c>
      <c r="K244" s="15"/>
      <c r="L244" s="4" t="s">
        <v>863</v>
      </c>
      <c r="M244" s="4">
        <f>5+12*4</f>
        <v>53</v>
      </c>
      <c r="N244" s="2">
        <v>55</v>
      </c>
      <c r="O244" s="2">
        <v>5</v>
      </c>
      <c r="P244" s="2">
        <v>4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6" t="s">
        <v>5167</v>
      </c>
      <c r="AA244" s="31">
        <v>1903.06</v>
      </c>
    </row>
    <row r="245" spans="1:27" ht="16" x14ac:dyDescent="0.2">
      <c r="A245" s="3" t="s">
        <v>864</v>
      </c>
      <c r="B245" s="2" t="s">
        <v>865</v>
      </c>
      <c r="C245" s="8">
        <v>1248</v>
      </c>
      <c r="D245" s="6">
        <v>1903</v>
      </c>
      <c r="E245" s="6">
        <v>1900</v>
      </c>
      <c r="F245" s="2">
        <v>0</v>
      </c>
      <c r="G245" s="2">
        <v>0</v>
      </c>
      <c r="H245" s="3" t="s">
        <v>27</v>
      </c>
      <c r="I245" s="3" t="s">
        <v>798</v>
      </c>
      <c r="J245" s="3" t="s">
        <v>3665</v>
      </c>
      <c r="K245" s="15"/>
      <c r="L245" s="4" t="s">
        <v>799</v>
      </c>
      <c r="M245" s="4">
        <f>7+5+4*12</f>
        <v>60</v>
      </c>
      <c r="N245" s="2">
        <v>55</v>
      </c>
      <c r="O245" s="2">
        <v>5</v>
      </c>
      <c r="Q245" s="2">
        <v>1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1</v>
      </c>
      <c r="X245" s="2">
        <v>3</v>
      </c>
      <c r="Y245" s="2">
        <v>0</v>
      </c>
      <c r="Z245" s="26" t="s">
        <v>5167</v>
      </c>
      <c r="AA245" s="31">
        <v>1903.07</v>
      </c>
    </row>
    <row r="246" spans="1:27" ht="16" x14ac:dyDescent="0.2">
      <c r="A246" s="3" t="s">
        <v>888</v>
      </c>
      <c r="B246" s="2" t="s">
        <v>889</v>
      </c>
      <c r="C246" s="8">
        <v>1515</v>
      </c>
      <c r="D246" s="6">
        <v>1904</v>
      </c>
      <c r="E246" s="6">
        <v>1900</v>
      </c>
      <c r="F246" s="2">
        <v>0</v>
      </c>
      <c r="G246" s="2">
        <v>0</v>
      </c>
      <c r="H246" s="3" t="s">
        <v>27</v>
      </c>
      <c r="I246" s="3" t="s">
        <v>798</v>
      </c>
      <c r="J246" s="3" t="s">
        <v>3665</v>
      </c>
      <c r="K246" s="15"/>
      <c r="L246" s="4" t="s">
        <v>799</v>
      </c>
      <c r="M246" s="4">
        <f>7+2+5*12</f>
        <v>69</v>
      </c>
      <c r="N246" s="2">
        <v>55</v>
      </c>
      <c r="O246" s="2">
        <v>4</v>
      </c>
      <c r="Q246" s="2">
        <v>1</v>
      </c>
      <c r="R246" s="2">
        <v>0</v>
      </c>
      <c r="S246" s="2">
        <v>1</v>
      </c>
      <c r="T246" s="2">
        <v>0</v>
      </c>
      <c r="U246" s="2">
        <v>0</v>
      </c>
      <c r="V246" s="2">
        <v>0</v>
      </c>
      <c r="W246" s="2">
        <v>1</v>
      </c>
      <c r="X246" s="2">
        <v>0</v>
      </c>
      <c r="Y246" s="2">
        <v>0</v>
      </c>
      <c r="Z246" s="26" t="s">
        <v>5167</v>
      </c>
      <c r="AA246" s="31">
        <v>1904.01</v>
      </c>
    </row>
    <row r="247" spans="1:27" ht="16" x14ac:dyDescent="0.2">
      <c r="A247" s="3" t="s">
        <v>886</v>
      </c>
      <c r="B247" s="2" t="s">
        <v>887</v>
      </c>
      <c r="C247" s="8">
        <v>1515</v>
      </c>
      <c r="D247" s="6">
        <v>1904</v>
      </c>
      <c r="E247" s="6">
        <v>1900</v>
      </c>
      <c r="F247" s="2">
        <v>0</v>
      </c>
      <c r="G247" s="2">
        <v>0</v>
      </c>
      <c r="H247" s="3" t="s">
        <v>27</v>
      </c>
      <c r="I247" s="3" t="s">
        <v>798</v>
      </c>
      <c r="J247" s="3" t="s">
        <v>3665</v>
      </c>
      <c r="K247" s="15"/>
      <c r="L247" s="4" t="s">
        <v>799</v>
      </c>
      <c r="M247" s="4">
        <f>7+2+5*12</f>
        <v>69</v>
      </c>
      <c r="N247" s="2">
        <v>55</v>
      </c>
      <c r="O247" s="2">
        <v>4</v>
      </c>
      <c r="Q247" s="2">
        <v>1</v>
      </c>
      <c r="R247" s="2">
        <v>0</v>
      </c>
      <c r="S247" s="2">
        <v>1</v>
      </c>
      <c r="T247" s="2">
        <v>0</v>
      </c>
      <c r="U247" s="2">
        <v>1</v>
      </c>
      <c r="V247" s="2">
        <v>0</v>
      </c>
      <c r="W247" s="2">
        <v>1</v>
      </c>
      <c r="X247" s="2">
        <v>2</v>
      </c>
      <c r="Y247" s="2">
        <v>0</v>
      </c>
      <c r="Z247" s="26" t="s">
        <v>5167</v>
      </c>
      <c r="AA247" s="31">
        <v>1904.02</v>
      </c>
    </row>
    <row r="248" spans="1:27" ht="16" x14ac:dyDescent="0.2">
      <c r="A248" s="3" t="s">
        <v>873</v>
      </c>
      <c r="B248" s="2" t="s">
        <v>874</v>
      </c>
      <c r="C248" s="8">
        <v>1515</v>
      </c>
      <c r="D248" s="6">
        <v>1904</v>
      </c>
      <c r="E248" s="6">
        <v>1900</v>
      </c>
      <c r="F248" s="2">
        <v>0</v>
      </c>
      <c r="G248" s="2">
        <v>0</v>
      </c>
      <c r="H248" s="3" t="s">
        <v>27</v>
      </c>
      <c r="I248" s="3" t="s">
        <v>875</v>
      </c>
      <c r="J248" s="3" t="s">
        <v>4801</v>
      </c>
      <c r="K248" s="15"/>
      <c r="L248" s="4" t="s">
        <v>876</v>
      </c>
      <c r="M248" s="4">
        <f>7+2+12*7</f>
        <v>93</v>
      </c>
      <c r="N248" s="2">
        <v>54</v>
      </c>
      <c r="O248" s="2">
        <v>4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0</v>
      </c>
      <c r="W248" s="2">
        <v>1</v>
      </c>
      <c r="X248" s="2">
        <v>2</v>
      </c>
      <c r="Y248" s="2">
        <v>0</v>
      </c>
      <c r="Z248" s="26" t="s">
        <v>5167</v>
      </c>
      <c r="AA248" s="31">
        <v>1904.03</v>
      </c>
    </row>
    <row r="249" spans="1:27" ht="16" x14ac:dyDescent="0.2">
      <c r="A249" s="3" t="s">
        <v>869</v>
      </c>
      <c r="B249" s="2" t="s">
        <v>870</v>
      </c>
      <c r="C249" s="8">
        <v>1515</v>
      </c>
      <c r="D249" s="6">
        <v>1904</v>
      </c>
      <c r="E249" s="6">
        <v>1900</v>
      </c>
      <c r="F249" s="2">
        <v>0</v>
      </c>
      <c r="G249" s="2">
        <v>0</v>
      </c>
      <c r="H249" s="3" t="s">
        <v>27</v>
      </c>
      <c r="I249" s="3" t="s">
        <v>871</v>
      </c>
      <c r="J249" s="3" t="s">
        <v>4802</v>
      </c>
      <c r="K249" s="15"/>
      <c r="L249" s="4" t="s">
        <v>872</v>
      </c>
      <c r="M249" s="4">
        <f>10+2+6*12</f>
        <v>84</v>
      </c>
      <c r="N249" s="2">
        <v>54</v>
      </c>
      <c r="O249" s="2">
        <v>4</v>
      </c>
      <c r="P249" s="2">
        <v>6</v>
      </c>
      <c r="Q249" s="2">
        <v>0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1</v>
      </c>
      <c r="X249" s="2">
        <v>0</v>
      </c>
      <c r="Y249" s="2">
        <v>0</v>
      </c>
      <c r="Z249" s="26" t="s">
        <v>5167</v>
      </c>
      <c r="AA249" s="31">
        <v>1904.04</v>
      </c>
    </row>
    <row r="250" spans="1:27" ht="16" x14ac:dyDescent="0.2">
      <c r="A250" s="3" t="s">
        <v>882</v>
      </c>
      <c r="B250" s="2" t="s">
        <v>883</v>
      </c>
      <c r="C250" s="8">
        <v>1535</v>
      </c>
      <c r="D250" s="6">
        <v>1904</v>
      </c>
      <c r="E250" s="6">
        <v>1900</v>
      </c>
      <c r="F250" s="2">
        <v>0</v>
      </c>
      <c r="G250" s="2">
        <v>0</v>
      </c>
      <c r="H250" s="3" t="s">
        <v>27</v>
      </c>
      <c r="I250" s="3" t="s">
        <v>779</v>
      </c>
      <c r="J250" s="3" t="s">
        <v>1535</v>
      </c>
      <c r="K250" s="15"/>
      <c r="L250" s="4" t="s">
        <v>780</v>
      </c>
      <c r="M250" s="4">
        <f>6+2+12*13</f>
        <v>164</v>
      </c>
      <c r="N250" s="2">
        <v>51</v>
      </c>
      <c r="O250" s="2">
        <v>5</v>
      </c>
      <c r="P250" s="2">
        <v>4</v>
      </c>
      <c r="Q250" s="2">
        <v>1</v>
      </c>
      <c r="R250" s="2">
        <v>1</v>
      </c>
      <c r="S250" s="2">
        <v>1</v>
      </c>
      <c r="T250" s="2">
        <v>0</v>
      </c>
      <c r="U250" s="2">
        <v>0</v>
      </c>
      <c r="V250" s="2">
        <v>0</v>
      </c>
      <c r="W250" s="2">
        <v>1</v>
      </c>
      <c r="X250" s="2">
        <v>4</v>
      </c>
      <c r="Y250" s="2">
        <v>0</v>
      </c>
      <c r="Z250" s="26" t="s">
        <v>5167</v>
      </c>
      <c r="AA250" s="31">
        <v>1904.05</v>
      </c>
    </row>
    <row r="251" spans="1:27" ht="16" x14ac:dyDescent="0.2">
      <c r="A251" s="3" t="s">
        <v>893</v>
      </c>
      <c r="B251" s="2" t="s">
        <v>894</v>
      </c>
      <c r="C251" s="8">
        <v>1577</v>
      </c>
      <c r="D251" s="6">
        <v>1904</v>
      </c>
      <c r="E251" s="6">
        <v>1900</v>
      </c>
      <c r="F251" s="2">
        <v>0</v>
      </c>
      <c r="G251" s="2">
        <v>0</v>
      </c>
      <c r="H251" s="3" t="s">
        <v>27</v>
      </c>
      <c r="I251" s="3" t="s">
        <v>5093</v>
      </c>
      <c r="J251" s="3" t="s">
        <v>706</v>
      </c>
      <c r="K251" s="15"/>
      <c r="L251" s="10" t="s">
        <v>707</v>
      </c>
      <c r="M251" s="4">
        <f>8+(12*8)</f>
        <v>104</v>
      </c>
      <c r="N251" s="2">
        <v>53</v>
      </c>
      <c r="O251" s="2">
        <v>1</v>
      </c>
      <c r="Q251" s="2">
        <v>0</v>
      </c>
      <c r="R251" s="2">
        <v>0</v>
      </c>
      <c r="S251" s="2">
        <v>1</v>
      </c>
      <c r="T251" s="2">
        <v>1</v>
      </c>
      <c r="U251" s="2">
        <v>1</v>
      </c>
      <c r="V251" s="2">
        <v>0</v>
      </c>
      <c r="W251" s="2">
        <v>1</v>
      </c>
      <c r="X251" s="2">
        <v>2</v>
      </c>
      <c r="Y251" s="2">
        <v>0</v>
      </c>
      <c r="Z251" s="26" t="s">
        <v>5167</v>
      </c>
      <c r="AA251" s="31">
        <v>1904.06</v>
      </c>
    </row>
    <row r="252" spans="1:27" ht="16" x14ac:dyDescent="0.2">
      <c r="A252" s="3" t="s">
        <v>877</v>
      </c>
      <c r="B252" s="2" t="s">
        <v>878</v>
      </c>
      <c r="C252" s="8">
        <v>1556</v>
      </c>
      <c r="D252" s="6">
        <v>1904</v>
      </c>
      <c r="E252" s="6">
        <v>1900</v>
      </c>
      <c r="F252" s="2">
        <v>0</v>
      </c>
      <c r="G252" s="2">
        <v>0</v>
      </c>
      <c r="H252" s="3" t="s">
        <v>27</v>
      </c>
      <c r="I252" s="3" t="s">
        <v>711</v>
      </c>
      <c r="J252" s="3" t="s">
        <v>4776</v>
      </c>
      <c r="K252" s="15"/>
      <c r="L252" s="4" t="s">
        <v>712</v>
      </c>
      <c r="M252" s="4">
        <f>11+3+10*12</f>
        <v>134</v>
      </c>
      <c r="N252" s="2">
        <v>52</v>
      </c>
      <c r="O252" s="7" t="s">
        <v>879</v>
      </c>
      <c r="P252" s="7"/>
      <c r="Q252" s="2">
        <v>0</v>
      </c>
      <c r="R252" s="2">
        <v>0</v>
      </c>
      <c r="S252" s="2">
        <v>0</v>
      </c>
      <c r="T252" s="2">
        <v>0</v>
      </c>
      <c r="U252" s="2">
        <v>1</v>
      </c>
      <c r="V252" s="2">
        <v>0</v>
      </c>
      <c r="W252" s="2">
        <v>1</v>
      </c>
      <c r="X252" s="2">
        <v>1</v>
      </c>
      <c r="Y252" s="2">
        <v>1</v>
      </c>
      <c r="Z252" s="26" t="s">
        <v>5167</v>
      </c>
      <c r="AA252" s="31">
        <v>1904.07</v>
      </c>
    </row>
    <row r="253" spans="1:27" ht="16" x14ac:dyDescent="0.2">
      <c r="A253" s="3" t="s">
        <v>890</v>
      </c>
      <c r="B253" s="2" t="s">
        <v>891</v>
      </c>
      <c r="C253" s="8">
        <v>1598</v>
      </c>
      <c r="D253" s="6">
        <v>1904</v>
      </c>
      <c r="E253" s="6">
        <v>1900</v>
      </c>
      <c r="F253" s="2">
        <v>0</v>
      </c>
      <c r="G253" s="2">
        <v>0</v>
      </c>
      <c r="H253" s="3" t="s">
        <v>27</v>
      </c>
      <c r="I253" s="3" t="s">
        <v>892</v>
      </c>
      <c r="J253" s="3" t="s">
        <v>4648</v>
      </c>
      <c r="K253" s="15" t="s">
        <v>4649</v>
      </c>
      <c r="L253" s="10">
        <v>1158</v>
      </c>
      <c r="M253" s="4">
        <f>10+5</f>
        <v>15</v>
      </c>
      <c r="N253" s="2">
        <v>57</v>
      </c>
      <c r="O253" s="2">
        <v>6</v>
      </c>
      <c r="P253" s="2">
        <v>2</v>
      </c>
      <c r="Q253" s="2">
        <v>0</v>
      </c>
      <c r="R253" s="2">
        <v>0</v>
      </c>
      <c r="S253" s="2">
        <v>1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6" t="s">
        <v>5167</v>
      </c>
      <c r="AA253" s="31">
        <v>1904.08</v>
      </c>
    </row>
    <row r="254" spans="1:27" ht="16" x14ac:dyDescent="0.2">
      <c r="A254" s="3" t="s">
        <v>866</v>
      </c>
      <c r="B254" s="2" t="s">
        <v>867</v>
      </c>
      <c r="C254" s="8">
        <v>1613</v>
      </c>
      <c r="D254" s="6">
        <v>1904</v>
      </c>
      <c r="E254" s="6">
        <v>1900</v>
      </c>
      <c r="F254" s="2">
        <v>0</v>
      </c>
      <c r="G254" s="2">
        <v>0</v>
      </c>
      <c r="H254" s="3" t="s">
        <v>27</v>
      </c>
      <c r="I254" s="3" t="s">
        <v>868</v>
      </c>
      <c r="J254" s="3" t="s">
        <v>3673</v>
      </c>
      <c r="K254" s="15"/>
      <c r="L254" s="10">
        <v>158</v>
      </c>
      <c r="M254" s="4">
        <f>7+5+12*3</f>
        <v>48</v>
      </c>
      <c r="N254" s="2">
        <v>56</v>
      </c>
      <c r="O254" s="2">
        <v>4</v>
      </c>
      <c r="Q254" s="2">
        <v>1</v>
      </c>
      <c r="R254" s="2">
        <v>0</v>
      </c>
      <c r="S254" s="2">
        <v>1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6" t="s">
        <v>5167</v>
      </c>
      <c r="AA254" s="31">
        <v>1904.09</v>
      </c>
    </row>
    <row r="255" spans="1:27" ht="16" x14ac:dyDescent="0.2">
      <c r="A255" s="3" t="s">
        <v>884</v>
      </c>
      <c r="B255" s="2" t="s">
        <v>885</v>
      </c>
      <c r="C255" s="8">
        <v>1613</v>
      </c>
      <c r="D255" s="6">
        <v>1904</v>
      </c>
      <c r="E255" s="6">
        <v>1900</v>
      </c>
      <c r="F255" s="2">
        <v>0</v>
      </c>
      <c r="G255" s="2">
        <v>0</v>
      </c>
      <c r="H255" s="3" t="s">
        <v>27</v>
      </c>
      <c r="I255" s="3" t="s">
        <v>652</v>
      </c>
      <c r="J255" s="3" t="s">
        <v>4764</v>
      </c>
      <c r="K255" s="15"/>
      <c r="L255" s="4" t="s">
        <v>653</v>
      </c>
      <c r="M255" s="4">
        <f>3+5+12*3</f>
        <v>44</v>
      </c>
      <c r="N255" s="2">
        <v>51</v>
      </c>
      <c r="O255" s="2">
        <v>1</v>
      </c>
      <c r="P255" s="2">
        <v>4</v>
      </c>
      <c r="Q255" s="2">
        <v>0</v>
      </c>
      <c r="R255" s="2">
        <v>0</v>
      </c>
      <c r="S255" s="2">
        <v>1</v>
      </c>
      <c r="T255" s="2">
        <v>0</v>
      </c>
      <c r="U255" s="2">
        <v>0</v>
      </c>
      <c r="V255" s="2">
        <v>0</v>
      </c>
      <c r="W255" s="2">
        <v>1</v>
      </c>
      <c r="X255" s="2">
        <v>1</v>
      </c>
      <c r="Y255" s="2">
        <v>0</v>
      </c>
      <c r="Z255" s="26" t="s">
        <v>5167</v>
      </c>
      <c r="AA255" s="31">
        <v>1904.1</v>
      </c>
    </row>
    <row r="256" spans="1:27" ht="16" x14ac:dyDescent="0.2">
      <c r="A256" s="3" t="s">
        <v>880</v>
      </c>
      <c r="B256" s="2" t="s">
        <v>881</v>
      </c>
      <c r="C256" s="8">
        <v>1613</v>
      </c>
      <c r="D256" s="6">
        <v>1904</v>
      </c>
      <c r="E256" s="6">
        <v>1900</v>
      </c>
      <c r="F256" s="2">
        <v>0</v>
      </c>
      <c r="G256" s="2">
        <v>0</v>
      </c>
      <c r="H256" s="3" t="s">
        <v>27</v>
      </c>
      <c r="I256" s="3" t="s">
        <v>752</v>
      </c>
      <c r="J256" s="3" t="s">
        <v>4779</v>
      </c>
      <c r="K256" s="15"/>
      <c r="L256" s="4" t="s">
        <v>753</v>
      </c>
      <c r="M256" s="4">
        <f>5+5+17*12</f>
        <v>214</v>
      </c>
      <c r="N256" s="2">
        <v>49</v>
      </c>
      <c r="O256" s="2">
        <v>4</v>
      </c>
      <c r="Q256" s="2">
        <v>0</v>
      </c>
      <c r="R256" s="2">
        <v>0</v>
      </c>
      <c r="S256" s="2">
        <v>1</v>
      </c>
      <c r="T256" s="2">
        <v>0</v>
      </c>
      <c r="U256" s="2">
        <v>0</v>
      </c>
      <c r="V256" s="2">
        <v>0</v>
      </c>
      <c r="W256" s="2">
        <v>1</v>
      </c>
      <c r="X256" s="2">
        <v>3</v>
      </c>
      <c r="Y256" s="2">
        <v>1</v>
      </c>
      <c r="Z256" s="26" t="s">
        <v>5167</v>
      </c>
      <c r="AA256" s="31">
        <v>1904.11</v>
      </c>
    </row>
    <row r="257" spans="1:29" ht="16" x14ac:dyDescent="0.2">
      <c r="A257" s="3" t="s">
        <v>895</v>
      </c>
      <c r="B257" s="2" t="s">
        <v>896</v>
      </c>
      <c r="C257" s="8">
        <v>1899</v>
      </c>
      <c r="D257" s="6">
        <v>1905</v>
      </c>
      <c r="E257" s="6">
        <v>1900</v>
      </c>
      <c r="F257" s="2">
        <v>0</v>
      </c>
      <c r="G257" s="2">
        <v>0</v>
      </c>
      <c r="H257" s="3" t="s">
        <v>27</v>
      </c>
      <c r="I257" s="3" t="s">
        <v>897</v>
      </c>
      <c r="J257" s="3" t="s">
        <v>4803</v>
      </c>
      <c r="K257" s="15"/>
      <c r="L257" s="4" t="s">
        <v>336</v>
      </c>
      <c r="M257" s="4">
        <f>10+2+12*37</f>
        <v>456</v>
      </c>
      <c r="N257" s="2">
        <v>39</v>
      </c>
      <c r="O257" s="2">
        <v>5</v>
      </c>
      <c r="Q257" s="2">
        <v>0</v>
      </c>
      <c r="R257" s="2">
        <v>0</v>
      </c>
      <c r="S257" s="2">
        <v>1</v>
      </c>
      <c r="T257" s="2">
        <v>1</v>
      </c>
      <c r="U257" s="2">
        <v>1</v>
      </c>
      <c r="V257" s="2">
        <v>0</v>
      </c>
      <c r="W257" s="2">
        <v>1</v>
      </c>
      <c r="X257" s="2">
        <v>0</v>
      </c>
      <c r="Y257" s="2">
        <v>0</v>
      </c>
      <c r="Z257" s="26" t="s">
        <v>5167</v>
      </c>
      <c r="AA257" s="31">
        <v>1905.01</v>
      </c>
    </row>
    <row r="258" spans="1:29" ht="16" x14ac:dyDescent="0.2">
      <c r="A258" s="3" t="s">
        <v>3668</v>
      </c>
      <c r="B258" s="2" t="s">
        <v>3669</v>
      </c>
      <c r="C258" s="8">
        <v>1927</v>
      </c>
      <c r="D258" s="6">
        <v>1905</v>
      </c>
      <c r="E258" s="6">
        <v>1900</v>
      </c>
      <c r="F258" s="2">
        <v>1</v>
      </c>
      <c r="G258" s="2">
        <v>1</v>
      </c>
      <c r="H258" s="3" t="s">
        <v>3442</v>
      </c>
      <c r="I258" s="3" t="s">
        <v>1127</v>
      </c>
      <c r="J258" s="3" t="s">
        <v>4665</v>
      </c>
      <c r="K258" s="15"/>
      <c r="L258" s="4" t="s">
        <v>3670</v>
      </c>
      <c r="M258" s="4">
        <f>11+3+7*12</f>
        <v>98</v>
      </c>
      <c r="N258" s="2">
        <v>54</v>
      </c>
      <c r="O258" s="2">
        <v>5</v>
      </c>
      <c r="Q258" s="2">
        <v>0</v>
      </c>
      <c r="R258" s="2">
        <v>0</v>
      </c>
      <c r="S258" s="2">
        <v>1</v>
      </c>
      <c r="T258" s="2">
        <v>0</v>
      </c>
      <c r="U258" s="2">
        <v>0</v>
      </c>
      <c r="V258" s="2">
        <v>1</v>
      </c>
      <c r="W258" s="2">
        <v>1</v>
      </c>
      <c r="X258" s="2">
        <v>1</v>
      </c>
      <c r="Y258" s="2">
        <v>0</v>
      </c>
      <c r="Z258" s="26" t="s">
        <v>5167</v>
      </c>
      <c r="AA258" s="31">
        <v>1905.02</v>
      </c>
    </row>
    <row r="259" spans="1:29" ht="16" x14ac:dyDescent="0.2">
      <c r="A259" s="3" t="s">
        <v>3671</v>
      </c>
      <c r="B259" s="2" t="s">
        <v>3672</v>
      </c>
      <c r="C259" s="8">
        <v>1927</v>
      </c>
      <c r="D259" s="6">
        <v>1905</v>
      </c>
      <c r="E259" s="6">
        <v>1900</v>
      </c>
      <c r="F259" s="2">
        <v>2</v>
      </c>
      <c r="G259" s="2">
        <v>1</v>
      </c>
      <c r="H259" s="3" t="s">
        <v>3434</v>
      </c>
      <c r="I259" s="3" t="s">
        <v>868</v>
      </c>
      <c r="J259" s="3" t="s">
        <v>3673</v>
      </c>
      <c r="K259" s="15"/>
      <c r="L259" s="10">
        <v>158</v>
      </c>
      <c r="M259" s="4">
        <f>7+3+4*12</f>
        <v>58</v>
      </c>
      <c r="N259" s="2">
        <v>56</v>
      </c>
      <c r="O259" s="2">
        <v>1</v>
      </c>
      <c r="Q259" s="2">
        <v>1</v>
      </c>
      <c r="R259" s="2">
        <v>0</v>
      </c>
      <c r="S259" s="2">
        <v>1</v>
      </c>
      <c r="T259" s="2">
        <v>0</v>
      </c>
      <c r="U259" s="2">
        <v>1</v>
      </c>
      <c r="V259" s="2">
        <v>1</v>
      </c>
      <c r="W259" s="2">
        <v>1</v>
      </c>
      <c r="X259" s="2">
        <v>0</v>
      </c>
      <c r="Y259" s="2">
        <v>0</v>
      </c>
      <c r="Z259" s="26" t="s">
        <v>5167</v>
      </c>
      <c r="AA259" s="31">
        <v>1905.03</v>
      </c>
    </row>
    <row r="260" spans="1:29" ht="16" x14ac:dyDescent="0.2">
      <c r="A260" s="3" t="s">
        <v>900</v>
      </c>
      <c r="B260" s="2" t="s">
        <v>901</v>
      </c>
      <c r="C260" s="8">
        <v>1955</v>
      </c>
      <c r="D260" s="6">
        <v>1905</v>
      </c>
      <c r="E260" s="6">
        <v>1900</v>
      </c>
      <c r="F260" s="2">
        <v>0</v>
      </c>
      <c r="G260" s="2">
        <v>0</v>
      </c>
      <c r="H260" s="3" t="s">
        <v>27</v>
      </c>
      <c r="I260" s="3" t="s">
        <v>902</v>
      </c>
      <c r="J260" s="3" t="s">
        <v>4804</v>
      </c>
      <c r="K260" s="15"/>
      <c r="L260" s="4" t="s">
        <v>707</v>
      </c>
      <c r="M260" s="4">
        <f>4+4+120</f>
        <v>128</v>
      </c>
      <c r="N260" s="2">
        <v>53</v>
      </c>
      <c r="O260" s="2">
        <v>1</v>
      </c>
      <c r="Q260" s="2">
        <v>0</v>
      </c>
      <c r="R260" s="2">
        <v>0</v>
      </c>
      <c r="S260" s="2">
        <v>1</v>
      </c>
      <c r="T260" s="2">
        <v>0</v>
      </c>
      <c r="U260" s="2">
        <v>0</v>
      </c>
      <c r="V260" s="2">
        <v>0</v>
      </c>
      <c r="W260" s="2">
        <v>1</v>
      </c>
      <c r="X260" s="2">
        <v>3</v>
      </c>
      <c r="Y260" s="2">
        <v>1</v>
      </c>
      <c r="Z260" s="26" t="s">
        <v>5167</v>
      </c>
      <c r="AA260" s="31">
        <v>1905.04</v>
      </c>
    </row>
    <row r="261" spans="1:29" ht="16" x14ac:dyDescent="0.2">
      <c r="A261" s="3" t="s">
        <v>898</v>
      </c>
      <c r="B261" s="2" t="s">
        <v>899</v>
      </c>
      <c r="C261" s="8">
        <v>2165</v>
      </c>
      <c r="D261" s="6">
        <v>1905</v>
      </c>
      <c r="E261" s="6">
        <v>1900</v>
      </c>
      <c r="F261" s="2">
        <v>0</v>
      </c>
      <c r="G261" s="2">
        <v>0</v>
      </c>
      <c r="H261" s="3" t="s">
        <v>27</v>
      </c>
      <c r="I261" s="3" t="s">
        <v>5038</v>
      </c>
      <c r="J261" s="3" t="s">
        <v>5037</v>
      </c>
      <c r="K261" s="15"/>
      <c r="L261" s="4" t="s">
        <v>5039</v>
      </c>
      <c r="M261" s="4">
        <f>11+(12*25)</f>
        <v>311</v>
      </c>
      <c r="N261" s="2">
        <v>45</v>
      </c>
      <c r="O261" s="2">
        <v>4</v>
      </c>
      <c r="P261" s="2">
        <v>5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  <c r="V261" s="2">
        <v>0</v>
      </c>
      <c r="W261" s="2">
        <v>1</v>
      </c>
      <c r="X261" s="2">
        <v>3</v>
      </c>
      <c r="Y261" s="2">
        <v>1</v>
      </c>
      <c r="Z261" s="26" t="s">
        <v>5167</v>
      </c>
      <c r="AA261" s="31">
        <v>1905.05</v>
      </c>
    </row>
    <row r="262" spans="1:29" ht="16" x14ac:dyDescent="0.2">
      <c r="A262" s="3" t="s">
        <v>903</v>
      </c>
      <c r="B262" s="2" t="s">
        <v>904</v>
      </c>
      <c r="C262" s="8">
        <v>2333</v>
      </c>
      <c r="D262" s="6">
        <v>1906</v>
      </c>
      <c r="E262" s="6">
        <v>1900</v>
      </c>
      <c r="F262" s="2">
        <v>0</v>
      </c>
      <c r="G262" s="2">
        <v>0</v>
      </c>
      <c r="H262" s="3" t="s">
        <v>27</v>
      </c>
      <c r="I262" s="3" t="s">
        <v>905</v>
      </c>
      <c r="J262" s="3" t="s">
        <v>4601</v>
      </c>
      <c r="K262" s="15"/>
      <c r="L262" s="4" t="s">
        <v>321</v>
      </c>
      <c r="M262" s="4">
        <f>5+7+12*41</f>
        <v>504</v>
      </c>
      <c r="N262" s="2">
        <v>38</v>
      </c>
      <c r="O262" s="2">
        <v>6</v>
      </c>
      <c r="Q262" s="2">
        <v>0</v>
      </c>
      <c r="R262" s="2">
        <v>0</v>
      </c>
      <c r="S262" s="2">
        <v>1</v>
      </c>
      <c r="T262" s="2">
        <v>0</v>
      </c>
      <c r="U262" s="2">
        <v>0</v>
      </c>
      <c r="V262" s="2">
        <v>0</v>
      </c>
      <c r="W262" s="2">
        <v>1</v>
      </c>
      <c r="X262" s="2">
        <v>3</v>
      </c>
      <c r="Y262" s="2">
        <v>0</v>
      </c>
      <c r="Z262" s="26" t="s">
        <v>5167</v>
      </c>
      <c r="AA262" s="31">
        <v>1906.01</v>
      </c>
    </row>
    <row r="263" spans="1:29" ht="16" x14ac:dyDescent="0.2">
      <c r="A263" s="3" t="s">
        <v>906</v>
      </c>
      <c r="B263" s="2" t="s">
        <v>907</v>
      </c>
      <c r="C263" s="8">
        <v>2333</v>
      </c>
      <c r="D263" s="6">
        <v>1906</v>
      </c>
      <c r="E263" s="6">
        <v>1900</v>
      </c>
      <c r="F263" s="2">
        <v>0</v>
      </c>
      <c r="G263" s="2">
        <v>0</v>
      </c>
      <c r="H263" s="3" t="s">
        <v>27</v>
      </c>
      <c r="I263" s="3" t="s">
        <v>908</v>
      </c>
      <c r="J263" s="3" t="s">
        <v>4805</v>
      </c>
      <c r="K263" s="15" t="s">
        <v>4806</v>
      </c>
      <c r="L263" s="10">
        <v>1155</v>
      </c>
      <c r="M263" s="4">
        <v>39</v>
      </c>
      <c r="N263" s="2">
        <v>57</v>
      </c>
      <c r="O263" s="2">
        <v>6</v>
      </c>
      <c r="P263" s="2">
        <v>4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1</v>
      </c>
      <c r="X263" s="2">
        <v>0</v>
      </c>
      <c r="Y263" s="2">
        <v>0</v>
      </c>
      <c r="Z263" s="26" t="s">
        <v>5167</v>
      </c>
      <c r="AA263" s="31">
        <v>1906.02</v>
      </c>
    </row>
    <row r="264" spans="1:29" ht="16" x14ac:dyDescent="0.2">
      <c r="A264" s="3" t="s">
        <v>3674</v>
      </c>
      <c r="B264" s="2" t="s">
        <v>3675</v>
      </c>
      <c r="C264" s="8">
        <v>2340</v>
      </c>
      <c r="D264" s="6">
        <v>1906</v>
      </c>
      <c r="E264" s="6">
        <v>1900</v>
      </c>
      <c r="F264" s="2">
        <v>2</v>
      </c>
      <c r="G264" s="2">
        <v>1</v>
      </c>
      <c r="H264" s="3" t="s">
        <v>3434</v>
      </c>
      <c r="I264" s="3" t="s">
        <v>429</v>
      </c>
      <c r="J264" s="3" t="s">
        <v>3579</v>
      </c>
      <c r="K264" s="15"/>
      <c r="L264" s="4" t="s">
        <v>430</v>
      </c>
      <c r="M264" s="4">
        <f>7+5+12*35</f>
        <v>432</v>
      </c>
      <c r="N264" s="2">
        <v>41</v>
      </c>
      <c r="O264" s="2">
        <v>5</v>
      </c>
      <c r="P264" s="2">
        <v>3</v>
      </c>
      <c r="Q264" s="2">
        <v>1</v>
      </c>
      <c r="R264" s="2">
        <v>1</v>
      </c>
      <c r="S264" s="2">
        <v>1</v>
      </c>
      <c r="T264" s="2">
        <v>0</v>
      </c>
      <c r="U264" s="2">
        <v>0</v>
      </c>
      <c r="V264" s="2">
        <v>1</v>
      </c>
      <c r="W264" s="2">
        <v>1</v>
      </c>
      <c r="X264" s="2">
        <v>2</v>
      </c>
      <c r="Y264" s="2">
        <v>0</v>
      </c>
      <c r="Z264" s="26" t="s">
        <v>5167</v>
      </c>
      <c r="AA264" s="31">
        <v>1906.03</v>
      </c>
    </row>
    <row r="265" spans="1:29" ht="16" x14ac:dyDescent="0.2">
      <c r="A265" s="3" t="s">
        <v>923</v>
      </c>
      <c r="B265" s="2" t="s">
        <v>924</v>
      </c>
      <c r="C265" s="8">
        <v>2564</v>
      </c>
      <c r="D265" s="6">
        <v>1907</v>
      </c>
      <c r="E265" s="6">
        <v>1900</v>
      </c>
      <c r="F265" s="2">
        <v>0</v>
      </c>
      <c r="G265" s="2">
        <v>0</v>
      </c>
      <c r="H265" s="3" t="s">
        <v>27</v>
      </c>
      <c r="I265" s="3" t="s">
        <v>5094</v>
      </c>
      <c r="J265" s="3" t="s">
        <v>925</v>
      </c>
      <c r="K265" s="15" t="s">
        <v>4694</v>
      </c>
      <c r="L265" s="10">
        <v>910</v>
      </c>
      <c r="M265" s="4">
        <f>7+(12*4)</f>
        <v>55</v>
      </c>
      <c r="N265" s="2">
        <v>57</v>
      </c>
      <c r="O265" s="2">
        <v>5</v>
      </c>
      <c r="Q265" s="2">
        <v>1</v>
      </c>
      <c r="R265" s="2">
        <v>1</v>
      </c>
      <c r="S265" s="2">
        <v>1</v>
      </c>
      <c r="T265" s="2">
        <v>0</v>
      </c>
      <c r="U265" s="2">
        <v>0</v>
      </c>
      <c r="V265" s="2">
        <v>0</v>
      </c>
      <c r="W265" s="2">
        <v>1</v>
      </c>
      <c r="X265" s="2">
        <v>0</v>
      </c>
      <c r="Y265" s="2">
        <v>0</v>
      </c>
      <c r="Z265" s="26" t="s">
        <v>5167</v>
      </c>
      <c r="AA265" s="31">
        <v>1907.01</v>
      </c>
    </row>
    <row r="266" spans="1:29" ht="16" x14ac:dyDescent="0.2">
      <c r="A266" s="3" t="s">
        <v>913</v>
      </c>
      <c r="B266" s="2" t="s">
        <v>914</v>
      </c>
      <c r="C266" s="8">
        <v>2613</v>
      </c>
      <c r="D266" s="6">
        <v>1907</v>
      </c>
      <c r="E266" s="6">
        <v>1900</v>
      </c>
      <c r="F266" s="2">
        <v>0</v>
      </c>
      <c r="G266" s="2">
        <v>0</v>
      </c>
      <c r="H266" s="3" t="s">
        <v>27</v>
      </c>
      <c r="I266" s="3" t="s">
        <v>915</v>
      </c>
      <c r="J266" s="3" t="s">
        <v>4807</v>
      </c>
      <c r="K266" s="15"/>
      <c r="L266" s="4" t="s">
        <v>830</v>
      </c>
      <c r="M266" s="4">
        <f>10+2+7*12</f>
        <v>96</v>
      </c>
      <c r="N266" s="2">
        <v>55</v>
      </c>
      <c r="O266" s="2">
        <v>6</v>
      </c>
      <c r="P266" s="2">
        <v>4</v>
      </c>
      <c r="Q266" s="2">
        <v>0</v>
      </c>
      <c r="R266" s="2">
        <v>0</v>
      </c>
      <c r="S266" s="2">
        <v>1</v>
      </c>
      <c r="T266" s="2">
        <v>0</v>
      </c>
      <c r="U266" s="2">
        <v>0</v>
      </c>
      <c r="V266" s="2">
        <v>0</v>
      </c>
      <c r="W266" s="2">
        <v>1</v>
      </c>
      <c r="X266" s="2">
        <v>2</v>
      </c>
      <c r="Y266" s="2">
        <v>0</v>
      </c>
      <c r="Z266" s="26" t="s">
        <v>5167</v>
      </c>
      <c r="AA266" s="31">
        <v>1907.02</v>
      </c>
    </row>
    <row r="267" spans="1:29" ht="16" x14ac:dyDescent="0.2">
      <c r="A267" s="3" t="s">
        <v>920</v>
      </c>
      <c r="B267" s="2" t="s">
        <v>921</v>
      </c>
      <c r="C267" s="8">
        <v>2613</v>
      </c>
      <c r="D267" s="6">
        <v>1907</v>
      </c>
      <c r="E267" s="6">
        <v>1900</v>
      </c>
      <c r="F267" s="2">
        <v>0</v>
      </c>
      <c r="G267" s="2">
        <v>0</v>
      </c>
      <c r="H267" s="3" t="s">
        <v>27</v>
      </c>
      <c r="I267" s="3" t="s">
        <v>922</v>
      </c>
      <c r="J267" s="3" t="s">
        <v>4809</v>
      </c>
      <c r="K267" s="15" t="s">
        <v>4808</v>
      </c>
      <c r="L267" s="10">
        <v>913</v>
      </c>
      <c r="M267" s="4">
        <f>6+2+4*12</f>
        <v>56</v>
      </c>
      <c r="N267" s="2">
        <v>57</v>
      </c>
      <c r="O267" s="2">
        <v>6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6" t="s">
        <v>5167</v>
      </c>
      <c r="AA267" s="31">
        <v>1907.03</v>
      </c>
      <c r="AC267" s="3"/>
    </row>
    <row r="268" spans="1:29" ht="16" x14ac:dyDescent="0.2">
      <c r="A268" s="3" t="s">
        <v>3676</v>
      </c>
      <c r="B268" s="2" t="s">
        <v>3677</v>
      </c>
      <c r="C268" s="8">
        <v>2627</v>
      </c>
      <c r="D268" s="6">
        <v>1907</v>
      </c>
      <c r="E268" s="6">
        <v>1900</v>
      </c>
      <c r="F268" s="2">
        <v>1</v>
      </c>
      <c r="G268" s="2">
        <v>1</v>
      </c>
      <c r="H268" s="3" t="s">
        <v>3442</v>
      </c>
      <c r="I268" s="3" t="s">
        <v>3678</v>
      </c>
      <c r="J268" s="3" t="s">
        <v>4810</v>
      </c>
      <c r="K268" s="15"/>
      <c r="L268" s="4" t="s">
        <v>3679</v>
      </c>
      <c r="M268" s="4">
        <v>150</v>
      </c>
      <c r="N268" s="2">
        <v>52</v>
      </c>
      <c r="O268" s="2">
        <v>4</v>
      </c>
      <c r="Q268" s="2">
        <v>0</v>
      </c>
      <c r="R268" s="2">
        <v>0</v>
      </c>
      <c r="S268" s="2">
        <v>0</v>
      </c>
      <c r="T268" s="2">
        <v>0</v>
      </c>
      <c r="U268" s="2">
        <v>1</v>
      </c>
      <c r="V268" s="2">
        <v>0</v>
      </c>
      <c r="W268" s="2">
        <v>1</v>
      </c>
      <c r="X268" s="2">
        <v>0</v>
      </c>
      <c r="Y268" s="2">
        <v>1</v>
      </c>
      <c r="Z268" s="26" t="s">
        <v>5167</v>
      </c>
      <c r="AA268" s="31">
        <v>1907.04</v>
      </c>
    </row>
    <row r="269" spans="1:29" ht="16" x14ac:dyDescent="0.2">
      <c r="A269" s="3" t="s">
        <v>909</v>
      </c>
      <c r="B269" s="2" t="s">
        <v>910</v>
      </c>
      <c r="C269" s="8">
        <v>2690</v>
      </c>
      <c r="D269" s="6">
        <v>1907</v>
      </c>
      <c r="E269" s="6">
        <v>1900</v>
      </c>
      <c r="F269" s="2">
        <v>0</v>
      </c>
      <c r="G269" s="2">
        <v>0</v>
      </c>
      <c r="H269" s="3" t="s">
        <v>27</v>
      </c>
      <c r="I269" s="3" t="s">
        <v>911</v>
      </c>
      <c r="J269" s="3" t="s">
        <v>4811</v>
      </c>
      <c r="K269" s="15"/>
      <c r="L269" s="4" t="s">
        <v>912</v>
      </c>
      <c r="M269" s="4">
        <f>5+4+16*12</f>
        <v>201</v>
      </c>
      <c r="N269" s="2">
        <v>52</v>
      </c>
      <c r="O269" s="2">
        <v>4</v>
      </c>
      <c r="Q269" s="2">
        <v>1</v>
      </c>
      <c r="R269" s="2">
        <v>1</v>
      </c>
      <c r="S269" s="2">
        <v>1</v>
      </c>
      <c r="T269" s="2">
        <v>0</v>
      </c>
      <c r="U269" s="2">
        <v>1</v>
      </c>
      <c r="V269" s="2">
        <v>0</v>
      </c>
      <c r="W269" s="2">
        <v>1</v>
      </c>
      <c r="X269" s="2">
        <v>3</v>
      </c>
      <c r="Y269" s="2">
        <v>1</v>
      </c>
      <c r="Z269" s="26" t="s">
        <v>5167</v>
      </c>
      <c r="AA269" s="31">
        <v>1907.05</v>
      </c>
    </row>
    <row r="270" spans="1:29" ht="16" x14ac:dyDescent="0.2">
      <c r="A270" s="3" t="s">
        <v>916</v>
      </c>
      <c r="B270" s="2" t="s">
        <v>917</v>
      </c>
      <c r="C270" s="8">
        <v>2704</v>
      </c>
      <c r="D270" s="6">
        <v>1907</v>
      </c>
      <c r="E270" s="6">
        <v>1900</v>
      </c>
      <c r="F270" s="2">
        <v>0</v>
      </c>
      <c r="G270" s="2">
        <v>0</v>
      </c>
      <c r="H270" s="3" t="s">
        <v>27</v>
      </c>
      <c r="I270" s="3" t="s">
        <v>918</v>
      </c>
      <c r="J270" s="22" t="s">
        <v>4812</v>
      </c>
      <c r="K270" s="21" t="s">
        <v>919</v>
      </c>
      <c r="L270" s="10">
        <v>2373</v>
      </c>
      <c r="M270" s="4">
        <f>6+5</f>
        <v>11</v>
      </c>
      <c r="N270" s="2">
        <v>59</v>
      </c>
      <c r="O270" s="2">
        <v>4</v>
      </c>
      <c r="Q270" s="2">
        <v>0</v>
      </c>
      <c r="R270" s="2">
        <v>0</v>
      </c>
      <c r="S270" s="2">
        <v>1</v>
      </c>
      <c r="T270" s="2">
        <v>0</v>
      </c>
      <c r="U270" s="2">
        <v>1</v>
      </c>
      <c r="V270" s="2">
        <v>0</v>
      </c>
      <c r="W270" s="2">
        <v>1</v>
      </c>
      <c r="X270" s="2">
        <v>2</v>
      </c>
      <c r="Y270" s="2">
        <v>0</v>
      </c>
      <c r="Z270" s="26" t="s">
        <v>5167</v>
      </c>
      <c r="AA270" s="31">
        <v>1907.06</v>
      </c>
    </row>
    <row r="271" spans="1:29" ht="16" x14ac:dyDescent="0.2">
      <c r="A271" s="3" t="s">
        <v>3685</v>
      </c>
      <c r="B271" s="2" t="s">
        <v>3686</v>
      </c>
      <c r="C271" s="8">
        <v>2928</v>
      </c>
      <c r="D271" s="6">
        <v>1908</v>
      </c>
      <c r="E271" s="6">
        <v>1900</v>
      </c>
      <c r="F271" s="2">
        <v>2</v>
      </c>
      <c r="G271" s="2">
        <v>1</v>
      </c>
      <c r="H271" s="3" t="s">
        <v>3434</v>
      </c>
      <c r="I271" s="3" t="s">
        <v>947</v>
      </c>
      <c r="J271" s="21" t="s">
        <v>4651</v>
      </c>
      <c r="K271" s="21" t="s">
        <v>948</v>
      </c>
      <c r="L271" s="10">
        <v>2354</v>
      </c>
      <c r="M271" s="4">
        <f>7+12</f>
        <v>19</v>
      </c>
      <c r="N271" s="2">
        <v>59</v>
      </c>
      <c r="O271" s="2">
        <v>5</v>
      </c>
      <c r="Q271" s="2">
        <v>1</v>
      </c>
      <c r="R271" s="2">
        <v>1</v>
      </c>
      <c r="S271" s="2">
        <v>1</v>
      </c>
      <c r="T271" s="2">
        <v>0</v>
      </c>
      <c r="U271" s="2">
        <v>0</v>
      </c>
      <c r="V271" s="2">
        <v>1</v>
      </c>
      <c r="W271" s="2">
        <v>0</v>
      </c>
      <c r="X271" s="2">
        <v>4</v>
      </c>
      <c r="Y271" s="2">
        <v>0</v>
      </c>
      <c r="Z271" s="26" t="s">
        <v>5167</v>
      </c>
      <c r="AA271" s="31">
        <v>1908.01</v>
      </c>
    </row>
    <row r="272" spans="1:29" ht="16" x14ac:dyDescent="0.2">
      <c r="A272" s="3" t="s">
        <v>3680</v>
      </c>
      <c r="B272" s="2" t="s">
        <v>3681</v>
      </c>
      <c r="C272" s="8">
        <v>2949</v>
      </c>
      <c r="D272" s="6">
        <v>1908</v>
      </c>
      <c r="E272" s="6">
        <v>1900</v>
      </c>
      <c r="F272" s="2">
        <v>2</v>
      </c>
      <c r="G272" s="2">
        <v>1</v>
      </c>
      <c r="H272" s="3" t="s">
        <v>3434</v>
      </c>
      <c r="I272" s="3" t="s">
        <v>3682</v>
      </c>
      <c r="J272" s="3" t="s">
        <v>3683</v>
      </c>
      <c r="K272" s="15"/>
      <c r="L272" s="4" t="s">
        <v>3684</v>
      </c>
      <c r="M272" s="4">
        <f>1+7+9*12</f>
        <v>116</v>
      </c>
      <c r="N272" s="2">
        <v>55</v>
      </c>
      <c r="O272" s="2">
        <v>4</v>
      </c>
      <c r="Q272" s="2">
        <v>1</v>
      </c>
      <c r="R272" s="2">
        <v>0</v>
      </c>
      <c r="S272" s="2">
        <v>1</v>
      </c>
      <c r="T272" s="2">
        <v>0</v>
      </c>
      <c r="U272" s="2">
        <v>1</v>
      </c>
      <c r="V272" s="2">
        <v>1</v>
      </c>
      <c r="W272" s="2">
        <v>1</v>
      </c>
      <c r="X272" s="2">
        <v>2</v>
      </c>
      <c r="Y272" s="2">
        <v>0</v>
      </c>
      <c r="Z272" s="26" t="s">
        <v>5167</v>
      </c>
      <c r="AA272" s="31">
        <v>1908.02</v>
      </c>
    </row>
    <row r="273" spans="1:27" ht="16" x14ac:dyDescent="0.2">
      <c r="A273" s="3" t="s">
        <v>929</v>
      </c>
      <c r="B273" s="2" t="s">
        <v>930</v>
      </c>
      <c r="C273" s="8">
        <v>2977</v>
      </c>
      <c r="D273" s="6">
        <v>1908</v>
      </c>
      <c r="E273" s="6">
        <v>1900</v>
      </c>
      <c r="F273" s="2">
        <v>0</v>
      </c>
      <c r="G273" s="2">
        <v>0</v>
      </c>
      <c r="H273" s="3" t="s">
        <v>27</v>
      </c>
      <c r="I273" s="3" t="s">
        <v>931</v>
      </c>
      <c r="J273" s="3" t="s">
        <v>4813</v>
      </c>
      <c r="K273" s="15"/>
      <c r="L273" s="4" t="s">
        <v>932</v>
      </c>
      <c r="M273" s="4">
        <f>5+2+12*14</f>
        <v>175</v>
      </c>
      <c r="N273" s="2">
        <v>52</v>
      </c>
      <c r="O273" s="2">
        <v>5</v>
      </c>
      <c r="Q273" s="2">
        <v>0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  <c r="Y273" s="2">
        <v>1</v>
      </c>
      <c r="Z273" s="26" t="s">
        <v>5167</v>
      </c>
      <c r="AA273" s="31">
        <v>1908.03</v>
      </c>
    </row>
    <row r="274" spans="1:27" ht="16" x14ac:dyDescent="0.2">
      <c r="A274" s="3" t="s">
        <v>936</v>
      </c>
      <c r="B274" s="2" t="s">
        <v>937</v>
      </c>
      <c r="C274" s="8">
        <v>2977</v>
      </c>
      <c r="D274" s="6">
        <v>1908</v>
      </c>
      <c r="E274" s="6">
        <v>1900</v>
      </c>
      <c r="F274" s="2">
        <v>0</v>
      </c>
      <c r="G274" s="2">
        <v>0</v>
      </c>
      <c r="H274" s="3" t="s">
        <v>27</v>
      </c>
      <c r="I274" s="3" t="s">
        <v>938</v>
      </c>
      <c r="J274" s="21" t="s">
        <v>939</v>
      </c>
      <c r="K274" s="21" t="s">
        <v>940</v>
      </c>
      <c r="L274" s="10">
        <v>2618</v>
      </c>
      <c r="M274" s="4">
        <f>10+2</f>
        <v>12</v>
      </c>
      <c r="N274" s="2">
        <v>59</v>
      </c>
      <c r="O274" s="2">
        <v>6</v>
      </c>
      <c r="P274" s="2">
        <v>1</v>
      </c>
      <c r="Q274" s="2">
        <v>0</v>
      </c>
      <c r="R274" s="2">
        <v>0</v>
      </c>
      <c r="S274" s="2">
        <v>1</v>
      </c>
      <c r="T274" s="2">
        <v>0</v>
      </c>
      <c r="U274" s="2">
        <v>1</v>
      </c>
      <c r="V274" s="2">
        <v>0</v>
      </c>
      <c r="W274" s="2">
        <v>1</v>
      </c>
      <c r="X274" s="2">
        <v>0</v>
      </c>
      <c r="Y274" s="2">
        <v>0</v>
      </c>
      <c r="Z274" s="26" t="s">
        <v>5167</v>
      </c>
      <c r="AA274" s="31">
        <v>1908.04</v>
      </c>
    </row>
    <row r="275" spans="1:27" ht="16" x14ac:dyDescent="0.2">
      <c r="A275" s="3" t="s">
        <v>926</v>
      </c>
      <c r="B275" s="2" t="s">
        <v>927</v>
      </c>
      <c r="C275" s="8">
        <v>2998</v>
      </c>
      <c r="D275" s="6">
        <v>1908</v>
      </c>
      <c r="E275" s="6">
        <v>1900</v>
      </c>
      <c r="F275" s="2">
        <v>0</v>
      </c>
      <c r="G275" s="2">
        <v>0</v>
      </c>
      <c r="H275" s="3" t="s">
        <v>27</v>
      </c>
      <c r="I275" s="3" t="s">
        <v>928</v>
      </c>
      <c r="J275" s="3" t="s">
        <v>4814</v>
      </c>
      <c r="K275" s="15" t="s">
        <v>4815</v>
      </c>
      <c r="L275" s="10">
        <v>1146</v>
      </c>
      <c r="M275" s="4">
        <v>61</v>
      </c>
      <c r="N275" s="2">
        <v>57</v>
      </c>
      <c r="O275" s="2">
        <v>4</v>
      </c>
      <c r="P275" s="2">
        <v>1</v>
      </c>
      <c r="Q275" s="2">
        <v>1</v>
      </c>
      <c r="R275" s="2">
        <v>1</v>
      </c>
      <c r="S275" s="2">
        <v>1</v>
      </c>
      <c r="T275" s="2">
        <v>1</v>
      </c>
      <c r="U275" s="2">
        <v>0</v>
      </c>
      <c r="V275" s="2">
        <v>0</v>
      </c>
      <c r="W275" s="2">
        <v>1</v>
      </c>
      <c r="X275" s="2">
        <v>3</v>
      </c>
      <c r="Y275" s="2">
        <v>0</v>
      </c>
      <c r="Z275" s="26" t="s">
        <v>5167</v>
      </c>
      <c r="AA275" s="31">
        <v>1908.05</v>
      </c>
    </row>
    <row r="276" spans="1:27" ht="16" x14ac:dyDescent="0.2">
      <c r="A276" s="3" t="s">
        <v>933</v>
      </c>
      <c r="B276" s="2" t="s">
        <v>934</v>
      </c>
      <c r="C276" s="8">
        <v>3061</v>
      </c>
      <c r="D276" s="6">
        <v>1908</v>
      </c>
      <c r="E276" s="6">
        <v>1900</v>
      </c>
      <c r="F276" s="2">
        <v>0</v>
      </c>
      <c r="G276" s="2">
        <v>0</v>
      </c>
      <c r="H276" s="3" t="s">
        <v>27</v>
      </c>
      <c r="I276" s="3" t="s">
        <v>935</v>
      </c>
      <c r="J276" s="3" t="s">
        <v>4796</v>
      </c>
      <c r="K276" s="15"/>
      <c r="L276" s="4" t="s">
        <v>803</v>
      </c>
      <c r="M276" s="4">
        <f>6+5+12*9</f>
        <v>119</v>
      </c>
      <c r="N276" s="2">
        <v>55</v>
      </c>
      <c r="O276" s="2">
        <v>1</v>
      </c>
      <c r="Q276" s="2">
        <v>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3</v>
      </c>
      <c r="Y276" s="2">
        <v>0</v>
      </c>
      <c r="Z276" s="26" t="s">
        <v>5167</v>
      </c>
      <c r="AA276" s="31">
        <v>1908.06</v>
      </c>
    </row>
    <row r="277" spans="1:27" ht="16" x14ac:dyDescent="0.2">
      <c r="A277" s="3" t="s">
        <v>949</v>
      </c>
      <c r="B277" s="2" t="s">
        <v>950</v>
      </c>
      <c r="C277" s="8">
        <v>3342</v>
      </c>
      <c r="D277" s="6">
        <v>1909</v>
      </c>
      <c r="E277" s="6">
        <v>1900</v>
      </c>
      <c r="F277" s="2">
        <v>0</v>
      </c>
      <c r="G277" s="2">
        <v>0</v>
      </c>
      <c r="H277" s="3" t="s">
        <v>27</v>
      </c>
      <c r="I277" s="3" t="s">
        <v>928</v>
      </c>
      <c r="J277" s="3" t="s">
        <v>4814</v>
      </c>
      <c r="K277" s="15" t="s">
        <v>4815</v>
      </c>
      <c r="L277" s="10">
        <v>1146</v>
      </c>
      <c r="M277" s="4">
        <f>10+2+5*12</f>
        <v>72</v>
      </c>
      <c r="N277" s="2">
        <v>57</v>
      </c>
      <c r="O277" s="2">
        <v>1</v>
      </c>
      <c r="Q277" s="2">
        <v>1</v>
      </c>
      <c r="R277" s="2">
        <v>1</v>
      </c>
      <c r="S277" s="2">
        <v>1</v>
      </c>
      <c r="T277" s="2">
        <v>0</v>
      </c>
      <c r="U277" s="2">
        <v>0</v>
      </c>
      <c r="V277" s="2">
        <v>0</v>
      </c>
      <c r="W277" s="2">
        <v>1</v>
      </c>
      <c r="X277" s="2">
        <v>0</v>
      </c>
      <c r="Y277" s="2">
        <v>0</v>
      </c>
      <c r="Z277" s="26" t="s">
        <v>5167</v>
      </c>
      <c r="AA277" s="31">
        <v>1909.01</v>
      </c>
    </row>
    <row r="278" spans="1:27" ht="16" x14ac:dyDescent="0.2">
      <c r="A278" s="3" t="s">
        <v>3687</v>
      </c>
      <c r="B278" s="2" t="s">
        <v>3688</v>
      </c>
      <c r="C278" s="8">
        <v>3383</v>
      </c>
      <c r="D278" s="6">
        <v>1909</v>
      </c>
      <c r="E278" s="6">
        <v>1900</v>
      </c>
      <c r="F278" s="2">
        <v>1</v>
      </c>
      <c r="G278" s="2">
        <v>1</v>
      </c>
      <c r="H278" s="3" t="s">
        <v>3442</v>
      </c>
      <c r="I278" s="3" t="s">
        <v>1038</v>
      </c>
      <c r="J278" s="21" t="s">
        <v>1039</v>
      </c>
      <c r="K278" s="21" t="s">
        <v>1040</v>
      </c>
      <c r="L278" s="10">
        <v>2608</v>
      </c>
      <c r="M278" s="4">
        <f>10+3+12</f>
        <v>25</v>
      </c>
      <c r="N278" s="2">
        <v>59</v>
      </c>
      <c r="O278" s="2">
        <v>5</v>
      </c>
      <c r="P278" s="2">
        <v>3</v>
      </c>
      <c r="Q278" s="2">
        <v>1</v>
      </c>
      <c r="R278" s="2">
        <v>0</v>
      </c>
      <c r="S278" s="2">
        <v>1</v>
      </c>
      <c r="T278" s="2">
        <v>0</v>
      </c>
      <c r="U278" s="2">
        <v>1</v>
      </c>
      <c r="V278" s="2">
        <v>1</v>
      </c>
      <c r="W278" s="2">
        <v>1</v>
      </c>
      <c r="X278" s="2">
        <v>3</v>
      </c>
      <c r="Y278" s="2">
        <v>0</v>
      </c>
      <c r="Z278" s="26" t="s">
        <v>5167</v>
      </c>
      <c r="AA278" s="31">
        <v>1909.02</v>
      </c>
    </row>
    <row r="279" spans="1:27" ht="16" x14ac:dyDescent="0.2">
      <c r="A279" s="3" t="s">
        <v>3689</v>
      </c>
      <c r="B279" s="2" t="s">
        <v>3690</v>
      </c>
      <c r="C279" s="8">
        <v>3397</v>
      </c>
      <c r="D279" s="6">
        <v>1909</v>
      </c>
      <c r="E279" s="6">
        <v>1900</v>
      </c>
      <c r="F279" s="2">
        <v>2</v>
      </c>
      <c r="G279" s="2">
        <v>1</v>
      </c>
      <c r="H279" s="3" t="s">
        <v>3434</v>
      </c>
      <c r="I279" s="3" t="s">
        <v>3691</v>
      </c>
      <c r="J279" s="3" t="s">
        <v>3692</v>
      </c>
      <c r="K279" s="15"/>
      <c r="L279" s="10">
        <v>428</v>
      </c>
      <c r="M279" s="4">
        <f>10+4+7*12</f>
        <v>98</v>
      </c>
      <c r="N279" s="2">
        <v>56</v>
      </c>
      <c r="O279" s="2">
        <v>6</v>
      </c>
      <c r="P279" s="2">
        <v>1</v>
      </c>
      <c r="Q279" s="2">
        <v>0</v>
      </c>
      <c r="R279" s="2">
        <v>0</v>
      </c>
      <c r="S279" s="2">
        <v>1</v>
      </c>
      <c r="T279" s="2">
        <v>1</v>
      </c>
      <c r="U279" s="2">
        <v>0</v>
      </c>
      <c r="V279" s="2">
        <v>1</v>
      </c>
      <c r="W279" s="2">
        <v>1</v>
      </c>
      <c r="X279" s="2">
        <v>0</v>
      </c>
      <c r="Y279" s="2">
        <v>0</v>
      </c>
      <c r="Z279" s="26" t="s">
        <v>5167</v>
      </c>
      <c r="AA279" s="31">
        <v>1909.03</v>
      </c>
    </row>
    <row r="280" spans="1:27" ht="16" x14ac:dyDescent="0.2">
      <c r="A280" s="3" t="s">
        <v>953</v>
      </c>
      <c r="B280" s="2" t="s">
        <v>954</v>
      </c>
      <c r="C280" s="8">
        <v>3411</v>
      </c>
      <c r="D280" s="6">
        <v>1909</v>
      </c>
      <c r="E280" s="6">
        <v>1900</v>
      </c>
      <c r="F280" s="2">
        <v>0</v>
      </c>
      <c r="G280" s="2">
        <v>0</v>
      </c>
      <c r="H280" s="3" t="s">
        <v>27</v>
      </c>
      <c r="I280" s="3" t="s">
        <v>955</v>
      </c>
      <c r="J280" s="21" t="s">
        <v>956</v>
      </c>
      <c r="K280" s="21" t="s">
        <v>957</v>
      </c>
      <c r="L280" s="10">
        <v>2372</v>
      </c>
      <c r="M280" s="4">
        <f>6+4+12*2</f>
        <v>34</v>
      </c>
      <c r="N280" s="2">
        <v>59</v>
      </c>
      <c r="O280" s="2">
        <v>5</v>
      </c>
      <c r="Q280" s="2">
        <v>1</v>
      </c>
      <c r="R280" s="2">
        <v>1</v>
      </c>
      <c r="S280" s="2">
        <v>1</v>
      </c>
      <c r="T280" s="2">
        <v>0</v>
      </c>
      <c r="U280" s="2">
        <v>0</v>
      </c>
      <c r="V280" s="2">
        <v>0</v>
      </c>
      <c r="W280" s="2">
        <v>1</v>
      </c>
      <c r="X280" s="2">
        <v>1</v>
      </c>
      <c r="Y280" s="2">
        <v>0</v>
      </c>
      <c r="Z280" s="26" t="s">
        <v>5167</v>
      </c>
      <c r="AA280" s="31">
        <v>1909.04</v>
      </c>
    </row>
    <row r="281" spans="1:27" ht="16" x14ac:dyDescent="0.2">
      <c r="A281" s="3" t="s">
        <v>941</v>
      </c>
      <c r="B281" s="2" t="s">
        <v>942</v>
      </c>
      <c r="C281" s="8">
        <v>3425</v>
      </c>
      <c r="D281" s="6">
        <v>1909</v>
      </c>
      <c r="E281" s="6">
        <v>1900</v>
      </c>
      <c r="F281" s="2">
        <v>0</v>
      </c>
      <c r="G281" s="2">
        <v>0</v>
      </c>
      <c r="H281" s="3" t="s">
        <v>27</v>
      </c>
      <c r="I281" s="3" t="s">
        <v>943</v>
      </c>
      <c r="J281" s="3" t="s">
        <v>4647</v>
      </c>
      <c r="K281" s="15"/>
      <c r="L281" s="4" t="s">
        <v>944</v>
      </c>
      <c r="M281" s="4">
        <f>7+5+12*12</f>
        <v>156</v>
      </c>
      <c r="N281" s="2">
        <v>54</v>
      </c>
      <c r="O281" s="2">
        <v>4</v>
      </c>
      <c r="Q281" s="2">
        <v>0</v>
      </c>
      <c r="R281" s="2">
        <v>0</v>
      </c>
      <c r="S281" s="2">
        <v>0</v>
      </c>
      <c r="T281" s="2">
        <v>0</v>
      </c>
      <c r="U281" s="2">
        <v>1</v>
      </c>
      <c r="V281" s="2">
        <v>0</v>
      </c>
      <c r="W281" s="2">
        <v>1</v>
      </c>
      <c r="X281" s="2">
        <v>0</v>
      </c>
      <c r="Y281" s="2">
        <v>0</v>
      </c>
      <c r="Z281" s="26" t="s">
        <v>5167</v>
      </c>
      <c r="AA281" s="31">
        <v>1909.05</v>
      </c>
    </row>
    <row r="282" spans="1:27" ht="16" x14ac:dyDescent="0.2">
      <c r="A282" s="3" t="s">
        <v>951</v>
      </c>
      <c r="B282" s="2" t="s">
        <v>952</v>
      </c>
      <c r="C282" s="8">
        <v>3440</v>
      </c>
      <c r="D282" s="6">
        <v>1909</v>
      </c>
      <c r="E282" s="6">
        <v>1900</v>
      </c>
      <c r="F282" s="2">
        <v>0</v>
      </c>
      <c r="G282" s="2">
        <v>0</v>
      </c>
      <c r="H282" s="3" t="s">
        <v>27</v>
      </c>
      <c r="I282" s="3" t="s">
        <v>892</v>
      </c>
      <c r="J282" s="3" t="s">
        <v>4648</v>
      </c>
      <c r="K282" s="15" t="s">
        <v>4649</v>
      </c>
      <c r="L282" s="10">
        <v>1158</v>
      </c>
      <c r="M282" s="4">
        <f>10+5+12*5</f>
        <v>75</v>
      </c>
      <c r="N282" s="2">
        <v>57</v>
      </c>
      <c r="O282" s="2">
        <v>6</v>
      </c>
      <c r="P282" s="2">
        <v>1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1</v>
      </c>
      <c r="X282" s="2">
        <v>0</v>
      </c>
      <c r="Y282" s="2">
        <v>0</v>
      </c>
      <c r="Z282" s="26" t="s">
        <v>5167</v>
      </c>
      <c r="AA282" s="31">
        <v>1909.06</v>
      </c>
    </row>
    <row r="283" spans="1:27" ht="16" x14ac:dyDescent="0.2">
      <c r="A283" s="3" t="s">
        <v>945</v>
      </c>
      <c r="B283" s="2" t="s">
        <v>946</v>
      </c>
      <c r="C283" s="8">
        <v>3607</v>
      </c>
      <c r="D283" s="6">
        <v>1909</v>
      </c>
      <c r="E283" s="6">
        <v>1900</v>
      </c>
      <c r="F283" s="2">
        <v>0</v>
      </c>
      <c r="G283" s="2">
        <v>0</v>
      </c>
      <c r="H283" s="3" t="s">
        <v>27</v>
      </c>
      <c r="I283" s="3" t="s">
        <v>947</v>
      </c>
      <c r="J283" s="21" t="s">
        <v>4651</v>
      </c>
      <c r="K283" s="21" t="s">
        <v>948</v>
      </c>
      <c r="L283" s="10">
        <v>2354</v>
      </c>
      <c r="M283" s="4">
        <f>7+11+24</f>
        <v>42</v>
      </c>
      <c r="N283" s="2">
        <v>59</v>
      </c>
      <c r="O283" s="2">
        <v>5</v>
      </c>
      <c r="Q283" s="2">
        <v>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6" t="s">
        <v>5167</v>
      </c>
      <c r="AA283" s="31">
        <v>1909.07</v>
      </c>
    </row>
    <row r="284" spans="1:27" ht="16" x14ac:dyDescent="0.2">
      <c r="A284" s="3" t="s">
        <v>958</v>
      </c>
      <c r="B284" s="2" t="s">
        <v>959</v>
      </c>
      <c r="C284" s="8">
        <v>3705</v>
      </c>
      <c r="D284" s="6">
        <v>1910</v>
      </c>
      <c r="E284" s="6">
        <v>1910</v>
      </c>
      <c r="F284" s="2">
        <v>0</v>
      </c>
      <c r="G284" s="2">
        <v>0</v>
      </c>
      <c r="H284" s="3" t="s">
        <v>27</v>
      </c>
      <c r="I284" s="3" t="s">
        <v>813</v>
      </c>
      <c r="J284" s="3" t="s">
        <v>4650</v>
      </c>
      <c r="K284" s="15"/>
      <c r="L284" s="10">
        <v>103</v>
      </c>
      <c r="M284" s="4">
        <v>119</v>
      </c>
      <c r="N284" s="2">
        <v>56</v>
      </c>
      <c r="O284" s="2">
        <v>4</v>
      </c>
      <c r="Q284" s="2">
        <v>1</v>
      </c>
      <c r="R284" s="2">
        <v>0</v>
      </c>
      <c r="S284" s="2">
        <v>1</v>
      </c>
      <c r="T284" s="2">
        <v>0</v>
      </c>
      <c r="U284" s="2">
        <v>0</v>
      </c>
      <c r="V284" s="2">
        <v>0</v>
      </c>
      <c r="W284" s="2">
        <v>1</v>
      </c>
      <c r="X284" s="2">
        <v>0</v>
      </c>
      <c r="Y284" s="2">
        <v>0</v>
      </c>
      <c r="Z284" s="26" t="s">
        <v>5167</v>
      </c>
      <c r="AA284" s="31">
        <v>1910.01</v>
      </c>
    </row>
    <row r="285" spans="1:27" ht="16" x14ac:dyDescent="0.2">
      <c r="A285" s="3" t="s">
        <v>971</v>
      </c>
      <c r="B285" s="2" t="s">
        <v>972</v>
      </c>
      <c r="C285" s="8">
        <v>3705</v>
      </c>
      <c r="D285" s="6">
        <v>1910</v>
      </c>
      <c r="E285" s="6">
        <v>1910</v>
      </c>
      <c r="F285" s="2">
        <v>0</v>
      </c>
      <c r="G285" s="2">
        <v>0</v>
      </c>
      <c r="H285" s="3" t="s">
        <v>27</v>
      </c>
      <c r="I285" s="3" t="s">
        <v>915</v>
      </c>
      <c r="J285" s="3" t="s">
        <v>4175</v>
      </c>
      <c r="K285" s="15"/>
      <c r="L285" s="4" t="s">
        <v>830</v>
      </c>
      <c r="M285" s="4">
        <f>10+2+12*10</f>
        <v>132</v>
      </c>
      <c r="N285" s="2">
        <v>55</v>
      </c>
      <c r="O285" s="2">
        <v>6</v>
      </c>
      <c r="P285" s="2">
        <v>4</v>
      </c>
      <c r="Q285" s="2">
        <v>0</v>
      </c>
      <c r="R285" s="2">
        <v>0</v>
      </c>
      <c r="S285" s="2">
        <v>1</v>
      </c>
      <c r="T285" s="2">
        <v>0</v>
      </c>
      <c r="U285" s="2">
        <v>0</v>
      </c>
      <c r="V285" s="2">
        <v>0</v>
      </c>
      <c r="W285" s="2">
        <v>1</v>
      </c>
      <c r="X285" s="2">
        <v>1</v>
      </c>
      <c r="Y285" s="2">
        <v>0</v>
      </c>
      <c r="Z285" s="26" t="s">
        <v>5167</v>
      </c>
      <c r="AA285" s="31">
        <v>1910.02</v>
      </c>
    </row>
    <row r="286" spans="1:27" ht="16" x14ac:dyDescent="0.2">
      <c r="A286" s="3" t="s">
        <v>964</v>
      </c>
      <c r="B286" s="2" t="s">
        <v>965</v>
      </c>
      <c r="C286" s="8">
        <v>3705</v>
      </c>
      <c r="D286" s="6">
        <v>1910</v>
      </c>
      <c r="E286" s="6">
        <v>1910</v>
      </c>
      <c r="F286" s="2">
        <v>0</v>
      </c>
      <c r="G286" s="2">
        <v>0</v>
      </c>
      <c r="H286" s="3" t="s">
        <v>27</v>
      </c>
      <c r="I286" s="3" t="s">
        <v>61</v>
      </c>
      <c r="J286" s="3" t="s">
        <v>62</v>
      </c>
      <c r="K286" s="18" t="s">
        <v>63</v>
      </c>
      <c r="L286" s="4" t="s">
        <v>64</v>
      </c>
      <c r="M286" s="4">
        <f>5+(12*120)</f>
        <v>1445</v>
      </c>
      <c r="N286" s="2">
        <v>1</v>
      </c>
      <c r="O286" s="2">
        <v>1</v>
      </c>
      <c r="Q286" s="2">
        <v>0</v>
      </c>
      <c r="R286" s="2">
        <v>0</v>
      </c>
      <c r="S286" s="2">
        <v>1</v>
      </c>
      <c r="T286" s="2">
        <v>0</v>
      </c>
      <c r="U286" s="2">
        <v>0</v>
      </c>
      <c r="V286" s="2">
        <v>0</v>
      </c>
      <c r="W286" s="2">
        <v>1</v>
      </c>
      <c r="X286" s="2">
        <v>0</v>
      </c>
      <c r="Y286" s="2">
        <v>1</v>
      </c>
      <c r="Z286" s="26" t="s">
        <v>5167</v>
      </c>
      <c r="AA286" s="31">
        <v>1910.03</v>
      </c>
    </row>
    <row r="287" spans="1:27" ht="16" x14ac:dyDescent="0.2">
      <c r="A287" s="3" t="s">
        <v>960</v>
      </c>
      <c r="B287" s="2" t="s">
        <v>961</v>
      </c>
      <c r="C287" s="8">
        <v>3726</v>
      </c>
      <c r="D287" s="6">
        <v>1910</v>
      </c>
      <c r="E287" s="6">
        <v>1910</v>
      </c>
      <c r="F287" s="2">
        <v>0</v>
      </c>
      <c r="G287" s="2">
        <v>0</v>
      </c>
      <c r="H287" s="3" t="s">
        <v>27</v>
      </c>
      <c r="I287" s="3" t="s">
        <v>962</v>
      </c>
      <c r="J287" s="3" t="s">
        <v>4652</v>
      </c>
      <c r="K287" s="15"/>
      <c r="L287" s="4" t="s">
        <v>963</v>
      </c>
      <c r="M287" s="4">
        <v>140</v>
      </c>
      <c r="N287" s="2">
        <v>55</v>
      </c>
      <c r="O287" s="2">
        <v>5</v>
      </c>
      <c r="P287" s="2">
        <v>6</v>
      </c>
      <c r="Q287" s="2">
        <v>0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1</v>
      </c>
      <c r="X287" s="2">
        <v>0</v>
      </c>
      <c r="Y287" s="2">
        <v>0</v>
      </c>
      <c r="Z287" s="26" t="s">
        <v>5167</v>
      </c>
      <c r="AA287" s="31">
        <v>1910.04</v>
      </c>
    </row>
    <row r="288" spans="1:27" ht="16" x14ac:dyDescent="0.2">
      <c r="A288" s="3" t="s">
        <v>966</v>
      </c>
      <c r="B288" s="2" t="s">
        <v>967</v>
      </c>
      <c r="C288" s="8">
        <v>3789</v>
      </c>
      <c r="D288" s="6">
        <v>1910</v>
      </c>
      <c r="E288" s="6">
        <v>1910</v>
      </c>
      <c r="F288" s="2">
        <v>0</v>
      </c>
      <c r="G288" s="2">
        <v>0</v>
      </c>
      <c r="H288" s="3" t="s">
        <v>27</v>
      </c>
      <c r="I288" s="3" t="s">
        <v>968</v>
      </c>
      <c r="J288" s="22" t="s">
        <v>969</v>
      </c>
      <c r="K288" s="21" t="s">
        <v>970</v>
      </c>
      <c r="L288" s="10">
        <v>2372</v>
      </c>
      <c r="M288" s="4">
        <f>6+5+12*3</f>
        <v>47</v>
      </c>
      <c r="N288" s="2">
        <v>59</v>
      </c>
      <c r="O288" s="2">
        <v>5</v>
      </c>
      <c r="Q288" s="2">
        <v>1</v>
      </c>
      <c r="R288" s="2">
        <v>0</v>
      </c>
      <c r="S288" s="2">
        <v>1</v>
      </c>
      <c r="T288" s="2">
        <v>1</v>
      </c>
      <c r="U288" s="2">
        <v>0</v>
      </c>
      <c r="V288" s="2">
        <v>0</v>
      </c>
      <c r="W288" s="2">
        <v>1</v>
      </c>
      <c r="X288" s="2">
        <v>0</v>
      </c>
      <c r="Y288" s="2">
        <v>0</v>
      </c>
      <c r="Z288" s="26" t="s">
        <v>5167</v>
      </c>
      <c r="AA288" s="31">
        <v>1910.05</v>
      </c>
    </row>
    <row r="289" spans="1:27" ht="16" x14ac:dyDescent="0.2">
      <c r="A289" s="3" t="s">
        <v>973</v>
      </c>
      <c r="B289" s="2" t="s">
        <v>974</v>
      </c>
      <c r="C289" s="8">
        <v>4021</v>
      </c>
      <c r="D289" s="6">
        <v>1911</v>
      </c>
      <c r="E289" s="6">
        <v>1910</v>
      </c>
      <c r="F289" s="2">
        <v>0</v>
      </c>
      <c r="G289" s="2">
        <v>0</v>
      </c>
      <c r="H289" s="3" t="s">
        <v>27</v>
      </c>
      <c r="I289" s="3" t="s">
        <v>975</v>
      </c>
      <c r="J289" s="21" t="s">
        <v>956</v>
      </c>
      <c r="K289" s="21" t="s">
        <v>957</v>
      </c>
      <c r="L289" s="10">
        <v>2372</v>
      </c>
      <c r="M289" s="4">
        <f>6+12*4</f>
        <v>54</v>
      </c>
      <c r="N289" s="2">
        <v>59</v>
      </c>
      <c r="O289" s="2">
        <v>4</v>
      </c>
      <c r="Q289" s="2">
        <v>1</v>
      </c>
      <c r="R289" s="2">
        <v>0</v>
      </c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6" t="s">
        <v>5167</v>
      </c>
      <c r="AA289" s="31">
        <v>1911.01</v>
      </c>
    </row>
    <row r="290" spans="1:27" ht="16" x14ac:dyDescent="0.2">
      <c r="A290" s="3" t="s">
        <v>992</v>
      </c>
      <c r="B290" s="2" t="s">
        <v>993</v>
      </c>
      <c r="C290" s="8">
        <v>4021</v>
      </c>
      <c r="D290" s="6">
        <v>1911</v>
      </c>
      <c r="E290" s="6">
        <v>1910</v>
      </c>
      <c r="F290" s="2">
        <v>0</v>
      </c>
      <c r="G290" s="2">
        <v>0</v>
      </c>
      <c r="H290" s="3" t="s">
        <v>27</v>
      </c>
      <c r="I290" s="3" t="s">
        <v>994</v>
      </c>
      <c r="J290" s="3" t="s">
        <v>4653</v>
      </c>
      <c r="K290" s="15"/>
      <c r="L290" s="4" t="s">
        <v>995</v>
      </c>
      <c r="M290" s="4">
        <v>454</v>
      </c>
      <c r="N290" s="2">
        <v>42</v>
      </c>
      <c r="O290" s="2">
        <v>1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1</v>
      </c>
      <c r="X290" s="2">
        <v>0</v>
      </c>
      <c r="Y290" s="2">
        <v>0</v>
      </c>
      <c r="Z290" s="26" t="s">
        <v>5167</v>
      </c>
      <c r="AA290" s="31">
        <v>1911.02</v>
      </c>
    </row>
    <row r="291" spans="1:27" ht="16" x14ac:dyDescent="0.2">
      <c r="A291" s="3" t="s">
        <v>3698</v>
      </c>
      <c r="B291" s="2" t="s">
        <v>3699</v>
      </c>
      <c r="C291" s="8">
        <v>4041</v>
      </c>
      <c r="D291" s="6">
        <v>1911</v>
      </c>
      <c r="E291" s="6">
        <v>1910</v>
      </c>
      <c r="F291" s="2">
        <v>2</v>
      </c>
      <c r="G291" s="2">
        <v>1</v>
      </c>
      <c r="H291" s="3" t="s">
        <v>3434</v>
      </c>
      <c r="I291" s="3" t="s">
        <v>3700</v>
      </c>
      <c r="J291" s="21" t="s">
        <v>3701</v>
      </c>
      <c r="K291" s="21" t="s">
        <v>3702</v>
      </c>
      <c r="L291" s="10">
        <v>2617</v>
      </c>
      <c r="M291" s="4">
        <f>10+1+12*3</f>
        <v>47</v>
      </c>
      <c r="N291" s="2">
        <v>59</v>
      </c>
      <c r="O291" s="2">
        <v>6</v>
      </c>
      <c r="Q291" s="2">
        <v>0</v>
      </c>
      <c r="R291" s="2">
        <v>0</v>
      </c>
      <c r="S291" s="2">
        <v>0</v>
      </c>
      <c r="T291" s="2">
        <v>0</v>
      </c>
      <c r="U291" s="2">
        <v>1</v>
      </c>
      <c r="V291" s="2">
        <v>1</v>
      </c>
      <c r="W291" s="2">
        <v>1</v>
      </c>
      <c r="X291" s="2">
        <v>0</v>
      </c>
      <c r="Y291" s="2">
        <v>0</v>
      </c>
      <c r="Z291" s="26" t="s">
        <v>5167</v>
      </c>
      <c r="AA291" s="31">
        <v>1911.03</v>
      </c>
    </row>
    <row r="292" spans="1:27" ht="16" x14ac:dyDescent="0.2">
      <c r="A292" s="3" t="s">
        <v>1003</v>
      </c>
      <c r="B292" s="2" t="s">
        <v>1004</v>
      </c>
      <c r="C292" s="8">
        <v>4069</v>
      </c>
      <c r="D292" s="6">
        <v>1911</v>
      </c>
      <c r="E292" s="6">
        <v>1910</v>
      </c>
      <c r="F292" s="2">
        <v>0</v>
      </c>
      <c r="G292" s="2">
        <v>0</v>
      </c>
      <c r="H292" s="3" t="s">
        <v>27</v>
      </c>
      <c r="I292" s="3" t="s">
        <v>955</v>
      </c>
      <c r="J292" s="21" t="s">
        <v>956</v>
      </c>
      <c r="K292" s="21" t="s">
        <v>957</v>
      </c>
      <c r="L292" s="10">
        <v>2372</v>
      </c>
      <c r="M292" s="4">
        <f>6+2+12*4</f>
        <v>56</v>
      </c>
      <c r="N292" s="2">
        <v>59</v>
      </c>
      <c r="O292" s="2">
        <v>5</v>
      </c>
      <c r="P292" s="2">
        <v>4</v>
      </c>
      <c r="Q292" s="2">
        <v>1</v>
      </c>
      <c r="R292" s="2">
        <v>1</v>
      </c>
      <c r="S292" s="2">
        <v>0</v>
      </c>
      <c r="T292" s="2">
        <v>0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 s="26" t="s">
        <v>5167</v>
      </c>
      <c r="AA292" s="31">
        <v>1911.04</v>
      </c>
    </row>
    <row r="293" spans="1:27" ht="16" x14ac:dyDescent="0.2">
      <c r="A293" s="3" t="s">
        <v>985</v>
      </c>
      <c r="B293" s="2" t="s">
        <v>986</v>
      </c>
      <c r="C293" s="8">
        <v>4090</v>
      </c>
      <c r="D293" s="6">
        <v>1911</v>
      </c>
      <c r="E293" s="6">
        <v>1910</v>
      </c>
      <c r="F293" s="2">
        <v>0</v>
      </c>
      <c r="G293" s="2">
        <v>0</v>
      </c>
      <c r="H293" s="3" t="s">
        <v>27</v>
      </c>
      <c r="I293" t="s">
        <v>987</v>
      </c>
      <c r="J293" s="21" t="s">
        <v>988</v>
      </c>
      <c r="K293" s="21" t="s">
        <v>989</v>
      </c>
      <c r="L293" s="10">
        <v>3505</v>
      </c>
      <c r="M293" s="4">
        <f>5+2+12</f>
        <v>19</v>
      </c>
      <c r="N293" s="2">
        <v>61</v>
      </c>
      <c r="O293" s="2">
        <v>4</v>
      </c>
      <c r="P293" s="2">
        <v>5</v>
      </c>
      <c r="Q293" s="2">
        <v>1</v>
      </c>
      <c r="R293" s="2">
        <v>1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6" t="s">
        <v>5167</v>
      </c>
      <c r="AA293" s="31">
        <v>1911.05</v>
      </c>
    </row>
    <row r="294" spans="1:27" ht="16" x14ac:dyDescent="0.2">
      <c r="A294" s="3" t="s">
        <v>1015</v>
      </c>
      <c r="B294" s="2" t="s">
        <v>1016</v>
      </c>
      <c r="C294" s="8">
        <v>4141</v>
      </c>
      <c r="D294" s="6">
        <v>1911</v>
      </c>
      <c r="E294" s="6">
        <v>1910</v>
      </c>
      <c r="F294" s="2">
        <v>0</v>
      </c>
      <c r="G294" s="2">
        <v>0</v>
      </c>
      <c r="H294" s="3" t="s">
        <v>27</v>
      </c>
      <c r="I294" s="3" t="s">
        <v>1001</v>
      </c>
      <c r="J294" s="3" t="s">
        <v>4654</v>
      </c>
      <c r="K294" s="15"/>
      <c r="L294" s="4" t="s">
        <v>1002</v>
      </c>
      <c r="M294" s="4">
        <v>167</v>
      </c>
      <c r="N294" s="2">
        <v>55</v>
      </c>
      <c r="O294" s="2">
        <v>6</v>
      </c>
      <c r="Q294" s="2">
        <v>1</v>
      </c>
      <c r="R294" s="2">
        <v>0</v>
      </c>
      <c r="S294" s="2">
        <v>1</v>
      </c>
      <c r="T294" s="2">
        <v>0</v>
      </c>
      <c r="U294" s="2">
        <v>1</v>
      </c>
      <c r="V294" s="2">
        <v>0</v>
      </c>
      <c r="W294" s="2">
        <v>1</v>
      </c>
      <c r="X294" s="2">
        <v>0</v>
      </c>
      <c r="Y294" s="2">
        <v>0</v>
      </c>
      <c r="Z294" s="26" t="s">
        <v>5167</v>
      </c>
      <c r="AA294" s="31">
        <v>1911.06</v>
      </c>
    </row>
    <row r="295" spans="1:27" ht="16" x14ac:dyDescent="0.2">
      <c r="A295" s="3" t="s">
        <v>999</v>
      </c>
      <c r="B295" s="2" t="s">
        <v>1000</v>
      </c>
      <c r="C295" s="8">
        <v>4139</v>
      </c>
      <c r="D295" s="6">
        <v>1911</v>
      </c>
      <c r="E295" s="6">
        <v>1910</v>
      </c>
      <c r="F295" s="2">
        <v>0</v>
      </c>
      <c r="G295" s="2">
        <v>0</v>
      </c>
      <c r="H295" s="3" t="s">
        <v>27</v>
      </c>
      <c r="I295" s="3" t="s">
        <v>1001</v>
      </c>
      <c r="J295" s="3" t="s">
        <v>4654</v>
      </c>
      <c r="K295" s="15"/>
      <c r="L295" s="4" t="s">
        <v>1002</v>
      </c>
      <c r="M295" s="4">
        <v>167</v>
      </c>
      <c r="N295" s="2">
        <v>55</v>
      </c>
      <c r="O295" s="2">
        <v>5</v>
      </c>
      <c r="Q295" s="2">
        <v>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6" t="s">
        <v>5167</v>
      </c>
      <c r="AA295" s="31">
        <v>1911.07</v>
      </c>
    </row>
    <row r="296" spans="1:27" ht="16" x14ac:dyDescent="0.2">
      <c r="A296" s="3" t="s">
        <v>1013</v>
      </c>
      <c r="B296" s="2" t="s">
        <v>1014</v>
      </c>
      <c r="C296" s="8">
        <v>4153</v>
      </c>
      <c r="D296" s="6">
        <v>1911</v>
      </c>
      <c r="E296" s="6">
        <v>1910</v>
      </c>
      <c r="F296" s="2">
        <v>0</v>
      </c>
      <c r="G296" s="2">
        <v>0</v>
      </c>
      <c r="H296" s="3" t="s">
        <v>27</v>
      </c>
      <c r="I296" s="3" t="s">
        <v>779</v>
      </c>
      <c r="J296" s="3" t="s">
        <v>1535</v>
      </c>
      <c r="K296" s="15"/>
      <c r="L296" s="4" t="s">
        <v>780</v>
      </c>
      <c r="M296" s="4">
        <f>6+5+19*12</f>
        <v>239</v>
      </c>
      <c r="N296" s="2">
        <v>51</v>
      </c>
      <c r="O296" s="2">
        <v>4</v>
      </c>
      <c r="P296" s="2">
        <v>6</v>
      </c>
      <c r="Q296" s="2">
        <v>1</v>
      </c>
      <c r="R296" s="2">
        <v>1</v>
      </c>
      <c r="S296" s="2">
        <v>1</v>
      </c>
      <c r="T296" s="2">
        <v>0</v>
      </c>
      <c r="U296" s="2">
        <v>0</v>
      </c>
      <c r="V296" s="2">
        <v>0</v>
      </c>
      <c r="W296" s="2">
        <v>1</v>
      </c>
      <c r="X296" s="2">
        <v>1</v>
      </c>
      <c r="Y296" s="2">
        <v>0</v>
      </c>
      <c r="Z296" s="26" t="s">
        <v>5167</v>
      </c>
      <c r="AA296" s="31">
        <v>1911.08</v>
      </c>
    </row>
    <row r="297" spans="1:27" ht="16" x14ac:dyDescent="0.2">
      <c r="A297" s="3" t="s">
        <v>990</v>
      </c>
      <c r="B297" s="2" t="s">
        <v>991</v>
      </c>
      <c r="C297" s="8">
        <v>4153</v>
      </c>
      <c r="D297" s="6">
        <v>1911</v>
      </c>
      <c r="E297" s="6">
        <v>1910</v>
      </c>
      <c r="F297" s="2">
        <v>0</v>
      </c>
      <c r="G297" s="2">
        <v>0</v>
      </c>
      <c r="H297" s="3" t="s">
        <v>27</v>
      </c>
      <c r="I297" s="3" t="s">
        <v>915</v>
      </c>
      <c r="J297" s="3" t="s">
        <v>4175</v>
      </c>
      <c r="K297" s="15"/>
      <c r="L297" s="4" t="s">
        <v>830</v>
      </c>
      <c r="M297" s="4">
        <f>10+5+12*11</f>
        <v>147</v>
      </c>
      <c r="N297" s="2">
        <v>55</v>
      </c>
      <c r="O297" s="2">
        <v>5</v>
      </c>
      <c r="P297" s="2">
        <v>6</v>
      </c>
      <c r="Q297" s="2">
        <v>0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1</v>
      </c>
      <c r="X297" s="2">
        <v>0</v>
      </c>
      <c r="Y297" s="2">
        <v>0</v>
      </c>
      <c r="Z297" s="26" t="s">
        <v>5167</v>
      </c>
      <c r="AA297" s="31">
        <v>1911.09</v>
      </c>
    </row>
    <row r="298" spans="1:27" ht="16" x14ac:dyDescent="0.2">
      <c r="A298" s="3" t="s">
        <v>1005</v>
      </c>
      <c r="B298" s="2" t="s">
        <v>1006</v>
      </c>
      <c r="C298" s="8">
        <v>4153</v>
      </c>
      <c r="D298" s="6">
        <v>1911</v>
      </c>
      <c r="E298" s="6">
        <v>1910</v>
      </c>
      <c r="F298" s="2">
        <v>0</v>
      </c>
      <c r="G298" s="2">
        <v>0</v>
      </c>
      <c r="H298" s="3" t="s">
        <v>27</v>
      </c>
      <c r="I298" s="3" t="s">
        <v>1007</v>
      </c>
      <c r="J298" s="21" t="s">
        <v>1008</v>
      </c>
      <c r="K298" s="21" t="s">
        <v>1009</v>
      </c>
      <c r="L298" s="10">
        <v>2308</v>
      </c>
      <c r="M298" s="4">
        <f>8+5+12*4</f>
        <v>61</v>
      </c>
      <c r="N298" s="2">
        <v>59</v>
      </c>
      <c r="O298" s="2">
        <v>4</v>
      </c>
      <c r="Q298" s="2">
        <v>0</v>
      </c>
      <c r="R298" s="2">
        <v>0</v>
      </c>
      <c r="S298" s="2">
        <v>1</v>
      </c>
      <c r="T298" s="2">
        <v>0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 s="26" t="s">
        <v>5167</v>
      </c>
      <c r="AA298" s="31">
        <v>1911.1</v>
      </c>
    </row>
    <row r="299" spans="1:27" ht="16" x14ac:dyDescent="0.2">
      <c r="A299" s="3" t="s">
        <v>981</v>
      </c>
      <c r="B299" s="2" t="s">
        <v>982</v>
      </c>
      <c r="C299" s="8">
        <v>4167</v>
      </c>
      <c r="D299" s="6">
        <v>1911</v>
      </c>
      <c r="E299" s="6">
        <v>1910</v>
      </c>
      <c r="F299" s="2">
        <v>0</v>
      </c>
      <c r="G299" s="2">
        <v>0</v>
      </c>
      <c r="H299" s="3" t="s">
        <v>27</v>
      </c>
      <c r="I299" s="3" t="s">
        <v>983</v>
      </c>
      <c r="J299" s="3" t="s">
        <v>4655</v>
      </c>
      <c r="K299" s="15"/>
      <c r="L299" s="4" t="s">
        <v>984</v>
      </c>
      <c r="M299" s="4">
        <f>11+5+11*12</f>
        <v>148</v>
      </c>
      <c r="N299" s="2">
        <v>55</v>
      </c>
      <c r="O299" s="2">
        <v>4</v>
      </c>
      <c r="P299" s="2">
        <v>1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1</v>
      </c>
      <c r="X299" s="2">
        <v>0</v>
      </c>
      <c r="Y299" s="2">
        <v>0</v>
      </c>
      <c r="Z299" s="26" t="s">
        <v>5167</v>
      </c>
      <c r="AA299" s="31">
        <v>1911.11</v>
      </c>
    </row>
    <row r="300" spans="1:27" ht="16" x14ac:dyDescent="0.2">
      <c r="A300" s="3" t="s">
        <v>3693</v>
      </c>
      <c r="B300" s="2" t="s">
        <v>3694</v>
      </c>
      <c r="C300" s="8">
        <v>4167</v>
      </c>
      <c r="D300" s="6">
        <v>1911</v>
      </c>
      <c r="E300" s="6">
        <v>1910</v>
      </c>
      <c r="F300" s="2">
        <v>2</v>
      </c>
      <c r="G300" s="2">
        <v>1</v>
      </c>
      <c r="H300" s="3" t="s">
        <v>3434</v>
      </c>
      <c r="I300" s="3" t="s">
        <v>3695</v>
      </c>
      <c r="J300" s="22" t="s">
        <v>3696</v>
      </c>
      <c r="K300" s="21" t="s">
        <v>3697</v>
      </c>
      <c r="L300" s="10">
        <v>2359</v>
      </c>
      <c r="M300" s="4">
        <f>6+5+12*4</f>
        <v>59</v>
      </c>
      <c r="N300" s="2">
        <v>59</v>
      </c>
      <c r="O300" s="2">
        <v>5</v>
      </c>
      <c r="Q300" s="2">
        <v>1</v>
      </c>
      <c r="R300" s="2">
        <v>0</v>
      </c>
      <c r="S300" s="2">
        <v>0</v>
      </c>
      <c r="T300" s="2">
        <v>0</v>
      </c>
      <c r="U300" s="2">
        <v>0</v>
      </c>
      <c r="V300" s="2">
        <v>1</v>
      </c>
      <c r="W300" s="2">
        <v>0</v>
      </c>
      <c r="X300" s="2">
        <v>2</v>
      </c>
      <c r="Y300" s="2">
        <v>0</v>
      </c>
      <c r="Z300" s="26" t="s">
        <v>5167</v>
      </c>
      <c r="AA300" s="31">
        <v>1911.12</v>
      </c>
    </row>
    <row r="301" spans="1:27" ht="16" x14ac:dyDescent="0.2">
      <c r="A301" s="3" t="s">
        <v>976</v>
      </c>
      <c r="B301" s="2" t="s">
        <v>977</v>
      </c>
      <c r="C301" s="8">
        <v>4167</v>
      </c>
      <c r="D301" s="6">
        <v>1911</v>
      </c>
      <c r="E301" s="6">
        <v>1910</v>
      </c>
      <c r="F301" s="2">
        <v>0</v>
      </c>
      <c r="G301" s="2">
        <v>0</v>
      </c>
      <c r="H301" s="3" t="s">
        <v>27</v>
      </c>
      <c r="I301" s="3" t="s">
        <v>978</v>
      </c>
      <c r="J301" s="21" t="s">
        <v>979</v>
      </c>
      <c r="K301" s="21" t="s">
        <v>980</v>
      </c>
      <c r="L301" s="10">
        <v>2620</v>
      </c>
      <c r="M301" s="4">
        <f>10+5+12*3</f>
        <v>51</v>
      </c>
      <c r="N301" s="2">
        <v>59</v>
      </c>
      <c r="O301" s="2">
        <v>5</v>
      </c>
      <c r="P301" s="2">
        <v>4</v>
      </c>
      <c r="Q301" s="2">
        <v>0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  <c r="Y301" s="2">
        <v>0</v>
      </c>
      <c r="Z301" s="26" t="s">
        <v>5167</v>
      </c>
      <c r="AA301" s="31">
        <v>1911.13</v>
      </c>
    </row>
    <row r="302" spans="1:27" ht="16" x14ac:dyDescent="0.2">
      <c r="A302" s="3" t="s">
        <v>1010</v>
      </c>
      <c r="B302" s="2" t="s">
        <v>1011</v>
      </c>
      <c r="C302" s="8">
        <v>4321</v>
      </c>
      <c r="D302" s="6">
        <v>1911</v>
      </c>
      <c r="E302" s="6">
        <v>1910</v>
      </c>
      <c r="F302" s="2">
        <v>0</v>
      </c>
      <c r="G302" s="2">
        <v>0</v>
      </c>
      <c r="H302" s="3" t="s">
        <v>27</v>
      </c>
      <c r="I302" s="3" t="s">
        <v>1012</v>
      </c>
      <c r="J302" s="3" t="s">
        <v>4656</v>
      </c>
      <c r="K302" s="15"/>
      <c r="L302" s="4" t="s">
        <v>738</v>
      </c>
      <c r="M302" s="4">
        <f>10+10+12*17</f>
        <v>224</v>
      </c>
      <c r="N302" s="2">
        <v>52</v>
      </c>
      <c r="O302" s="2">
        <v>5</v>
      </c>
      <c r="Q302" s="2">
        <v>1</v>
      </c>
      <c r="R302" s="2">
        <v>1</v>
      </c>
      <c r="S302" s="2">
        <v>1</v>
      </c>
      <c r="T302" s="2">
        <v>0</v>
      </c>
      <c r="U302" s="2">
        <v>0</v>
      </c>
      <c r="V302" s="2">
        <v>0</v>
      </c>
      <c r="W302" s="2">
        <v>1</v>
      </c>
      <c r="X302" s="2">
        <v>0</v>
      </c>
      <c r="Y302" s="2">
        <v>1</v>
      </c>
      <c r="Z302" s="26" t="s">
        <v>5167</v>
      </c>
      <c r="AA302" s="31">
        <v>1911.14</v>
      </c>
    </row>
    <row r="303" spans="1:27" ht="16" x14ac:dyDescent="0.2">
      <c r="A303" s="3" t="s">
        <v>996</v>
      </c>
      <c r="B303" s="2" t="s">
        <v>997</v>
      </c>
      <c r="C303" s="8">
        <v>4335</v>
      </c>
      <c r="D303" s="6">
        <v>1911</v>
      </c>
      <c r="E303" s="6">
        <v>1910</v>
      </c>
      <c r="F303" s="2">
        <v>0</v>
      </c>
      <c r="G303" s="2">
        <v>0</v>
      </c>
      <c r="H303" s="3" t="s">
        <v>27</v>
      </c>
      <c r="I303" s="3" t="s">
        <v>998</v>
      </c>
      <c r="J303" s="3" t="s">
        <v>4657</v>
      </c>
      <c r="K303" s="15"/>
      <c r="L303" s="4" t="s">
        <v>665</v>
      </c>
      <c r="M303" s="4">
        <f>10+10+12*19</f>
        <v>248</v>
      </c>
      <c r="N303" s="2">
        <v>51</v>
      </c>
      <c r="O303" s="2">
        <v>4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6" t="s">
        <v>5167</v>
      </c>
      <c r="AA303" s="31">
        <v>1911.15</v>
      </c>
    </row>
    <row r="304" spans="1:27" ht="12.75" customHeight="1" x14ac:dyDescent="0.2">
      <c r="A304" s="3" t="s">
        <v>1024</v>
      </c>
      <c r="B304" s="2" t="s">
        <v>1025</v>
      </c>
      <c r="C304" s="8">
        <v>4398</v>
      </c>
      <c r="D304" s="6">
        <v>1912</v>
      </c>
      <c r="E304" s="6">
        <v>1910</v>
      </c>
      <c r="F304" s="2">
        <v>0</v>
      </c>
      <c r="G304" s="2">
        <v>0</v>
      </c>
      <c r="H304" s="3" t="s">
        <v>27</v>
      </c>
      <c r="I304" s="3" t="s">
        <v>1026</v>
      </c>
      <c r="J304" s="21" t="s">
        <v>2391</v>
      </c>
      <c r="K304" s="21" t="s">
        <v>1028</v>
      </c>
      <c r="L304" s="10">
        <v>3035</v>
      </c>
      <c r="M304" s="4">
        <f>8+1+12*3</f>
        <v>45</v>
      </c>
      <c r="N304" s="2">
        <v>60</v>
      </c>
      <c r="O304" s="2">
        <v>5</v>
      </c>
      <c r="P304" s="2">
        <v>4</v>
      </c>
      <c r="Q304" s="2">
        <v>1</v>
      </c>
      <c r="R304" s="2">
        <v>1</v>
      </c>
      <c r="S304" s="2">
        <v>1</v>
      </c>
      <c r="T304" s="2">
        <v>0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 s="26" t="s">
        <v>5167</v>
      </c>
      <c r="AA304" s="31">
        <v>1912.01</v>
      </c>
    </row>
    <row r="305" spans="1:27" ht="16" x14ac:dyDescent="0.2">
      <c r="A305" s="3" t="s">
        <v>1031</v>
      </c>
      <c r="B305" s="2" t="s">
        <v>1032</v>
      </c>
      <c r="C305" s="8">
        <v>4433</v>
      </c>
      <c r="D305" s="6">
        <v>1912</v>
      </c>
      <c r="E305" s="6">
        <v>1910</v>
      </c>
      <c r="F305" s="2">
        <v>0</v>
      </c>
      <c r="G305" s="2">
        <v>0</v>
      </c>
      <c r="H305" s="3" t="s">
        <v>27</v>
      </c>
      <c r="I305" s="3" t="s">
        <v>1033</v>
      </c>
      <c r="J305" s="21" t="s">
        <v>1034</v>
      </c>
      <c r="K305" s="21" t="s">
        <v>1035</v>
      </c>
      <c r="L305" s="10">
        <v>2363</v>
      </c>
      <c r="M305" s="4">
        <f>6+2+12*5</f>
        <v>68</v>
      </c>
      <c r="N305" s="2">
        <v>59</v>
      </c>
      <c r="O305" s="2">
        <v>5</v>
      </c>
      <c r="Q305" s="2">
        <v>0</v>
      </c>
      <c r="R305" s="2">
        <v>0</v>
      </c>
      <c r="S305" s="2">
        <v>1</v>
      </c>
      <c r="T305" s="2">
        <v>0</v>
      </c>
      <c r="U305" s="2">
        <v>1</v>
      </c>
      <c r="V305" s="2">
        <v>0</v>
      </c>
      <c r="W305" s="2">
        <v>1</v>
      </c>
      <c r="X305" s="2">
        <v>0</v>
      </c>
      <c r="Y305" s="2">
        <v>0</v>
      </c>
      <c r="Z305" s="26" t="s">
        <v>5167</v>
      </c>
      <c r="AA305" s="31">
        <v>1912.02</v>
      </c>
    </row>
    <row r="306" spans="1:27" ht="16" x14ac:dyDescent="0.2">
      <c r="A306" s="3" t="s">
        <v>1029</v>
      </c>
      <c r="B306" s="2" t="s">
        <v>1030</v>
      </c>
      <c r="C306" s="8">
        <v>4447</v>
      </c>
      <c r="D306" s="6">
        <v>1912</v>
      </c>
      <c r="E306" s="6">
        <v>1910</v>
      </c>
      <c r="F306" s="2">
        <v>0</v>
      </c>
      <c r="G306" s="2">
        <v>0</v>
      </c>
      <c r="H306" s="3" t="s">
        <v>27</v>
      </c>
      <c r="I306" s="3" t="s">
        <v>915</v>
      </c>
      <c r="J306" s="3" t="s">
        <v>4175</v>
      </c>
      <c r="K306" s="15"/>
      <c r="L306" s="4" t="s">
        <v>830</v>
      </c>
      <c r="M306" s="4">
        <f>10+2+12*12</f>
        <v>156</v>
      </c>
      <c r="N306" s="2">
        <v>55</v>
      </c>
      <c r="O306" s="2">
        <v>5</v>
      </c>
      <c r="P306" s="2">
        <v>4</v>
      </c>
      <c r="Q306" s="2">
        <v>0</v>
      </c>
      <c r="R306" s="2">
        <v>0</v>
      </c>
      <c r="S306" s="2">
        <v>1</v>
      </c>
      <c r="T306" s="2">
        <v>0</v>
      </c>
      <c r="U306" s="2">
        <v>0</v>
      </c>
      <c r="V306" s="2">
        <v>0</v>
      </c>
      <c r="W306" s="2">
        <v>1</v>
      </c>
      <c r="X306" s="2">
        <v>0</v>
      </c>
      <c r="Y306" s="2">
        <v>0</v>
      </c>
      <c r="Z306" s="26" t="s">
        <v>5167</v>
      </c>
      <c r="AA306" s="31">
        <v>1912.03</v>
      </c>
    </row>
    <row r="307" spans="1:27" ht="16" x14ac:dyDescent="0.2">
      <c r="A307" s="3" t="s">
        <v>1020</v>
      </c>
      <c r="B307" s="2" t="s">
        <v>1021</v>
      </c>
      <c r="C307" s="8">
        <v>4475</v>
      </c>
      <c r="D307" s="6">
        <v>1912</v>
      </c>
      <c r="E307" s="6">
        <v>1910</v>
      </c>
      <c r="F307" s="2">
        <v>0</v>
      </c>
      <c r="G307" s="2">
        <v>0</v>
      </c>
      <c r="H307" s="3" t="s">
        <v>27</v>
      </c>
      <c r="I307" s="3" t="s">
        <v>955</v>
      </c>
      <c r="J307" s="21" t="s">
        <v>956</v>
      </c>
      <c r="K307" s="21" t="s">
        <v>957</v>
      </c>
      <c r="L307" s="10">
        <v>2372</v>
      </c>
      <c r="M307" s="4">
        <f>6+3+12*5</f>
        <v>69</v>
      </c>
      <c r="N307" s="2">
        <v>59</v>
      </c>
      <c r="O307" s="2">
        <v>5</v>
      </c>
      <c r="P307" s="2">
        <v>6</v>
      </c>
      <c r="Q307" s="2">
        <v>1</v>
      </c>
      <c r="R307" s="2">
        <v>1</v>
      </c>
      <c r="S307" s="2">
        <v>0</v>
      </c>
      <c r="T307" s="2">
        <v>0</v>
      </c>
      <c r="U307" s="2">
        <v>1</v>
      </c>
      <c r="V307" s="2">
        <v>0</v>
      </c>
      <c r="W307" s="2">
        <v>1</v>
      </c>
      <c r="X307" s="2">
        <v>2</v>
      </c>
      <c r="Y307" s="2">
        <v>0</v>
      </c>
      <c r="Z307" s="26" t="s">
        <v>5167</v>
      </c>
      <c r="AA307" s="31">
        <v>1912.04</v>
      </c>
    </row>
    <row r="308" spans="1:27" ht="16" x14ac:dyDescent="0.2">
      <c r="A308" s="3" t="s">
        <v>1017</v>
      </c>
      <c r="B308" s="2" t="s">
        <v>1018</v>
      </c>
      <c r="C308" s="8">
        <v>4517</v>
      </c>
      <c r="D308" s="6">
        <v>1912</v>
      </c>
      <c r="E308" s="6">
        <v>1910</v>
      </c>
      <c r="F308" s="2">
        <v>0</v>
      </c>
      <c r="G308" s="2">
        <v>0</v>
      </c>
      <c r="H308" s="3" t="s">
        <v>27</v>
      </c>
      <c r="I308" s="3" t="s">
        <v>1019</v>
      </c>
      <c r="J308" s="3" t="s">
        <v>4658</v>
      </c>
      <c r="K308" s="15" t="s">
        <v>4659</v>
      </c>
      <c r="L308" s="10">
        <v>913</v>
      </c>
      <c r="M308" s="4">
        <v>118</v>
      </c>
      <c r="N308" s="2">
        <v>57</v>
      </c>
      <c r="O308" s="2">
        <v>5</v>
      </c>
      <c r="P308" s="2">
        <v>3</v>
      </c>
      <c r="Q308" s="2">
        <v>0</v>
      </c>
      <c r="R308" s="2">
        <v>0</v>
      </c>
      <c r="S308" s="2">
        <v>1</v>
      </c>
      <c r="T308" s="2">
        <v>0</v>
      </c>
      <c r="U308" s="2">
        <v>0</v>
      </c>
      <c r="V308" s="2">
        <v>0</v>
      </c>
      <c r="W308" s="2">
        <v>1</v>
      </c>
      <c r="X308" s="2">
        <v>0</v>
      </c>
      <c r="Y308" s="2">
        <v>0</v>
      </c>
      <c r="Z308" s="26" t="s">
        <v>5167</v>
      </c>
      <c r="AA308" s="31">
        <v>1912.05</v>
      </c>
    </row>
    <row r="309" spans="1:27" ht="16" x14ac:dyDescent="0.2">
      <c r="A309" s="3" t="s">
        <v>3703</v>
      </c>
      <c r="B309" s="2" t="s">
        <v>3704</v>
      </c>
      <c r="C309" s="8">
        <v>4517</v>
      </c>
      <c r="D309" s="6">
        <v>1912</v>
      </c>
      <c r="E309" s="6">
        <v>1910</v>
      </c>
      <c r="F309" s="2">
        <v>2</v>
      </c>
      <c r="G309" s="2">
        <v>1</v>
      </c>
      <c r="H309" s="3" t="s">
        <v>3434</v>
      </c>
      <c r="I309" s="3" t="s">
        <v>3705</v>
      </c>
      <c r="J309" s="21" t="s">
        <v>3706</v>
      </c>
      <c r="K309" s="21" t="s">
        <v>3707</v>
      </c>
      <c r="L309" s="10">
        <v>3070</v>
      </c>
      <c r="M309" s="4">
        <f>7+4+12*3</f>
        <v>47</v>
      </c>
      <c r="N309" s="2">
        <v>60</v>
      </c>
      <c r="O309" s="2">
        <v>4</v>
      </c>
      <c r="Q309" s="2">
        <v>0</v>
      </c>
      <c r="R309" s="2">
        <v>0</v>
      </c>
      <c r="S309" s="2">
        <v>0</v>
      </c>
      <c r="T309" s="2">
        <v>0</v>
      </c>
      <c r="U309" s="2">
        <v>1</v>
      </c>
      <c r="V309" s="2">
        <v>1</v>
      </c>
      <c r="W309" s="2">
        <v>0</v>
      </c>
      <c r="X309" s="2">
        <v>0</v>
      </c>
      <c r="Y309" s="2">
        <v>0</v>
      </c>
      <c r="Z309" s="26" t="s">
        <v>5167</v>
      </c>
      <c r="AA309" s="31">
        <v>1912.06</v>
      </c>
    </row>
    <row r="310" spans="1:27" ht="16" x14ac:dyDescent="0.2">
      <c r="A310" s="3" t="s">
        <v>1022</v>
      </c>
      <c r="B310" s="2" t="s">
        <v>1023</v>
      </c>
      <c r="C310" s="8">
        <v>4531</v>
      </c>
      <c r="D310" s="6">
        <v>1912</v>
      </c>
      <c r="E310" s="6">
        <v>1910</v>
      </c>
      <c r="F310" s="2">
        <v>0</v>
      </c>
      <c r="G310" s="2">
        <v>0</v>
      </c>
      <c r="H310" s="3" t="s">
        <v>27</v>
      </c>
      <c r="I310" s="3" t="s">
        <v>968</v>
      </c>
      <c r="J310" s="22" t="s">
        <v>969</v>
      </c>
      <c r="K310" s="21" t="s">
        <v>970</v>
      </c>
      <c r="L310" s="10">
        <v>2372</v>
      </c>
      <c r="M310" s="4">
        <f>6+5+12*5</f>
        <v>71</v>
      </c>
      <c r="N310" s="2">
        <v>59</v>
      </c>
      <c r="O310" s="2">
        <v>6</v>
      </c>
      <c r="P310" s="2">
        <v>1</v>
      </c>
      <c r="Q310" s="2">
        <v>1</v>
      </c>
      <c r="R310" s="2">
        <v>0</v>
      </c>
      <c r="S310" s="2">
        <v>1</v>
      </c>
      <c r="T310" s="2">
        <v>0</v>
      </c>
      <c r="U310" s="2">
        <v>0</v>
      </c>
      <c r="V310" s="2">
        <v>0</v>
      </c>
      <c r="W310" s="2">
        <v>1</v>
      </c>
      <c r="X310" s="2">
        <v>0</v>
      </c>
      <c r="Y310" s="2">
        <v>0</v>
      </c>
      <c r="Z310" s="26" t="s">
        <v>5167</v>
      </c>
      <c r="AA310" s="31">
        <v>1912.07</v>
      </c>
    </row>
    <row r="311" spans="1:27" ht="16" x14ac:dyDescent="0.2">
      <c r="A311" s="3" t="s">
        <v>1036</v>
      </c>
      <c r="B311" s="2" t="s">
        <v>1037</v>
      </c>
      <c r="C311" s="8">
        <v>4720</v>
      </c>
      <c r="D311" s="6">
        <v>1912</v>
      </c>
      <c r="E311" s="6">
        <v>1910</v>
      </c>
      <c r="F311" s="2">
        <v>0</v>
      </c>
      <c r="G311" s="2">
        <v>0</v>
      </c>
      <c r="H311" s="3" t="s">
        <v>27</v>
      </c>
      <c r="I311" s="3" t="s">
        <v>1038</v>
      </c>
      <c r="J311" s="21" t="s">
        <v>1039</v>
      </c>
      <c r="K311" s="21" t="s">
        <v>1040</v>
      </c>
      <c r="L311" s="10">
        <v>2608</v>
      </c>
      <c r="M311" s="4">
        <f>10+11+12*4</f>
        <v>69</v>
      </c>
      <c r="N311" s="2">
        <v>59</v>
      </c>
      <c r="O311" s="2">
        <v>1</v>
      </c>
      <c r="Q311" s="2">
        <v>1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6" t="s">
        <v>5167</v>
      </c>
      <c r="AA311" s="31">
        <v>1912.08</v>
      </c>
    </row>
    <row r="312" spans="1:27" ht="16" x14ac:dyDescent="0.2">
      <c r="A312" s="3" t="s">
        <v>1046</v>
      </c>
      <c r="B312" s="2" t="s">
        <v>1047</v>
      </c>
      <c r="C312" s="8">
        <v>4804</v>
      </c>
      <c r="D312" s="6">
        <v>1913</v>
      </c>
      <c r="E312" s="6">
        <v>1910</v>
      </c>
      <c r="F312" s="2">
        <v>0</v>
      </c>
      <c r="G312" s="2">
        <v>0</v>
      </c>
      <c r="H312" s="3" t="s">
        <v>27</v>
      </c>
      <c r="I312" s="3" t="s">
        <v>1048</v>
      </c>
      <c r="J312" s="22" t="s">
        <v>1049</v>
      </c>
      <c r="K312" s="21" t="s">
        <v>1050</v>
      </c>
      <c r="L312" s="10">
        <v>3829</v>
      </c>
      <c r="M312" s="4">
        <f>6+2+24</f>
        <v>32</v>
      </c>
      <c r="N312" s="2">
        <v>61</v>
      </c>
      <c r="O312" s="2">
        <v>5</v>
      </c>
      <c r="Q312" s="2">
        <v>1</v>
      </c>
      <c r="R312" s="2">
        <v>1</v>
      </c>
      <c r="S312" s="2">
        <v>1</v>
      </c>
      <c r="T312" s="2">
        <v>0</v>
      </c>
      <c r="U312" s="2">
        <v>0</v>
      </c>
      <c r="V312" s="2">
        <v>0</v>
      </c>
      <c r="W312" s="2">
        <v>1</v>
      </c>
      <c r="X312" s="2">
        <v>0</v>
      </c>
      <c r="Y312" s="2">
        <v>0</v>
      </c>
      <c r="Z312" s="26" t="s">
        <v>5167</v>
      </c>
      <c r="AA312" s="31">
        <v>1913.01</v>
      </c>
    </row>
    <row r="313" spans="1:27" ht="16" x14ac:dyDescent="0.2">
      <c r="A313" s="3" t="s">
        <v>1041</v>
      </c>
      <c r="B313" s="2" t="s">
        <v>1042</v>
      </c>
      <c r="C313" s="8">
        <v>4881</v>
      </c>
      <c r="D313" s="6">
        <v>1913</v>
      </c>
      <c r="E313" s="6">
        <v>1910</v>
      </c>
      <c r="F313" s="2">
        <v>0</v>
      </c>
      <c r="G313" s="2">
        <v>0</v>
      </c>
      <c r="H313" s="3" t="s">
        <v>27</v>
      </c>
      <c r="I313" s="3" t="s">
        <v>1038</v>
      </c>
      <c r="J313" s="21" t="s">
        <v>1039</v>
      </c>
      <c r="K313" s="21" t="s">
        <v>1040</v>
      </c>
      <c r="L313" s="10">
        <v>2608</v>
      </c>
      <c r="M313" s="4">
        <f>10+4+12*5</f>
        <v>74</v>
      </c>
      <c r="N313" s="2">
        <v>59</v>
      </c>
      <c r="O313" s="2">
        <v>1</v>
      </c>
      <c r="Q313" s="2">
        <v>1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2">
        <v>1</v>
      </c>
      <c r="X313" s="2">
        <v>0</v>
      </c>
      <c r="Y313" s="2">
        <v>0</v>
      </c>
      <c r="Z313" s="26" t="s">
        <v>5167</v>
      </c>
      <c r="AA313" s="31">
        <v>1913.02</v>
      </c>
    </row>
    <row r="314" spans="1:27" ht="12.75" customHeight="1" x14ac:dyDescent="0.2">
      <c r="A314" s="3" t="s">
        <v>1056</v>
      </c>
      <c r="B314" s="2" t="s">
        <v>1057</v>
      </c>
      <c r="C314" s="8">
        <v>4895</v>
      </c>
      <c r="D314" s="6">
        <v>1913</v>
      </c>
      <c r="E314" s="6">
        <v>1910</v>
      </c>
      <c r="F314" s="2">
        <v>0</v>
      </c>
      <c r="G314" s="2">
        <v>0</v>
      </c>
      <c r="H314" s="3" t="s">
        <v>27</v>
      </c>
      <c r="I314" s="3" t="s">
        <v>1026</v>
      </c>
      <c r="J314" s="21" t="s">
        <v>1027</v>
      </c>
      <c r="K314" s="21" t="s">
        <v>1028</v>
      </c>
      <c r="L314" s="10">
        <v>3035</v>
      </c>
      <c r="M314" s="4">
        <v>61</v>
      </c>
      <c r="N314" s="2">
        <v>60</v>
      </c>
      <c r="O314" s="2">
        <v>4</v>
      </c>
      <c r="P314" s="2">
        <v>1</v>
      </c>
      <c r="Q314" s="2">
        <v>1</v>
      </c>
      <c r="R314" s="2">
        <v>1</v>
      </c>
      <c r="S314" s="2">
        <v>0</v>
      </c>
      <c r="T314" s="2">
        <v>0</v>
      </c>
      <c r="U314" s="2">
        <v>1</v>
      </c>
      <c r="V314" s="2">
        <v>0</v>
      </c>
      <c r="W314" s="2">
        <v>0</v>
      </c>
      <c r="X314" s="2">
        <v>3</v>
      </c>
      <c r="Y314" s="2">
        <v>0</v>
      </c>
      <c r="Z314" s="26" t="s">
        <v>5167</v>
      </c>
      <c r="AA314" s="31">
        <v>1913.03</v>
      </c>
    </row>
    <row r="315" spans="1:27" ht="16" x14ac:dyDescent="0.2">
      <c r="A315" s="3" t="s">
        <v>1058</v>
      </c>
      <c r="B315" s="2" t="s">
        <v>1059</v>
      </c>
      <c r="C315" s="8">
        <v>4895</v>
      </c>
      <c r="D315" s="6">
        <v>1913</v>
      </c>
      <c r="E315" s="6">
        <v>1910</v>
      </c>
      <c r="F315" s="2">
        <v>0</v>
      </c>
      <c r="G315" s="2">
        <v>0</v>
      </c>
      <c r="H315" s="3" t="s">
        <v>27</v>
      </c>
      <c r="I315" s="3" t="s">
        <v>1060</v>
      </c>
      <c r="J315" s="3" t="s">
        <v>4660</v>
      </c>
      <c r="K315" s="15" t="s">
        <v>4661</v>
      </c>
      <c r="L315" s="10">
        <v>899</v>
      </c>
      <c r="M315" s="4">
        <v>131</v>
      </c>
      <c r="N315" s="2">
        <v>57</v>
      </c>
      <c r="O315" s="2">
        <v>6</v>
      </c>
      <c r="Q315" s="2">
        <v>1</v>
      </c>
      <c r="R315" s="2">
        <v>1</v>
      </c>
      <c r="S315" s="2">
        <v>1</v>
      </c>
      <c r="T315" s="2">
        <v>0</v>
      </c>
      <c r="U315" s="2">
        <v>0</v>
      </c>
      <c r="V315" s="2">
        <v>0</v>
      </c>
      <c r="W315" s="2">
        <v>1</v>
      </c>
      <c r="X315" s="2">
        <v>0</v>
      </c>
      <c r="Y315" s="2">
        <v>0</v>
      </c>
      <c r="Z315" s="26" t="s">
        <v>5167</v>
      </c>
      <c r="AA315" s="31">
        <v>1913.04</v>
      </c>
    </row>
    <row r="316" spans="1:27" ht="16" x14ac:dyDescent="0.2">
      <c r="A316" s="3" t="s">
        <v>1051</v>
      </c>
      <c r="B316" s="2" t="s">
        <v>1052</v>
      </c>
      <c r="C316" s="8">
        <v>4910</v>
      </c>
      <c r="D316" s="6">
        <v>1913</v>
      </c>
      <c r="E316" s="6">
        <v>1910</v>
      </c>
      <c r="F316" s="2">
        <v>0</v>
      </c>
      <c r="G316" s="2">
        <v>0</v>
      </c>
      <c r="H316" s="3" t="s">
        <v>27</v>
      </c>
      <c r="I316" s="3" t="s">
        <v>1053</v>
      </c>
      <c r="J316" s="3" t="s">
        <v>4662</v>
      </c>
      <c r="K316" s="3" t="s">
        <v>2587</v>
      </c>
      <c r="L316" s="10">
        <v>4620</v>
      </c>
      <c r="M316" s="4">
        <f>4+5</f>
        <v>9</v>
      </c>
      <c r="N316" s="2">
        <v>62</v>
      </c>
      <c r="O316" s="2">
        <v>2</v>
      </c>
      <c r="Q316" s="2">
        <v>0</v>
      </c>
      <c r="R316" s="2">
        <v>0</v>
      </c>
      <c r="S316" s="2">
        <v>1</v>
      </c>
      <c r="T316" s="2">
        <v>0</v>
      </c>
      <c r="U316" s="2">
        <v>0</v>
      </c>
      <c r="V316" s="2">
        <v>0</v>
      </c>
      <c r="W316" s="2">
        <v>1</v>
      </c>
      <c r="X316" s="2">
        <v>0</v>
      </c>
      <c r="Y316" s="2">
        <v>1</v>
      </c>
      <c r="Z316" s="26" t="s">
        <v>5167</v>
      </c>
      <c r="AA316" s="31">
        <v>1913.05</v>
      </c>
    </row>
    <row r="317" spans="1:27" ht="16" x14ac:dyDescent="0.2">
      <c r="A317" s="3" t="s">
        <v>1061</v>
      </c>
      <c r="B317" s="2" t="s">
        <v>1062</v>
      </c>
      <c r="C317" s="8">
        <v>4895</v>
      </c>
      <c r="D317" s="6">
        <v>1913</v>
      </c>
      <c r="E317" s="6">
        <v>1910</v>
      </c>
      <c r="F317" s="2">
        <v>0</v>
      </c>
      <c r="G317" s="2">
        <v>0</v>
      </c>
      <c r="H317" s="3" t="s">
        <v>27</v>
      </c>
      <c r="I317" s="3" t="s">
        <v>1063</v>
      </c>
      <c r="J317" s="3" t="s">
        <v>1063</v>
      </c>
      <c r="K317" s="21" t="s">
        <v>1064</v>
      </c>
      <c r="L317" s="10">
        <v>3350</v>
      </c>
      <c r="M317" s="4">
        <f>48+2</f>
        <v>50</v>
      </c>
      <c r="N317" s="2">
        <v>60</v>
      </c>
      <c r="O317" s="2">
        <v>4</v>
      </c>
      <c r="P317" s="2">
        <v>5</v>
      </c>
      <c r="Q317" s="2">
        <v>0</v>
      </c>
      <c r="R317" s="2">
        <v>0</v>
      </c>
      <c r="S317" s="2">
        <v>1</v>
      </c>
      <c r="T317" s="2">
        <v>0</v>
      </c>
      <c r="U317" s="2">
        <v>1</v>
      </c>
      <c r="V317" s="2">
        <v>0</v>
      </c>
      <c r="W317" s="2">
        <v>1</v>
      </c>
      <c r="X317" s="2">
        <v>0</v>
      </c>
      <c r="Y317" s="2">
        <v>0</v>
      </c>
      <c r="Z317" s="26" t="s">
        <v>5167</v>
      </c>
      <c r="AA317" s="31">
        <v>1913.06</v>
      </c>
    </row>
    <row r="318" spans="1:27" ht="16" x14ac:dyDescent="0.2">
      <c r="A318" s="3" t="s">
        <v>3708</v>
      </c>
      <c r="B318" s="2" t="s">
        <v>3709</v>
      </c>
      <c r="C318" s="8">
        <v>4916</v>
      </c>
      <c r="D318" s="6">
        <v>1913</v>
      </c>
      <c r="E318" s="6">
        <v>1910</v>
      </c>
      <c r="F318" s="2">
        <v>1</v>
      </c>
      <c r="G318" s="2">
        <v>1</v>
      </c>
      <c r="H318" s="3" t="s">
        <v>3442</v>
      </c>
      <c r="I318" s="3" t="s">
        <v>434</v>
      </c>
      <c r="J318" s="3" t="s">
        <v>4620</v>
      </c>
      <c r="K318" s="15"/>
      <c r="L318" s="4" t="s">
        <v>435</v>
      </c>
      <c r="M318" s="4">
        <f>10+6+12*37</f>
        <v>460</v>
      </c>
      <c r="N318" s="2">
        <v>43</v>
      </c>
      <c r="O318" s="2">
        <v>5</v>
      </c>
      <c r="P318" s="2">
        <v>3</v>
      </c>
      <c r="Q318" s="2">
        <v>1</v>
      </c>
      <c r="R318" s="2">
        <v>1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6" t="s">
        <v>5167</v>
      </c>
      <c r="AA318" s="31">
        <v>1913.07</v>
      </c>
    </row>
    <row r="319" spans="1:27" ht="16" x14ac:dyDescent="0.2">
      <c r="A319" s="3" t="s">
        <v>1065</v>
      </c>
      <c r="B319" s="2" t="s">
        <v>1066</v>
      </c>
      <c r="C319" s="8">
        <v>5042</v>
      </c>
      <c r="D319" s="6">
        <v>1913</v>
      </c>
      <c r="E319" s="6">
        <v>1910</v>
      </c>
      <c r="F319" s="2">
        <v>0</v>
      </c>
      <c r="G319" s="2">
        <v>0</v>
      </c>
      <c r="H319" s="3" t="s">
        <v>27</v>
      </c>
      <c r="I319" s="3" t="s">
        <v>1067</v>
      </c>
      <c r="J319" s="3" t="s">
        <v>4663</v>
      </c>
      <c r="K319" s="15"/>
      <c r="L319" s="10">
        <v>3824</v>
      </c>
      <c r="M319" s="4">
        <v>40</v>
      </c>
      <c r="N319" s="2">
        <v>61</v>
      </c>
      <c r="O319" s="2">
        <v>5</v>
      </c>
      <c r="Q319" s="2">
        <v>0</v>
      </c>
      <c r="R319" s="2">
        <v>0</v>
      </c>
      <c r="S319" s="2">
        <v>1</v>
      </c>
      <c r="T319" s="2">
        <v>0</v>
      </c>
      <c r="U319" s="2">
        <v>1</v>
      </c>
      <c r="V319" s="2">
        <v>0</v>
      </c>
      <c r="W319" s="2">
        <v>1</v>
      </c>
      <c r="X319" s="2">
        <v>0</v>
      </c>
      <c r="Y319" s="2">
        <v>0</v>
      </c>
      <c r="Z319" s="26" t="s">
        <v>5167</v>
      </c>
      <c r="AA319" s="31">
        <v>1913.08</v>
      </c>
    </row>
    <row r="320" spans="1:27" ht="16" x14ac:dyDescent="0.2">
      <c r="A320" s="3" t="s">
        <v>1043</v>
      </c>
      <c r="B320" s="2" t="s">
        <v>1044</v>
      </c>
      <c r="C320" s="8">
        <v>5084</v>
      </c>
      <c r="D320" s="6">
        <v>1913</v>
      </c>
      <c r="E320" s="6">
        <v>1910</v>
      </c>
      <c r="F320" s="2">
        <v>0</v>
      </c>
      <c r="G320" s="2">
        <v>0</v>
      </c>
      <c r="H320" s="3" t="s">
        <v>27</v>
      </c>
      <c r="I320" s="3" t="s">
        <v>955</v>
      </c>
      <c r="J320" s="3" t="s">
        <v>1045</v>
      </c>
      <c r="K320" s="21" t="s">
        <v>957</v>
      </c>
      <c r="L320" s="10">
        <v>2372</v>
      </c>
      <c r="M320" s="4">
        <f>6+(12*7)</f>
        <v>90</v>
      </c>
      <c r="N320" s="2">
        <v>59</v>
      </c>
      <c r="O320" s="2">
        <v>4</v>
      </c>
      <c r="P320" s="2">
        <v>5</v>
      </c>
      <c r="Q320" s="2">
        <v>1</v>
      </c>
      <c r="R320" s="2">
        <v>1</v>
      </c>
      <c r="S320" s="2">
        <v>1</v>
      </c>
      <c r="T320" s="2">
        <v>0</v>
      </c>
      <c r="U320" s="2">
        <v>0</v>
      </c>
      <c r="V320" s="2">
        <v>0</v>
      </c>
      <c r="W320" s="2">
        <v>1</v>
      </c>
      <c r="X320" s="2">
        <v>0</v>
      </c>
      <c r="Y320" s="2">
        <v>0</v>
      </c>
      <c r="Z320" s="26" t="s">
        <v>5167</v>
      </c>
      <c r="AA320" s="31">
        <v>1913.09</v>
      </c>
    </row>
    <row r="321" spans="1:27" ht="16" x14ac:dyDescent="0.2">
      <c r="A321" s="3" t="s">
        <v>1054</v>
      </c>
      <c r="B321" s="2" t="s">
        <v>1055</v>
      </c>
      <c r="C321" s="8">
        <v>5042</v>
      </c>
      <c r="D321" s="6">
        <v>1913</v>
      </c>
      <c r="E321" s="6">
        <v>1910</v>
      </c>
      <c r="F321" s="2">
        <v>0</v>
      </c>
      <c r="G321" s="2">
        <v>0</v>
      </c>
      <c r="H321" s="3" t="s">
        <v>27</v>
      </c>
      <c r="I321" s="3" t="s">
        <v>968</v>
      </c>
      <c r="J321" s="22" t="s">
        <v>969</v>
      </c>
      <c r="K321" s="21" t="s">
        <v>970</v>
      </c>
      <c r="L321" s="10">
        <v>2372</v>
      </c>
      <c r="M321" s="4">
        <f>6+10+12*6</f>
        <v>88</v>
      </c>
      <c r="N321" s="2">
        <v>59</v>
      </c>
      <c r="O321" s="2">
        <v>1</v>
      </c>
      <c r="Q321" s="2">
        <v>1</v>
      </c>
      <c r="R321" s="2">
        <v>0</v>
      </c>
      <c r="S321" s="2">
        <v>1</v>
      </c>
      <c r="T321" s="2">
        <v>0</v>
      </c>
      <c r="U321" s="2">
        <v>0</v>
      </c>
      <c r="V321" s="2">
        <v>0</v>
      </c>
      <c r="W321" s="2">
        <v>1</v>
      </c>
      <c r="X321" s="2">
        <v>0</v>
      </c>
      <c r="Y321" s="2">
        <v>0</v>
      </c>
      <c r="Z321" s="26" t="s">
        <v>5167</v>
      </c>
      <c r="AA321" s="31">
        <v>1913.1</v>
      </c>
    </row>
    <row r="322" spans="1:27" ht="16" x14ac:dyDescent="0.2">
      <c r="A322" s="3" t="s">
        <v>1068</v>
      </c>
      <c r="B322" s="2" t="s">
        <v>1069</v>
      </c>
      <c r="C322" s="8">
        <v>5169</v>
      </c>
      <c r="D322" s="6">
        <v>1914</v>
      </c>
      <c r="E322" s="6">
        <v>1910</v>
      </c>
      <c r="F322" s="2">
        <v>0</v>
      </c>
      <c r="G322" s="2">
        <v>0</v>
      </c>
      <c r="H322" s="3" t="s">
        <v>27</v>
      </c>
      <c r="I322" s="3" t="s">
        <v>1070</v>
      </c>
      <c r="J322" s="22" t="s">
        <v>988</v>
      </c>
      <c r="K322" s="21" t="s">
        <v>989</v>
      </c>
      <c r="L322" s="10">
        <v>3505</v>
      </c>
      <c r="M322" s="4">
        <f>5+2+12*4</f>
        <v>55</v>
      </c>
      <c r="N322" s="2">
        <v>61</v>
      </c>
      <c r="O322" s="2">
        <v>4</v>
      </c>
      <c r="P322" s="2">
        <v>1</v>
      </c>
      <c r="Q322" s="2">
        <v>1</v>
      </c>
      <c r="R322" s="2">
        <v>0</v>
      </c>
      <c r="S322" s="2">
        <v>1</v>
      </c>
      <c r="T322" s="2">
        <v>0</v>
      </c>
      <c r="U322" s="2">
        <v>0</v>
      </c>
      <c r="V322" s="2">
        <v>0</v>
      </c>
      <c r="W322" s="2">
        <v>1</v>
      </c>
      <c r="X322" s="2">
        <v>0</v>
      </c>
      <c r="Y322" s="2">
        <v>0</v>
      </c>
      <c r="Z322" s="26" t="s">
        <v>5167</v>
      </c>
      <c r="AA322" s="31">
        <v>1914.01</v>
      </c>
    </row>
    <row r="323" spans="1:27" ht="16" x14ac:dyDescent="0.2">
      <c r="A323" s="3" t="s">
        <v>1078</v>
      </c>
      <c r="B323" s="2" t="s">
        <v>1079</v>
      </c>
      <c r="C323" s="8">
        <v>5169</v>
      </c>
      <c r="D323" s="6">
        <v>1914</v>
      </c>
      <c r="E323" s="6">
        <v>1910</v>
      </c>
      <c r="F323" s="2">
        <v>0</v>
      </c>
      <c r="G323" s="2">
        <v>0</v>
      </c>
      <c r="H323" s="3" t="s">
        <v>27</v>
      </c>
      <c r="I323" s="3" t="s">
        <v>1070</v>
      </c>
      <c r="J323" s="22" t="s">
        <v>988</v>
      </c>
      <c r="K323" s="21" t="s">
        <v>989</v>
      </c>
      <c r="L323" s="10">
        <v>3505</v>
      </c>
      <c r="M323" s="4">
        <f>5+2+12*4</f>
        <v>55</v>
      </c>
      <c r="N323" s="2">
        <v>61</v>
      </c>
      <c r="O323" s="2">
        <v>4</v>
      </c>
      <c r="Q323" s="2">
        <v>1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1</v>
      </c>
      <c r="X323" s="2">
        <v>0</v>
      </c>
      <c r="Y323" s="2">
        <v>0</v>
      </c>
      <c r="Z323" s="26" t="s">
        <v>5167</v>
      </c>
      <c r="AA323" s="31">
        <v>1914.02</v>
      </c>
    </row>
    <row r="324" spans="1:27" ht="16" x14ac:dyDescent="0.2">
      <c r="A324" s="3" t="s">
        <v>1076</v>
      </c>
      <c r="B324" s="2" t="s">
        <v>1077</v>
      </c>
      <c r="C324" s="8">
        <v>5169</v>
      </c>
      <c r="D324" s="6">
        <v>1914</v>
      </c>
      <c r="E324" s="6">
        <v>1910</v>
      </c>
      <c r="F324" s="2">
        <v>0</v>
      </c>
      <c r="G324" s="2">
        <v>0</v>
      </c>
      <c r="H324" s="3" t="s">
        <v>27</v>
      </c>
      <c r="I324" s="3" t="s">
        <v>1070</v>
      </c>
      <c r="J324" s="22" t="s">
        <v>988</v>
      </c>
      <c r="K324" s="21" t="s">
        <v>989</v>
      </c>
      <c r="L324" s="10">
        <v>3505</v>
      </c>
      <c r="M324" s="4">
        <f>5+2+12*4</f>
        <v>55</v>
      </c>
      <c r="N324" s="2">
        <v>61</v>
      </c>
      <c r="O324" s="2">
        <v>4</v>
      </c>
      <c r="P324" s="2">
        <v>6</v>
      </c>
      <c r="Q324" s="2">
        <v>1</v>
      </c>
      <c r="R324" s="2">
        <v>0</v>
      </c>
      <c r="S324" s="2">
        <v>1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0</v>
      </c>
      <c r="Z324" s="26" t="s">
        <v>5167</v>
      </c>
      <c r="AA324" s="31">
        <v>1914.03</v>
      </c>
    </row>
    <row r="325" spans="1:27" ht="16" x14ac:dyDescent="0.2">
      <c r="A325" s="3" t="s">
        <v>3710</v>
      </c>
      <c r="B325" s="2" t="s">
        <v>3711</v>
      </c>
      <c r="C325" s="8">
        <v>5189</v>
      </c>
      <c r="D325" s="2">
        <v>1914</v>
      </c>
      <c r="E325" s="6">
        <v>1910</v>
      </c>
      <c r="F325" s="2">
        <v>1</v>
      </c>
      <c r="G325" s="2">
        <v>1</v>
      </c>
      <c r="H325" s="3" t="s">
        <v>3442</v>
      </c>
      <c r="I325" s="3" t="s">
        <v>935</v>
      </c>
      <c r="J325" s="3" t="s">
        <v>3712</v>
      </c>
      <c r="K325" s="19" t="s">
        <v>3713</v>
      </c>
      <c r="L325" s="10">
        <v>3829</v>
      </c>
      <c r="M325" s="4">
        <f>9+36</f>
        <v>45</v>
      </c>
      <c r="N325" s="2">
        <v>61</v>
      </c>
      <c r="O325" s="2">
        <v>4</v>
      </c>
      <c r="Q325" s="2">
        <v>0</v>
      </c>
      <c r="R325" s="2">
        <v>0</v>
      </c>
      <c r="S325" s="2">
        <v>0</v>
      </c>
      <c r="T325" s="2">
        <v>0</v>
      </c>
      <c r="U325" s="2">
        <v>1</v>
      </c>
      <c r="V325" s="2">
        <v>0</v>
      </c>
      <c r="W325" s="2">
        <v>0</v>
      </c>
      <c r="X325" s="2">
        <v>0</v>
      </c>
      <c r="Y325" s="2">
        <v>0</v>
      </c>
      <c r="Z325" s="26" t="s">
        <v>5167</v>
      </c>
      <c r="AA325" s="31">
        <v>1914.04</v>
      </c>
    </row>
    <row r="326" spans="1:27" ht="16" x14ac:dyDescent="0.2">
      <c r="A326" s="3" t="s">
        <v>3714</v>
      </c>
      <c r="B326" s="2" t="s">
        <v>3715</v>
      </c>
      <c r="C326" s="8">
        <v>5238</v>
      </c>
      <c r="D326" s="6">
        <v>1914</v>
      </c>
      <c r="E326" s="6">
        <v>1910</v>
      </c>
      <c r="F326" s="2">
        <v>1</v>
      </c>
      <c r="G326" s="2">
        <v>1</v>
      </c>
      <c r="H326" s="3" t="s">
        <v>3442</v>
      </c>
      <c r="I326" s="3" t="s">
        <v>3716</v>
      </c>
      <c r="J326" s="3" t="s">
        <v>4664</v>
      </c>
      <c r="K326" s="15"/>
      <c r="L326" s="10">
        <v>409</v>
      </c>
      <c r="M326" s="4">
        <v>159</v>
      </c>
      <c r="N326" s="2">
        <v>56</v>
      </c>
      <c r="O326" s="2">
        <v>4</v>
      </c>
      <c r="Q326" s="2">
        <v>0</v>
      </c>
      <c r="R326" s="2">
        <v>0</v>
      </c>
      <c r="S326" s="2">
        <v>0</v>
      </c>
      <c r="T326" s="2">
        <v>0</v>
      </c>
      <c r="U326" s="2">
        <v>1</v>
      </c>
      <c r="V326" s="2">
        <v>0</v>
      </c>
      <c r="W326" s="2">
        <v>0</v>
      </c>
      <c r="X326" s="2">
        <v>1</v>
      </c>
      <c r="Y326" s="2">
        <v>0</v>
      </c>
      <c r="Z326" s="26" t="s">
        <v>5167</v>
      </c>
      <c r="AA326" s="31">
        <v>1914.05</v>
      </c>
    </row>
    <row r="327" spans="1:27" ht="16" x14ac:dyDescent="0.2">
      <c r="A327" s="3" t="s">
        <v>1071</v>
      </c>
      <c r="B327" s="2" t="s">
        <v>1072</v>
      </c>
      <c r="C327" s="8">
        <v>5287</v>
      </c>
      <c r="D327" s="6">
        <v>1914</v>
      </c>
      <c r="E327" s="6">
        <v>1910</v>
      </c>
      <c r="F327" s="2">
        <v>0</v>
      </c>
      <c r="G327" s="2">
        <v>0</v>
      </c>
      <c r="H327" s="3" t="s">
        <v>27</v>
      </c>
      <c r="I327" s="3" t="s">
        <v>1073</v>
      </c>
      <c r="J327" s="21" t="s">
        <v>1074</v>
      </c>
      <c r="K327" s="21" t="s">
        <v>1075</v>
      </c>
      <c r="L327" s="10">
        <v>3822</v>
      </c>
      <c r="M327" s="4">
        <f>6+6+12*3</f>
        <v>48</v>
      </c>
      <c r="N327" s="2">
        <v>61</v>
      </c>
      <c r="O327" s="2">
        <v>6</v>
      </c>
      <c r="Q327" s="2">
        <v>1</v>
      </c>
      <c r="R327" s="2">
        <v>1</v>
      </c>
      <c r="S327" s="2">
        <v>1</v>
      </c>
      <c r="T327" s="2">
        <v>1</v>
      </c>
      <c r="U327" s="2">
        <v>1</v>
      </c>
      <c r="V327" s="2">
        <v>0</v>
      </c>
      <c r="W327" s="2">
        <v>1</v>
      </c>
      <c r="X327" s="2">
        <v>0</v>
      </c>
      <c r="Y327" s="2">
        <v>0</v>
      </c>
      <c r="Z327" s="26" t="s">
        <v>5167</v>
      </c>
      <c r="AA327" s="31">
        <v>1914.06</v>
      </c>
    </row>
    <row r="328" spans="1:27" ht="16" x14ac:dyDescent="0.2">
      <c r="A328" s="3" t="s">
        <v>1080</v>
      </c>
      <c r="B328" s="2" t="s">
        <v>1081</v>
      </c>
      <c r="C328" s="8">
        <v>5287</v>
      </c>
      <c r="D328" s="6">
        <v>1914</v>
      </c>
      <c r="E328" s="6">
        <v>1910</v>
      </c>
      <c r="F328" s="2">
        <v>0</v>
      </c>
      <c r="G328" s="2">
        <v>0</v>
      </c>
      <c r="H328" s="3" t="s">
        <v>27</v>
      </c>
      <c r="I328" s="3" t="s">
        <v>955</v>
      </c>
      <c r="J328" s="21" t="s">
        <v>956</v>
      </c>
      <c r="K328" s="21" t="s">
        <v>957</v>
      </c>
      <c r="L328" s="10">
        <v>2372</v>
      </c>
      <c r="M328" s="4">
        <f>6+6+12*7</f>
        <v>96</v>
      </c>
      <c r="N328" s="2">
        <v>59</v>
      </c>
      <c r="O328" s="2">
        <v>4</v>
      </c>
      <c r="P328" s="2">
        <v>5</v>
      </c>
      <c r="Q328" s="2">
        <v>1</v>
      </c>
      <c r="R328" s="2">
        <v>1</v>
      </c>
      <c r="S328" s="2">
        <v>1</v>
      </c>
      <c r="T328" s="2">
        <v>1</v>
      </c>
      <c r="U328" s="2">
        <v>1</v>
      </c>
      <c r="V328" s="2">
        <v>0</v>
      </c>
      <c r="W328" s="2">
        <v>1</v>
      </c>
      <c r="X328" s="2">
        <v>1</v>
      </c>
      <c r="Y328" s="2">
        <v>0</v>
      </c>
      <c r="Z328" s="26" t="s">
        <v>5167</v>
      </c>
      <c r="AA328" s="31">
        <v>1914.07</v>
      </c>
    </row>
    <row r="329" spans="1:27" ht="16" x14ac:dyDescent="0.2">
      <c r="A329" s="3" t="s">
        <v>1094</v>
      </c>
      <c r="B329" s="2" t="s">
        <v>1095</v>
      </c>
      <c r="C329" s="8">
        <v>5511</v>
      </c>
      <c r="D329" s="6">
        <v>1915</v>
      </c>
      <c r="E329" s="6">
        <v>1910</v>
      </c>
      <c r="F329" s="2">
        <v>0</v>
      </c>
      <c r="G329" s="2">
        <v>0</v>
      </c>
      <c r="H329" s="3" t="s">
        <v>27</v>
      </c>
      <c r="I329" s="3" t="s">
        <v>1048</v>
      </c>
      <c r="J329" s="22" t="s">
        <v>1049</v>
      </c>
      <c r="K329" s="21" t="s">
        <v>1050</v>
      </c>
      <c r="L329" s="10">
        <v>3829</v>
      </c>
      <c r="M329" s="4">
        <v>55</v>
      </c>
      <c r="N329" s="2">
        <v>61</v>
      </c>
      <c r="O329" s="2">
        <v>5</v>
      </c>
      <c r="Q329" s="2">
        <v>1</v>
      </c>
      <c r="R329" s="2">
        <v>1</v>
      </c>
      <c r="S329" s="2">
        <v>1</v>
      </c>
      <c r="T329" s="2">
        <v>1</v>
      </c>
      <c r="U329" s="2">
        <v>1</v>
      </c>
      <c r="V329" s="2">
        <v>0</v>
      </c>
      <c r="W329" s="2">
        <v>1</v>
      </c>
      <c r="X329" s="2">
        <v>2</v>
      </c>
      <c r="Y329" s="2">
        <v>0</v>
      </c>
      <c r="Z329" s="26" t="s">
        <v>5167</v>
      </c>
      <c r="AA329" s="31">
        <v>1915.01</v>
      </c>
    </row>
    <row r="330" spans="1:27" ht="16" x14ac:dyDescent="0.2">
      <c r="A330" s="3" t="s">
        <v>1082</v>
      </c>
      <c r="B330" s="2" t="s">
        <v>1083</v>
      </c>
      <c r="C330" s="8">
        <v>5533</v>
      </c>
      <c r="D330" s="6">
        <v>1915</v>
      </c>
      <c r="E330" s="6">
        <v>1910</v>
      </c>
      <c r="F330" s="2">
        <v>0</v>
      </c>
      <c r="G330" s="2">
        <v>0</v>
      </c>
      <c r="H330" s="3" t="s">
        <v>27</v>
      </c>
      <c r="I330" s="3" t="s">
        <v>1084</v>
      </c>
      <c r="J330" s="22" t="s">
        <v>1085</v>
      </c>
      <c r="K330" s="21" t="s">
        <v>1086</v>
      </c>
      <c r="L330" s="10">
        <v>3328</v>
      </c>
      <c r="M330" s="4">
        <v>73</v>
      </c>
      <c r="N330" s="2">
        <v>60</v>
      </c>
      <c r="O330" s="2">
        <v>5</v>
      </c>
      <c r="Q330" s="2">
        <v>1</v>
      </c>
      <c r="R330" s="2">
        <v>1</v>
      </c>
      <c r="S330" s="2">
        <v>1</v>
      </c>
      <c r="T330" s="2">
        <v>1</v>
      </c>
      <c r="U330" s="2">
        <v>0</v>
      </c>
      <c r="V330" s="2">
        <v>0</v>
      </c>
      <c r="W330" s="2">
        <v>1</v>
      </c>
      <c r="X330" s="2">
        <v>0</v>
      </c>
      <c r="Y330" s="2">
        <v>0</v>
      </c>
      <c r="Z330" s="26" t="s">
        <v>5167</v>
      </c>
      <c r="AA330" s="31">
        <v>1915.02</v>
      </c>
    </row>
    <row r="331" spans="1:27" ht="16" x14ac:dyDescent="0.2">
      <c r="A331" s="3" t="s">
        <v>1092</v>
      </c>
      <c r="B331" s="2" t="s">
        <v>1093</v>
      </c>
      <c r="C331" s="8">
        <v>5533</v>
      </c>
      <c r="D331" s="6">
        <v>1915</v>
      </c>
      <c r="E331" s="6">
        <v>1910</v>
      </c>
      <c r="F331" s="2">
        <v>0</v>
      </c>
      <c r="G331" s="2">
        <v>0</v>
      </c>
      <c r="H331" s="3" t="s">
        <v>27</v>
      </c>
      <c r="I331" s="3" t="s">
        <v>955</v>
      </c>
      <c r="J331" s="21" t="s">
        <v>956</v>
      </c>
      <c r="K331" s="21" t="s">
        <v>957</v>
      </c>
      <c r="L331" s="10">
        <v>2372</v>
      </c>
      <c r="M331" s="4">
        <f>6+2+12*8</f>
        <v>104</v>
      </c>
      <c r="N331" s="2">
        <v>59</v>
      </c>
      <c r="O331" s="2">
        <v>1</v>
      </c>
      <c r="Q331" s="2">
        <v>1</v>
      </c>
      <c r="R331" s="2">
        <v>1</v>
      </c>
      <c r="S331" s="2">
        <v>0</v>
      </c>
      <c r="T331" s="2">
        <v>0</v>
      </c>
      <c r="U331" s="2">
        <v>1</v>
      </c>
      <c r="V331" s="2">
        <v>0</v>
      </c>
      <c r="W331" s="2">
        <v>0</v>
      </c>
      <c r="X331" s="2">
        <v>0</v>
      </c>
      <c r="Y331" s="2">
        <v>0</v>
      </c>
      <c r="Z331" s="26" t="s">
        <v>5167</v>
      </c>
      <c r="AA331" s="31">
        <v>1915.03</v>
      </c>
    </row>
    <row r="332" spans="1:27" ht="16" x14ac:dyDescent="0.2">
      <c r="A332" s="3" t="s">
        <v>3719</v>
      </c>
      <c r="B332" s="2" t="s">
        <v>3720</v>
      </c>
      <c r="C332" s="8">
        <v>5560</v>
      </c>
      <c r="D332" s="6">
        <v>1915</v>
      </c>
      <c r="E332" s="6">
        <v>1910</v>
      </c>
      <c r="F332" s="2">
        <v>2</v>
      </c>
      <c r="G332" s="2">
        <v>1</v>
      </c>
      <c r="H332" s="3" t="s">
        <v>3434</v>
      </c>
      <c r="I332" s="3" t="s">
        <v>798</v>
      </c>
      <c r="J332" s="3" t="s">
        <v>3665</v>
      </c>
      <c r="K332" s="15"/>
      <c r="L332" s="4" t="s">
        <v>799</v>
      </c>
      <c r="M332" s="4">
        <f>7+3+12*16</f>
        <v>202</v>
      </c>
      <c r="N332" s="2">
        <v>55</v>
      </c>
      <c r="O332" s="2">
        <v>4</v>
      </c>
      <c r="Q332" s="2">
        <v>1</v>
      </c>
      <c r="R332" s="2">
        <v>0</v>
      </c>
      <c r="S332" s="2">
        <v>1</v>
      </c>
      <c r="T332" s="2">
        <v>1</v>
      </c>
      <c r="U332" s="2">
        <v>0</v>
      </c>
      <c r="V332" s="2">
        <v>1</v>
      </c>
      <c r="W332" s="2">
        <v>1</v>
      </c>
      <c r="X332" s="2">
        <v>0</v>
      </c>
      <c r="Y332" s="2">
        <v>0</v>
      </c>
      <c r="Z332" s="26" t="s">
        <v>5167</v>
      </c>
      <c r="AA332" s="31">
        <v>1915.04</v>
      </c>
    </row>
    <row r="333" spans="1:27" ht="12.75" customHeight="1" x14ac:dyDescent="0.2">
      <c r="A333" s="3" t="s">
        <v>3717</v>
      </c>
      <c r="B333" s="2" t="s">
        <v>3718</v>
      </c>
      <c r="C333" s="8">
        <v>5574</v>
      </c>
      <c r="D333" s="6">
        <v>1915</v>
      </c>
      <c r="E333" s="6">
        <v>1910</v>
      </c>
      <c r="F333" s="2">
        <v>1</v>
      </c>
      <c r="G333" s="2">
        <v>1</v>
      </c>
      <c r="H333" s="3" t="s">
        <v>3442</v>
      </c>
      <c r="I333" s="3" t="s">
        <v>798</v>
      </c>
      <c r="J333" s="3" t="s">
        <v>3665</v>
      </c>
      <c r="K333" s="15"/>
      <c r="L333" s="4" t="s">
        <v>799</v>
      </c>
      <c r="M333" s="4">
        <f>7+3+12*16</f>
        <v>202</v>
      </c>
      <c r="N333" s="2">
        <v>55</v>
      </c>
      <c r="O333" s="2">
        <v>4</v>
      </c>
      <c r="Q333" s="2">
        <v>1</v>
      </c>
      <c r="R333" s="2">
        <v>0</v>
      </c>
      <c r="S333" s="2">
        <v>1</v>
      </c>
      <c r="T333" s="2">
        <v>1</v>
      </c>
      <c r="U333" s="2">
        <v>1</v>
      </c>
      <c r="V333" s="2">
        <v>1</v>
      </c>
      <c r="W333" s="2">
        <v>1</v>
      </c>
      <c r="X333" s="2">
        <v>0</v>
      </c>
      <c r="Y333" s="2">
        <v>0</v>
      </c>
      <c r="Z333" s="26" t="s">
        <v>5167</v>
      </c>
      <c r="AA333" s="31">
        <v>1915.05</v>
      </c>
    </row>
    <row r="334" spans="1:27" ht="16" x14ac:dyDescent="0.2">
      <c r="A334" s="3" t="s">
        <v>1087</v>
      </c>
      <c r="B334" s="2" t="s">
        <v>1088</v>
      </c>
      <c r="C334" s="8">
        <v>5819</v>
      </c>
      <c r="D334" s="6">
        <v>1915</v>
      </c>
      <c r="E334" s="6">
        <v>1910</v>
      </c>
      <c r="F334" s="2">
        <v>0</v>
      </c>
      <c r="G334" s="2">
        <v>0</v>
      </c>
      <c r="H334" s="3" t="s">
        <v>27</v>
      </c>
      <c r="I334" s="3" t="s">
        <v>1089</v>
      </c>
      <c r="J334" s="21" t="s">
        <v>1090</v>
      </c>
      <c r="K334" s="21" t="s">
        <v>1091</v>
      </c>
      <c r="L334" s="10">
        <v>2618</v>
      </c>
      <c r="M334" s="4">
        <f>10+11+12*7</f>
        <v>105</v>
      </c>
      <c r="N334" s="2">
        <v>59</v>
      </c>
      <c r="O334" s="2">
        <v>2</v>
      </c>
      <c r="P334" s="2">
        <v>1</v>
      </c>
      <c r="Q334" s="2">
        <v>1</v>
      </c>
      <c r="R334" s="2">
        <v>1</v>
      </c>
      <c r="S334" s="11">
        <v>0</v>
      </c>
      <c r="T334" s="11">
        <v>0</v>
      </c>
      <c r="U334" s="11">
        <v>0</v>
      </c>
      <c r="V334" s="2">
        <v>0</v>
      </c>
      <c r="W334" s="2">
        <v>0</v>
      </c>
      <c r="X334" s="2">
        <v>1</v>
      </c>
      <c r="Y334" s="2">
        <v>0</v>
      </c>
      <c r="Z334" s="26" t="s">
        <v>5167</v>
      </c>
      <c r="AA334" s="31">
        <v>1915.06</v>
      </c>
    </row>
    <row r="335" spans="1:27" ht="16" x14ac:dyDescent="0.2">
      <c r="A335" s="3" t="s">
        <v>1096</v>
      </c>
      <c r="B335" s="2" t="s">
        <v>1097</v>
      </c>
      <c r="C335" s="8">
        <v>5826</v>
      </c>
      <c r="D335" s="6">
        <v>1915</v>
      </c>
      <c r="E335" s="6">
        <v>1910</v>
      </c>
      <c r="F335" s="2">
        <v>0</v>
      </c>
      <c r="G335" s="2">
        <v>0</v>
      </c>
      <c r="H335" s="3" t="s">
        <v>27</v>
      </c>
      <c r="I335" s="3" t="s">
        <v>1098</v>
      </c>
      <c r="J335" s="22" t="s">
        <v>1099</v>
      </c>
      <c r="K335" s="21" t="s">
        <v>1100</v>
      </c>
      <c r="L335" s="10">
        <v>4596</v>
      </c>
      <c r="M335" s="4">
        <f>5+11+12*2</f>
        <v>40</v>
      </c>
      <c r="N335" s="2">
        <v>62</v>
      </c>
      <c r="O335" s="2">
        <v>5</v>
      </c>
      <c r="Q335" s="2">
        <v>0</v>
      </c>
      <c r="R335" s="2">
        <v>0</v>
      </c>
      <c r="S335" s="11">
        <v>1</v>
      </c>
      <c r="T335" s="11">
        <v>0</v>
      </c>
      <c r="U335" s="11">
        <v>0</v>
      </c>
      <c r="V335" s="2">
        <v>0</v>
      </c>
      <c r="W335" s="2">
        <v>1</v>
      </c>
      <c r="X335" s="2">
        <v>0</v>
      </c>
      <c r="Y335" s="2">
        <v>1</v>
      </c>
      <c r="Z335" s="26" t="s">
        <v>5167</v>
      </c>
      <c r="AA335" s="31">
        <v>1915.07</v>
      </c>
    </row>
    <row r="336" spans="1:27" ht="16" x14ac:dyDescent="0.2">
      <c r="A336" s="3" t="s">
        <v>1101</v>
      </c>
      <c r="B336" s="2" t="s">
        <v>1102</v>
      </c>
      <c r="C336" s="8">
        <v>5833</v>
      </c>
      <c r="D336" s="6">
        <v>1915</v>
      </c>
      <c r="E336" s="6">
        <v>1910</v>
      </c>
      <c r="F336" s="2">
        <v>0</v>
      </c>
      <c r="G336" s="2">
        <v>0</v>
      </c>
      <c r="H336" s="3" t="s">
        <v>27</v>
      </c>
      <c r="I336" s="3" t="s">
        <v>1103</v>
      </c>
      <c r="J336" s="21" t="s">
        <v>1104</v>
      </c>
      <c r="K336" s="21" t="s">
        <v>1105</v>
      </c>
      <c r="L336" s="10">
        <v>1573</v>
      </c>
      <c r="M336" s="4">
        <f>8+12+12*10</f>
        <v>140</v>
      </c>
      <c r="N336" s="2">
        <v>58</v>
      </c>
      <c r="O336" s="2">
        <v>4</v>
      </c>
      <c r="Q336" s="2">
        <v>0</v>
      </c>
      <c r="R336" s="2">
        <v>0</v>
      </c>
      <c r="S336" s="11">
        <v>0</v>
      </c>
      <c r="T336" s="11">
        <v>0</v>
      </c>
      <c r="U336" s="11">
        <v>0</v>
      </c>
      <c r="V336" s="2">
        <v>0</v>
      </c>
      <c r="W336" s="2">
        <v>0</v>
      </c>
      <c r="X336" s="2">
        <v>0</v>
      </c>
      <c r="Y336" s="2">
        <v>0</v>
      </c>
      <c r="Z336" s="26" t="s">
        <v>5167</v>
      </c>
      <c r="AA336" s="31">
        <v>1915.08</v>
      </c>
    </row>
    <row r="337" spans="1:27" ht="16" x14ac:dyDescent="0.2">
      <c r="A337" s="3" t="s">
        <v>1116</v>
      </c>
      <c r="B337" s="2" t="s">
        <v>1117</v>
      </c>
      <c r="C337" s="8">
        <v>5854</v>
      </c>
      <c r="D337" s="6">
        <v>1916</v>
      </c>
      <c r="E337" s="6">
        <v>1910</v>
      </c>
      <c r="F337" s="2">
        <v>0</v>
      </c>
      <c r="G337" s="2">
        <v>0</v>
      </c>
      <c r="H337" s="3" t="s">
        <v>27</v>
      </c>
      <c r="I337" s="3" t="s">
        <v>1118</v>
      </c>
      <c r="J337" s="21" t="s">
        <v>1119</v>
      </c>
      <c r="K337" s="21" t="s">
        <v>1120</v>
      </c>
      <c r="L337" s="10">
        <v>2373</v>
      </c>
      <c r="M337" s="4">
        <f>6+12*9</f>
        <v>114</v>
      </c>
      <c r="N337" s="2">
        <v>59</v>
      </c>
      <c r="O337" s="2">
        <v>5</v>
      </c>
      <c r="P337" s="2">
        <v>4</v>
      </c>
      <c r="Q337" s="2">
        <v>1</v>
      </c>
      <c r="R337" s="2">
        <v>1</v>
      </c>
      <c r="S337" s="11">
        <v>1</v>
      </c>
      <c r="T337" s="11">
        <v>0</v>
      </c>
      <c r="U337" s="11">
        <v>0</v>
      </c>
      <c r="V337" s="2">
        <v>0</v>
      </c>
      <c r="W337" s="2">
        <v>1</v>
      </c>
      <c r="X337" s="2">
        <v>0</v>
      </c>
      <c r="Y337" s="2">
        <v>0</v>
      </c>
      <c r="Z337" s="26" t="s">
        <v>5167</v>
      </c>
      <c r="AA337" s="31">
        <v>1916.01</v>
      </c>
    </row>
    <row r="338" spans="1:27" ht="16" x14ac:dyDescent="0.2">
      <c r="A338" s="3" t="s">
        <v>1111</v>
      </c>
      <c r="B338" s="2" t="s">
        <v>1112</v>
      </c>
      <c r="C338" s="8">
        <v>5868</v>
      </c>
      <c r="D338" s="6">
        <v>1916</v>
      </c>
      <c r="E338" s="6">
        <v>1910</v>
      </c>
      <c r="F338" s="2">
        <v>0</v>
      </c>
      <c r="G338" s="2">
        <v>0</v>
      </c>
      <c r="H338" s="3" t="s">
        <v>27</v>
      </c>
      <c r="I338" s="3" t="s">
        <v>1113</v>
      </c>
      <c r="J338" s="22" t="s">
        <v>1114</v>
      </c>
      <c r="K338" s="21" t="s">
        <v>5077</v>
      </c>
      <c r="L338" s="10">
        <v>5025</v>
      </c>
      <c r="M338" s="4">
        <f>3+1+24</f>
        <v>28</v>
      </c>
      <c r="N338" s="2">
        <v>63</v>
      </c>
      <c r="O338" s="2">
        <v>4</v>
      </c>
      <c r="Q338" s="2">
        <v>1</v>
      </c>
      <c r="R338" s="2">
        <v>1</v>
      </c>
      <c r="S338" s="11">
        <v>1</v>
      </c>
      <c r="T338" s="11">
        <v>0</v>
      </c>
      <c r="U338" s="11">
        <v>0</v>
      </c>
      <c r="V338" s="2">
        <v>0</v>
      </c>
      <c r="W338" s="2">
        <v>0</v>
      </c>
      <c r="X338" s="2">
        <v>0</v>
      </c>
      <c r="Y338" s="2">
        <v>1</v>
      </c>
      <c r="Z338" s="26" t="s">
        <v>5167</v>
      </c>
      <c r="AA338" s="31">
        <v>1916.02</v>
      </c>
    </row>
    <row r="339" spans="1:27" ht="16" x14ac:dyDescent="0.2">
      <c r="A339" s="3" t="s">
        <v>1121</v>
      </c>
      <c r="B339" s="2" t="s">
        <v>1122</v>
      </c>
      <c r="C339" s="8">
        <v>5896</v>
      </c>
      <c r="D339" s="6">
        <v>1916</v>
      </c>
      <c r="E339" s="6">
        <v>1910</v>
      </c>
      <c r="F339" s="2">
        <v>0</v>
      </c>
      <c r="G339" s="2">
        <v>0</v>
      </c>
      <c r="H339" s="3" t="s">
        <v>27</v>
      </c>
      <c r="I339" s="3" t="s">
        <v>1113</v>
      </c>
      <c r="J339" s="22" t="s">
        <v>1114</v>
      </c>
      <c r="K339" s="21" t="s">
        <v>5077</v>
      </c>
      <c r="L339" s="10">
        <v>5025</v>
      </c>
      <c r="M339" s="4">
        <f>3+2+24</f>
        <v>29</v>
      </c>
      <c r="N339" s="2">
        <v>63</v>
      </c>
      <c r="O339" s="2">
        <v>4</v>
      </c>
      <c r="Q339" s="2">
        <v>1</v>
      </c>
      <c r="R339" s="2">
        <v>0</v>
      </c>
      <c r="S339" s="11">
        <v>1</v>
      </c>
      <c r="T339" s="11">
        <v>0</v>
      </c>
      <c r="U339" s="11">
        <v>0</v>
      </c>
      <c r="V339" s="2">
        <v>0</v>
      </c>
      <c r="W339" s="2">
        <v>0</v>
      </c>
      <c r="X339" s="2">
        <v>0</v>
      </c>
      <c r="Y339" s="2">
        <v>1</v>
      </c>
      <c r="Z339" s="26" t="s">
        <v>5167</v>
      </c>
      <c r="AA339" s="31">
        <v>1916.03</v>
      </c>
    </row>
    <row r="340" spans="1:27" ht="16" x14ac:dyDescent="0.2">
      <c r="A340" s="3" t="s">
        <v>1106</v>
      </c>
      <c r="B340" s="2" t="s">
        <v>1107</v>
      </c>
      <c r="C340" s="8">
        <v>5910</v>
      </c>
      <c r="D340" s="6">
        <v>1916</v>
      </c>
      <c r="E340" s="6">
        <v>1910</v>
      </c>
      <c r="F340" s="2">
        <v>0</v>
      </c>
      <c r="G340" s="2">
        <v>0</v>
      </c>
      <c r="H340" s="3" t="s">
        <v>27</v>
      </c>
      <c r="I340" s="3" t="s">
        <v>1108</v>
      </c>
      <c r="J340" s="21" t="s">
        <v>1109</v>
      </c>
      <c r="K340" s="21" t="s">
        <v>1110</v>
      </c>
      <c r="L340" s="10">
        <v>4080</v>
      </c>
      <c r="M340" s="4">
        <f>10+2+12*4</f>
        <v>60</v>
      </c>
      <c r="N340" s="2">
        <v>61</v>
      </c>
      <c r="O340" s="2">
        <v>4</v>
      </c>
      <c r="Q340" s="2">
        <v>0</v>
      </c>
      <c r="R340" s="2">
        <v>0</v>
      </c>
      <c r="S340" s="11">
        <v>1</v>
      </c>
      <c r="T340" s="11">
        <v>0</v>
      </c>
      <c r="U340" s="11">
        <v>0</v>
      </c>
      <c r="V340" s="2">
        <v>0</v>
      </c>
      <c r="W340" s="2">
        <v>1</v>
      </c>
      <c r="X340" s="2">
        <v>0</v>
      </c>
      <c r="Y340" s="2">
        <v>0</v>
      </c>
      <c r="Z340" s="26" t="s">
        <v>5167</v>
      </c>
      <c r="AA340" s="31">
        <v>1916.04</v>
      </c>
    </row>
    <row r="341" spans="1:27" ht="16" x14ac:dyDescent="0.2">
      <c r="A341" s="3" t="s">
        <v>1128</v>
      </c>
      <c r="B341" s="2" t="s">
        <v>1129</v>
      </c>
      <c r="C341" s="8">
        <v>5938</v>
      </c>
      <c r="D341" s="6">
        <v>1916</v>
      </c>
      <c r="E341" s="6">
        <v>1910</v>
      </c>
      <c r="F341" s="2">
        <v>0</v>
      </c>
      <c r="G341" s="2">
        <v>0</v>
      </c>
      <c r="H341" s="3" t="s">
        <v>27</v>
      </c>
      <c r="I341" s="3" t="s">
        <v>1130</v>
      </c>
      <c r="J341" s="3" t="s">
        <v>3631</v>
      </c>
      <c r="K341" s="15"/>
      <c r="L341" s="4" t="s">
        <v>1131</v>
      </c>
      <c r="M341" s="4">
        <v>332</v>
      </c>
      <c r="N341" s="2">
        <v>50</v>
      </c>
      <c r="O341" s="2">
        <v>4</v>
      </c>
      <c r="Q341" s="2">
        <v>0</v>
      </c>
      <c r="R341" s="2">
        <v>0</v>
      </c>
      <c r="S341" s="11">
        <v>1</v>
      </c>
      <c r="T341" s="11">
        <v>0</v>
      </c>
      <c r="U341" s="11">
        <v>0</v>
      </c>
      <c r="V341" s="2">
        <v>0</v>
      </c>
      <c r="W341" s="2">
        <v>1</v>
      </c>
      <c r="X341" s="2">
        <v>0</v>
      </c>
      <c r="Y341" s="2">
        <v>1</v>
      </c>
      <c r="Z341" s="26" t="s">
        <v>5167</v>
      </c>
      <c r="AA341" s="31">
        <v>1916.05</v>
      </c>
    </row>
    <row r="342" spans="1:27" ht="16" x14ac:dyDescent="0.2">
      <c r="A342" s="3" t="s">
        <v>1123</v>
      </c>
      <c r="B342" s="2" t="s">
        <v>1124</v>
      </c>
      <c r="C342" s="8">
        <v>5952</v>
      </c>
      <c r="D342" s="6">
        <v>1916</v>
      </c>
      <c r="E342" s="6">
        <v>1910</v>
      </c>
      <c r="F342" s="2">
        <v>0</v>
      </c>
      <c r="G342" s="2">
        <v>0</v>
      </c>
      <c r="H342" s="3" t="s">
        <v>27</v>
      </c>
      <c r="I342" s="3" t="s">
        <v>1012</v>
      </c>
      <c r="J342" s="3" t="s">
        <v>4656</v>
      </c>
      <c r="K342" s="15"/>
      <c r="L342" s="4" t="s">
        <v>738</v>
      </c>
      <c r="M342" s="4">
        <f>10+4+12*22</f>
        <v>278</v>
      </c>
      <c r="N342" s="2">
        <v>52</v>
      </c>
      <c r="O342" s="2">
        <v>5</v>
      </c>
      <c r="Q342" s="2">
        <v>1</v>
      </c>
      <c r="R342" s="2">
        <v>1</v>
      </c>
      <c r="S342" s="11">
        <v>0</v>
      </c>
      <c r="T342" s="11">
        <v>0</v>
      </c>
      <c r="U342" s="11">
        <v>0</v>
      </c>
      <c r="V342" s="2">
        <v>0</v>
      </c>
      <c r="W342" s="2">
        <v>0</v>
      </c>
      <c r="X342" s="2">
        <v>0</v>
      </c>
      <c r="Y342" s="2">
        <v>1</v>
      </c>
      <c r="Z342" s="26" t="s">
        <v>5167</v>
      </c>
      <c r="AA342" s="31">
        <v>1916.06</v>
      </c>
    </row>
    <row r="343" spans="1:27" ht="16" x14ac:dyDescent="0.2">
      <c r="A343" s="3" t="s">
        <v>1125</v>
      </c>
      <c r="B343" s="2" t="s">
        <v>1126</v>
      </c>
      <c r="C343" s="8">
        <v>6008</v>
      </c>
      <c r="D343" s="6">
        <v>1916</v>
      </c>
      <c r="E343" s="6">
        <v>1910</v>
      </c>
      <c r="F343" s="2">
        <v>0</v>
      </c>
      <c r="G343" s="2">
        <v>0</v>
      </c>
      <c r="H343" s="3" t="s">
        <v>27</v>
      </c>
      <c r="I343" s="3" t="s">
        <v>1127</v>
      </c>
      <c r="J343" s="3" t="s">
        <v>4665</v>
      </c>
      <c r="K343" s="15"/>
      <c r="L343" s="4" t="s">
        <v>3670</v>
      </c>
      <c r="M343" s="4">
        <f>11+5+18*12</f>
        <v>232</v>
      </c>
      <c r="N343" s="2">
        <v>54</v>
      </c>
      <c r="O343" s="2">
        <v>5</v>
      </c>
      <c r="P343" s="2">
        <v>4</v>
      </c>
      <c r="Q343" s="2">
        <v>0</v>
      </c>
      <c r="R343" s="2">
        <v>0</v>
      </c>
      <c r="S343" s="11">
        <v>1</v>
      </c>
      <c r="T343" s="11">
        <v>0</v>
      </c>
      <c r="U343" s="11">
        <v>1</v>
      </c>
      <c r="V343" s="2">
        <v>0</v>
      </c>
      <c r="W343" s="2">
        <v>1</v>
      </c>
      <c r="X343" s="2">
        <v>0</v>
      </c>
      <c r="Y343" s="2">
        <v>0</v>
      </c>
      <c r="Z343" s="26" t="s">
        <v>5167</v>
      </c>
      <c r="AA343" s="31">
        <v>1916.07</v>
      </c>
    </row>
    <row r="344" spans="1:27" ht="16" x14ac:dyDescent="0.2">
      <c r="A344" s="3" t="s">
        <v>1137</v>
      </c>
      <c r="B344" s="2" t="s">
        <v>1138</v>
      </c>
      <c r="C344" s="8">
        <v>6218</v>
      </c>
      <c r="D344" s="6">
        <v>1917</v>
      </c>
      <c r="E344" s="6">
        <v>1910</v>
      </c>
      <c r="F344" s="2">
        <v>0</v>
      </c>
      <c r="G344" s="2">
        <v>0</v>
      </c>
      <c r="H344" s="3" t="s">
        <v>27</v>
      </c>
      <c r="I344" s="3" t="s">
        <v>1139</v>
      </c>
      <c r="J344" s="3" t="s">
        <v>4666</v>
      </c>
      <c r="K344" s="15"/>
      <c r="L344" s="4" t="s">
        <v>1140</v>
      </c>
      <c r="M344" s="4">
        <v>622</v>
      </c>
      <c r="N344" s="2">
        <v>38</v>
      </c>
      <c r="O344" s="2">
        <v>4</v>
      </c>
      <c r="Q344" s="2">
        <v>0</v>
      </c>
      <c r="R344" s="2">
        <v>0</v>
      </c>
      <c r="S344" s="11">
        <v>1</v>
      </c>
      <c r="T344" s="11">
        <v>0</v>
      </c>
      <c r="U344" s="11">
        <v>0</v>
      </c>
      <c r="V344" s="2">
        <v>0</v>
      </c>
      <c r="W344" s="2">
        <v>1</v>
      </c>
      <c r="X344" s="2">
        <v>0</v>
      </c>
      <c r="Y344" s="2">
        <v>0</v>
      </c>
      <c r="Z344" s="26" t="s">
        <v>5167</v>
      </c>
      <c r="AA344" s="31">
        <v>1917.01</v>
      </c>
    </row>
    <row r="345" spans="1:27" ht="16" x14ac:dyDescent="0.2">
      <c r="A345" s="3" t="s">
        <v>1145</v>
      </c>
      <c r="B345" s="2" t="s">
        <v>1146</v>
      </c>
      <c r="C345" s="8">
        <v>6288</v>
      </c>
      <c r="D345" s="6">
        <v>1917</v>
      </c>
      <c r="E345" s="6">
        <v>1910</v>
      </c>
      <c r="F345" s="2">
        <v>0</v>
      </c>
      <c r="G345" s="2">
        <v>0</v>
      </c>
      <c r="H345" s="3" t="s">
        <v>27</v>
      </c>
      <c r="I345" s="3" t="s">
        <v>1147</v>
      </c>
      <c r="J345" s="21" t="s">
        <v>4667</v>
      </c>
      <c r="K345" s="21" t="s">
        <v>1148</v>
      </c>
      <c r="L345" s="10">
        <v>6091</v>
      </c>
      <c r="M345" s="4">
        <f>4+3</f>
        <v>7</v>
      </c>
      <c r="N345" s="2">
        <v>64</v>
      </c>
      <c r="O345" s="2">
        <v>5</v>
      </c>
      <c r="P345" s="2">
        <v>4</v>
      </c>
      <c r="Q345" s="2">
        <v>1</v>
      </c>
      <c r="R345" s="2">
        <v>1</v>
      </c>
      <c r="S345" s="11">
        <v>1</v>
      </c>
      <c r="T345" s="11">
        <v>0</v>
      </c>
      <c r="U345" s="11">
        <v>1</v>
      </c>
      <c r="V345" s="2">
        <v>0</v>
      </c>
      <c r="W345" s="2">
        <v>1</v>
      </c>
      <c r="X345" s="2">
        <v>4</v>
      </c>
      <c r="Y345" s="2">
        <v>1</v>
      </c>
      <c r="Z345" s="26" t="s">
        <v>5167</v>
      </c>
      <c r="AA345" s="31">
        <v>1917.02</v>
      </c>
    </row>
    <row r="346" spans="1:27" ht="16" x14ac:dyDescent="0.2">
      <c r="A346" s="3" t="s">
        <v>1132</v>
      </c>
      <c r="B346" s="2" t="s">
        <v>1133</v>
      </c>
      <c r="C346" s="8">
        <v>6372</v>
      </c>
      <c r="D346" s="6">
        <v>1917</v>
      </c>
      <c r="E346" s="6">
        <v>1910</v>
      </c>
      <c r="F346" s="2">
        <v>0</v>
      </c>
      <c r="G346" s="2">
        <v>0</v>
      </c>
      <c r="H346" s="3" t="s">
        <v>27</v>
      </c>
      <c r="I346" s="3" t="s">
        <v>1134</v>
      </c>
      <c r="J346" s="21" t="s">
        <v>1135</v>
      </c>
      <c r="K346" s="21" t="s">
        <v>1136</v>
      </c>
      <c r="L346" s="10">
        <v>5106</v>
      </c>
      <c r="M346" s="4">
        <f>5+12*3</f>
        <v>41</v>
      </c>
      <c r="N346" s="2">
        <v>63</v>
      </c>
      <c r="O346" s="2">
        <v>4</v>
      </c>
      <c r="P346" s="2">
        <v>6</v>
      </c>
      <c r="Q346" s="2">
        <v>1</v>
      </c>
      <c r="R346" s="2">
        <v>1</v>
      </c>
      <c r="S346" s="11">
        <v>1</v>
      </c>
      <c r="T346" s="11">
        <v>0</v>
      </c>
      <c r="U346" s="11">
        <v>1</v>
      </c>
      <c r="V346" s="2">
        <v>0</v>
      </c>
      <c r="W346" s="2">
        <v>0</v>
      </c>
      <c r="X346" s="2">
        <v>2</v>
      </c>
      <c r="Y346" s="2">
        <v>1</v>
      </c>
      <c r="Z346" s="26" t="s">
        <v>5167</v>
      </c>
      <c r="AA346" s="31">
        <v>1917.03</v>
      </c>
    </row>
    <row r="347" spans="1:27" ht="16" x14ac:dyDescent="0.2">
      <c r="A347" s="3" t="s">
        <v>1141</v>
      </c>
      <c r="B347" s="2" t="s">
        <v>1142</v>
      </c>
      <c r="C347" s="8">
        <v>6372</v>
      </c>
      <c r="D347" s="6">
        <v>1917</v>
      </c>
      <c r="E347" s="6">
        <v>1910</v>
      </c>
      <c r="F347" s="2">
        <v>0</v>
      </c>
      <c r="G347" s="2">
        <v>0</v>
      </c>
      <c r="H347" s="3" t="s">
        <v>27</v>
      </c>
      <c r="I347" s="3" t="s">
        <v>1143</v>
      </c>
      <c r="J347" s="3" t="s">
        <v>4669</v>
      </c>
      <c r="K347" s="15"/>
      <c r="L347" s="4" t="s">
        <v>1144</v>
      </c>
      <c r="M347" s="4">
        <f>5+5+50*12</f>
        <v>610</v>
      </c>
      <c r="N347" s="2">
        <v>39</v>
      </c>
      <c r="O347" s="2">
        <v>4</v>
      </c>
      <c r="Q347" s="2">
        <v>0</v>
      </c>
      <c r="R347" s="2">
        <v>0</v>
      </c>
      <c r="S347" s="11">
        <v>1</v>
      </c>
      <c r="T347" s="11">
        <v>0</v>
      </c>
      <c r="U347" s="11">
        <v>1</v>
      </c>
      <c r="V347" s="2">
        <v>0</v>
      </c>
      <c r="W347" s="2">
        <v>1</v>
      </c>
      <c r="X347" s="2">
        <v>0</v>
      </c>
      <c r="Y347" s="2">
        <v>0</v>
      </c>
      <c r="Z347" s="26" t="s">
        <v>5167</v>
      </c>
      <c r="AA347" s="31">
        <v>1917.04</v>
      </c>
    </row>
    <row r="348" spans="1:27" ht="16" x14ac:dyDescent="0.2">
      <c r="A348" s="3" t="s">
        <v>1149</v>
      </c>
      <c r="B348" s="2" t="s">
        <v>1150</v>
      </c>
      <c r="C348" s="8">
        <v>6582</v>
      </c>
      <c r="D348" s="6">
        <v>1918</v>
      </c>
      <c r="E348" s="6">
        <v>1910</v>
      </c>
      <c r="F348" s="2">
        <v>0</v>
      </c>
      <c r="G348" s="2">
        <v>0</v>
      </c>
      <c r="H348" s="3" t="s">
        <v>27</v>
      </c>
      <c r="I348" s="3" t="s">
        <v>1151</v>
      </c>
      <c r="J348" s="22" t="s">
        <v>4668</v>
      </c>
      <c r="K348" s="21" t="s">
        <v>1152</v>
      </c>
      <c r="L348" s="10">
        <v>6348</v>
      </c>
      <c r="M348" s="4">
        <f>7</f>
        <v>7</v>
      </c>
      <c r="N348" s="2">
        <v>65</v>
      </c>
      <c r="O348" s="2">
        <v>2</v>
      </c>
      <c r="P348" s="2">
        <v>6</v>
      </c>
      <c r="Q348" s="2">
        <v>1</v>
      </c>
      <c r="R348" s="2">
        <v>1</v>
      </c>
      <c r="S348" s="11">
        <v>1</v>
      </c>
      <c r="T348" s="11">
        <v>0</v>
      </c>
      <c r="U348" s="11">
        <v>0</v>
      </c>
      <c r="V348" s="2">
        <v>0</v>
      </c>
      <c r="W348" s="2">
        <v>1</v>
      </c>
      <c r="X348" s="2">
        <v>0</v>
      </c>
      <c r="Y348" s="2">
        <v>1</v>
      </c>
      <c r="Z348" s="26" t="s">
        <v>5167</v>
      </c>
      <c r="AA348" s="31">
        <v>1918.01</v>
      </c>
    </row>
    <row r="349" spans="1:27" ht="16" x14ac:dyDescent="0.2">
      <c r="A349" s="3" t="s">
        <v>1163</v>
      </c>
      <c r="B349" s="2" t="s">
        <v>1164</v>
      </c>
      <c r="C349" s="8">
        <v>6589</v>
      </c>
      <c r="D349" s="6">
        <v>1918</v>
      </c>
      <c r="E349" s="6">
        <v>1910</v>
      </c>
      <c r="F349" s="2">
        <v>0</v>
      </c>
      <c r="G349" s="2">
        <v>0</v>
      </c>
      <c r="H349" s="3" t="s">
        <v>27</v>
      </c>
      <c r="I349" s="3" t="s">
        <v>1151</v>
      </c>
      <c r="J349" s="21" t="s">
        <v>1157</v>
      </c>
      <c r="K349" s="21" t="s">
        <v>1158</v>
      </c>
      <c r="L349" s="10">
        <v>6348</v>
      </c>
      <c r="M349" s="4">
        <v>7</v>
      </c>
      <c r="N349" s="2">
        <v>65</v>
      </c>
      <c r="O349" s="2">
        <v>1</v>
      </c>
      <c r="Q349" s="2">
        <v>1</v>
      </c>
      <c r="R349" s="2">
        <v>0</v>
      </c>
      <c r="S349" s="11">
        <v>1</v>
      </c>
      <c r="T349" s="11">
        <v>0</v>
      </c>
      <c r="U349" s="11">
        <v>0</v>
      </c>
      <c r="V349" s="2">
        <v>0</v>
      </c>
      <c r="W349" s="2">
        <v>1</v>
      </c>
      <c r="X349" s="2">
        <v>0</v>
      </c>
      <c r="Y349" s="2">
        <v>1</v>
      </c>
      <c r="Z349" s="26" t="s">
        <v>5167</v>
      </c>
      <c r="AA349" s="31">
        <v>1918.02</v>
      </c>
    </row>
    <row r="350" spans="1:27" ht="16" x14ac:dyDescent="0.2">
      <c r="A350" s="3" t="s">
        <v>1165</v>
      </c>
      <c r="B350" s="2" t="s">
        <v>1166</v>
      </c>
      <c r="C350" s="8">
        <v>6687</v>
      </c>
      <c r="D350" s="6">
        <v>1918</v>
      </c>
      <c r="E350" s="6">
        <v>1910</v>
      </c>
      <c r="F350" s="2">
        <v>0</v>
      </c>
      <c r="G350" s="2">
        <v>0</v>
      </c>
      <c r="H350" s="3" t="s">
        <v>27</v>
      </c>
      <c r="I350" s="3" t="s">
        <v>61</v>
      </c>
      <c r="J350" s="3" t="s">
        <v>62</v>
      </c>
      <c r="K350" s="18" t="s">
        <v>63</v>
      </c>
      <c r="L350" s="4" t="s">
        <v>64</v>
      </c>
      <c r="M350" s="4">
        <f>5+(12*129)</f>
        <v>1553</v>
      </c>
      <c r="N350" s="2">
        <v>1</v>
      </c>
      <c r="O350" s="2">
        <v>5</v>
      </c>
      <c r="P350" s="2">
        <v>6</v>
      </c>
      <c r="Q350" s="2">
        <v>1</v>
      </c>
      <c r="R350" s="2">
        <v>0</v>
      </c>
      <c r="S350" s="11">
        <v>0</v>
      </c>
      <c r="T350" s="11">
        <v>0</v>
      </c>
      <c r="U350" s="11">
        <v>0</v>
      </c>
      <c r="V350" s="2">
        <v>0</v>
      </c>
      <c r="W350" s="2">
        <v>0</v>
      </c>
      <c r="X350" s="2">
        <v>0</v>
      </c>
      <c r="Y350" s="2">
        <v>1</v>
      </c>
      <c r="Z350" s="26" t="s">
        <v>5167</v>
      </c>
      <c r="AA350" s="31">
        <v>1918.03</v>
      </c>
    </row>
    <row r="351" spans="1:27" ht="16" x14ac:dyDescent="0.2">
      <c r="A351" s="3" t="s">
        <v>1153</v>
      </c>
      <c r="B351" s="2" t="s">
        <v>1154</v>
      </c>
      <c r="C351" s="8">
        <v>6638</v>
      </c>
      <c r="D351" s="6">
        <v>1918</v>
      </c>
      <c r="E351" s="6">
        <v>1910</v>
      </c>
      <c r="F351" s="2">
        <v>0</v>
      </c>
      <c r="G351" s="2">
        <v>0</v>
      </c>
      <c r="H351" s="3" t="s">
        <v>27</v>
      </c>
      <c r="I351" s="3" t="s">
        <v>1007</v>
      </c>
      <c r="J351" s="21" t="s">
        <v>1008</v>
      </c>
      <c r="K351" s="21" t="s">
        <v>1009</v>
      </c>
      <c r="L351" s="10">
        <v>2308</v>
      </c>
      <c r="M351" s="4">
        <f>8+2+12*11</f>
        <v>142</v>
      </c>
      <c r="N351" s="2">
        <v>59</v>
      </c>
      <c r="O351" s="2">
        <v>4</v>
      </c>
      <c r="Q351" s="2">
        <v>0</v>
      </c>
      <c r="R351" s="2">
        <v>0</v>
      </c>
      <c r="S351" s="11">
        <v>1</v>
      </c>
      <c r="T351" s="11">
        <v>0</v>
      </c>
      <c r="U351" s="11">
        <v>0</v>
      </c>
      <c r="V351" s="2">
        <v>0</v>
      </c>
      <c r="W351" s="2">
        <v>0</v>
      </c>
      <c r="X351" s="2">
        <v>0</v>
      </c>
      <c r="Y351" s="2">
        <v>0</v>
      </c>
      <c r="Z351" s="26" t="s">
        <v>5167</v>
      </c>
      <c r="AA351" s="31">
        <v>1918.04</v>
      </c>
    </row>
    <row r="352" spans="1:27" ht="16" x14ac:dyDescent="0.2">
      <c r="A352" s="3" t="s">
        <v>1167</v>
      </c>
      <c r="B352" s="2" t="s">
        <v>1168</v>
      </c>
      <c r="C352" s="8">
        <v>6715</v>
      </c>
      <c r="D352" s="6">
        <v>1918</v>
      </c>
      <c r="E352" s="6">
        <v>1910</v>
      </c>
      <c r="F352" s="2">
        <v>0</v>
      </c>
      <c r="G352" s="2">
        <v>0</v>
      </c>
      <c r="H352" s="3" t="s">
        <v>27</v>
      </c>
      <c r="I352" s="3" t="s">
        <v>1113</v>
      </c>
      <c r="J352" s="22" t="s">
        <v>1114</v>
      </c>
      <c r="K352" s="21" t="s">
        <v>5077</v>
      </c>
      <c r="L352" s="10">
        <v>5025</v>
      </c>
      <c r="M352" s="4">
        <f>3+5+4*12</f>
        <v>56</v>
      </c>
      <c r="N352" s="2">
        <v>63</v>
      </c>
      <c r="O352" s="2">
        <v>4</v>
      </c>
      <c r="Q352" s="2">
        <v>1</v>
      </c>
      <c r="R352" s="2">
        <v>0</v>
      </c>
      <c r="S352" s="11">
        <v>1</v>
      </c>
      <c r="T352" s="11">
        <v>0</v>
      </c>
      <c r="U352" s="11">
        <v>0</v>
      </c>
      <c r="V352" s="2">
        <v>0</v>
      </c>
      <c r="W352" s="2">
        <v>1</v>
      </c>
      <c r="X352" s="2">
        <v>0</v>
      </c>
      <c r="Y352" s="2">
        <v>1</v>
      </c>
      <c r="Z352" s="26" t="s">
        <v>5167</v>
      </c>
      <c r="AA352" s="31">
        <v>1918.05</v>
      </c>
    </row>
    <row r="353" spans="1:27" ht="16" x14ac:dyDescent="0.2">
      <c r="A353" s="3" t="s">
        <v>3721</v>
      </c>
      <c r="B353" s="2" t="s">
        <v>3722</v>
      </c>
      <c r="C353" s="8">
        <v>6729</v>
      </c>
      <c r="D353" s="6">
        <v>1918</v>
      </c>
      <c r="E353" s="6">
        <v>1910</v>
      </c>
      <c r="F353" s="2">
        <v>2</v>
      </c>
      <c r="G353" s="2">
        <v>1</v>
      </c>
      <c r="H353" s="3" t="s">
        <v>3434</v>
      </c>
      <c r="I353" s="3" t="s">
        <v>3723</v>
      </c>
      <c r="J353" s="21" t="s">
        <v>3724</v>
      </c>
      <c r="K353" s="21" t="s">
        <v>3725</v>
      </c>
      <c r="L353" s="10">
        <v>6089</v>
      </c>
      <c r="M353" s="4">
        <f>4+5+12</f>
        <v>21</v>
      </c>
      <c r="N353" s="2">
        <v>64</v>
      </c>
      <c r="O353" s="2">
        <v>5</v>
      </c>
      <c r="Q353" s="2">
        <v>1</v>
      </c>
      <c r="R353" s="2">
        <v>1</v>
      </c>
      <c r="S353" s="11">
        <v>1</v>
      </c>
      <c r="T353" s="11">
        <v>0</v>
      </c>
      <c r="U353" s="11">
        <v>0</v>
      </c>
      <c r="V353" s="2">
        <v>1</v>
      </c>
      <c r="W353" s="2">
        <v>1</v>
      </c>
      <c r="X353" s="2">
        <v>4</v>
      </c>
      <c r="Y353" s="2">
        <v>1</v>
      </c>
      <c r="Z353" s="26" t="s">
        <v>5167</v>
      </c>
      <c r="AA353" s="31">
        <v>1918.06</v>
      </c>
    </row>
    <row r="354" spans="1:27" ht="16" x14ac:dyDescent="0.2">
      <c r="A354" s="3" t="s">
        <v>1155</v>
      </c>
      <c r="B354" s="2" t="s">
        <v>1156</v>
      </c>
      <c r="C354" s="8">
        <v>6701</v>
      </c>
      <c r="D354" s="6">
        <v>1918</v>
      </c>
      <c r="E354" s="6">
        <v>1910</v>
      </c>
      <c r="F354" s="2">
        <v>0</v>
      </c>
      <c r="G354" s="2">
        <v>0</v>
      </c>
      <c r="H354" s="3" t="s">
        <v>27</v>
      </c>
      <c r="I354" s="3" t="s">
        <v>1151</v>
      </c>
      <c r="J354" s="21" t="s">
        <v>1157</v>
      </c>
      <c r="K354" s="21" t="s">
        <v>1158</v>
      </c>
      <c r="L354" s="10">
        <v>6348</v>
      </c>
      <c r="M354" s="4">
        <f>7+4</f>
        <v>11</v>
      </c>
      <c r="N354" s="2">
        <v>65</v>
      </c>
      <c r="O354" s="2">
        <v>5</v>
      </c>
      <c r="Q354" s="2">
        <v>1</v>
      </c>
      <c r="R354" s="2">
        <v>0</v>
      </c>
      <c r="S354" s="11">
        <v>1</v>
      </c>
      <c r="T354" s="11">
        <v>0</v>
      </c>
      <c r="U354" s="11">
        <v>0</v>
      </c>
      <c r="V354" s="2">
        <v>0</v>
      </c>
      <c r="W354" s="2">
        <v>1</v>
      </c>
      <c r="X354" s="2">
        <v>0</v>
      </c>
      <c r="Y354" s="2">
        <v>1</v>
      </c>
      <c r="Z354" s="26" t="s">
        <v>5167</v>
      </c>
      <c r="AA354" s="31">
        <v>1918.07</v>
      </c>
    </row>
    <row r="355" spans="1:27" ht="16" x14ac:dyDescent="0.2">
      <c r="A355" s="3" t="s">
        <v>1159</v>
      </c>
      <c r="B355" s="2" t="s">
        <v>1160</v>
      </c>
      <c r="C355" s="8">
        <v>6918</v>
      </c>
      <c r="D355" s="6">
        <v>1918</v>
      </c>
      <c r="E355" s="6">
        <v>1910</v>
      </c>
      <c r="F355" s="2">
        <v>0</v>
      </c>
      <c r="G355" s="2">
        <v>0</v>
      </c>
      <c r="H355" s="3" t="s">
        <v>27</v>
      </c>
      <c r="I355" s="3" t="s">
        <v>1161</v>
      </c>
      <c r="J355" s="3" t="s">
        <v>4670</v>
      </c>
      <c r="K355" s="15"/>
      <c r="L355" s="4" t="s">
        <v>1162</v>
      </c>
      <c r="M355" s="4">
        <f>7+11+12*55</f>
        <v>678</v>
      </c>
      <c r="N355" s="2">
        <v>37</v>
      </c>
      <c r="O355" s="2">
        <v>4</v>
      </c>
      <c r="Q355" s="2">
        <v>1</v>
      </c>
      <c r="R355" s="2">
        <v>0</v>
      </c>
      <c r="S355" s="11">
        <v>0</v>
      </c>
      <c r="T355" s="11">
        <v>0</v>
      </c>
      <c r="U355" s="11">
        <v>1</v>
      </c>
      <c r="V355" s="2">
        <v>0</v>
      </c>
      <c r="W355" s="2">
        <v>0</v>
      </c>
      <c r="X355" s="2">
        <v>1</v>
      </c>
      <c r="Y355" s="2">
        <v>0</v>
      </c>
      <c r="Z355" s="26" t="s">
        <v>5167</v>
      </c>
      <c r="AA355" s="31">
        <v>1918.08</v>
      </c>
    </row>
    <row r="356" spans="1:27" ht="16" x14ac:dyDescent="0.2">
      <c r="A356" s="3" t="s">
        <v>1192</v>
      </c>
      <c r="B356" s="2" t="s">
        <v>1193</v>
      </c>
      <c r="C356" s="8">
        <v>6947</v>
      </c>
      <c r="D356" s="6">
        <v>1919</v>
      </c>
      <c r="E356" s="6">
        <v>1910</v>
      </c>
      <c r="F356" s="2">
        <v>0</v>
      </c>
      <c r="G356" s="2">
        <v>0</v>
      </c>
      <c r="H356" s="3" t="s">
        <v>27</v>
      </c>
      <c r="I356" s="3" t="s">
        <v>1194</v>
      </c>
      <c r="J356" s="22" t="s">
        <v>1195</v>
      </c>
      <c r="K356" s="21" t="s">
        <v>1196</v>
      </c>
      <c r="L356" s="10">
        <v>4809</v>
      </c>
      <c r="M356" s="4">
        <f>10+12*5</f>
        <v>70</v>
      </c>
      <c r="N356" s="2">
        <v>62</v>
      </c>
      <c r="O356" s="2">
        <v>6</v>
      </c>
      <c r="Q356" s="2">
        <v>1</v>
      </c>
      <c r="R356" s="2">
        <v>1</v>
      </c>
      <c r="S356" s="11">
        <v>0</v>
      </c>
      <c r="T356" s="11">
        <v>0</v>
      </c>
      <c r="U356" s="11">
        <v>0</v>
      </c>
      <c r="V356" s="2">
        <v>0</v>
      </c>
      <c r="W356" s="2">
        <v>0</v>
      </c>
      <c r="X356" s="2">
        <v>0</v>
      </c>
      <c r="Y356" s="2">
        <v>1</v>
      </c>
      <c r="Z356" s="26" t="s">
        <v>5167</v>
      </c>
      <c r="AA356" s="31">
        <v>1919.01</v>
      </c>
    </row>
    <row r="357" spans="1:27" ht="16" x14ac:dyDescent="0.2">
      <c r="A357" s="3" t="s">
        <v>1211</v>
      </c>
      <c r="B357" s="2" t="s">
        <v>1212</v>
      </c>
      <c r="C357" s="8">
        <v>6953</v>
      </c>
      <c r="D357" s="6">
        <v>1919</v>
      </c>
      <c r="E357" s="6">
        <v>1910</v>
      </c>
      <c r="F357" s="2">
        <v>0</v>
      </c>
      <c r="G357" s="2">
        <v>0</v>
      </c>
      <c r="H357" s="3" t="s">
        <v>27</v>
      </c>
      <c r="I357" s="3" t="s">
        <v>1213</v>
      </c>
      <c r="J357" s="22" t="s">
        <v>1214</v>
      </c>
      <c r="K357" s="21" t="s">
        <v>1215</v>
      </c>
      <c r="L357" s="10">
        <v>6272</v>
      </c>
      <c r="M357" s="4">
        <f>10+12</f>
        <v>22</v>
      </c>
      <c r="N357" s="2">
        <v>64</v>
      </c>
      <c r="O357" s="2">
        <v>5</v>
      </c>
      <c r="Q357" s="2">
        <v>0</v>
      </c>
      <c r="R357" s="2">
        <v>0</v>
      </c>
      <c r="S357" s="11">
        <v>1</v>
      </c>
      <c r="T357" s="11">
        <v>0</v>
      </c>
      <c r="U357" s="11">
        <v>1</v>
      </c>
      <c r="V357" s="2">
        <v>0</v>
      </c>
      <c r="W357" s="2">
        <v>1</v>
      </c>
      <c r="X357" s="2">
        <v>2</v>
      </c>
      <c r="Y357" s="2">
        <v>1</v>
      </c>
      <c r="Z357" s="26" t="s">
        <v>5167</v>
      </c>
      <c r="AA357" s="31">
        <v>1919.02</v>
      </c>
    </row>
    <row r="358" spans="1:27" ht="16" x14ac:dyDescent="0.2">
      <c r="A358" s="3" t="s">
        <v>1179</v>
      </c>
      <c r="B358" s="2" t="s">
        <v>1180</v>
      </c>
      <c r="C358" s="8">
        <v>7009</v>
      </c>
      <c r="D358" s="6">
        <v>1919</v>
      </c>
      <c r="E358" s="6">
        <v>1910</v>
      </c>
      <c r="F358" s="2">
        <v>0</v>
      </c>
      <c r="G358" s="2">
        <v>0</v>
      </c>
      <c r="H358" s="3" t="s">
        <v>27</v>
      </c>
      <c r="I358" s="3" t="s">
        <v>1181</v>
      </c>
      <c r="J358" s="21" t="s">
        <v>1182</v>
      </c>
      <c r="K358" s="21" t="s">
        <v>1183</v>
      </c>
      <c r="L358" s="10">
        <v>6376</v>
      </c>
      <c r="M358" s="4">
        <f>6+2+12</f>
        <v>20</v>
      </c>
      <c r="N358" s="2">
        <v>65</v>
      </c>
      <c r="O358" s="2">
        <v>2</v>
      </c>
      <c r="P358" s="2">
        <v>1</v>
      </c>
      <c r="Q358" s="2">
        <v>1</v>
      </c>
      <c r="R358" s="2">
        <v>1</v>
      </c>
      <c r="S358" s="11">
        <v>1</v>
      </c>
      <c r="T358" s="11">
        <v>0</v>
      </c>
      <c r="U358" s="11">
        <v>0</v>
      </c>
      <c r="V358" s="2">
        <v>0</v>
      </c>
      <c r="W358" s="2">
        <v>1</v>
      </c>
      <c r="X358" s="2">
        <v>0</v>
      </c>
      <c r="Y358" s="2">
        <v>1</v>
      </c>
      <c r="Z358" s="26" t="s">
        <v>5167</v>
      </c>
      <c r="AA358" s="31">
        <v>1919.03</v>
      </c>
    </row>
    <row r="359" spans="1:27" ht="16" x14ac:dyDescent="0.2">
      <c r="A359" s="3" t="s">
        <v>1189</v>
      </c>
      <c r="B359" s="2" t="s">
        <v>1190</v>
      </c>
      <c r="C359" s="8">
        <v>7044</v>
      </c>
      <c r="D359" s="6">
        <v>1919</v>
      </c>
      <c r="E359" s="6">
        <v>1910</v>
      </c>
      <c r="F359" s="2">
        <v>0</v>
      </c>
      <c r="G359" s="2">
        <v>0</v>
      </c>
      <c r="H359" s="3" t="s">
        <v>27</v>
      </c>
      <c r="I359" s="3" t="s">
        <v>1191</v>
      </c>
      <c r="J359" s="21" t="s">
        <v>1157</v>
      </c>
      <c r="K359" s="21" t="s">
        <v>1158</v>
      </c>
      <c r="L359" s="10">
        <v>6348</v>
      </c>
      <c r="M359" s="4">
        <f>7+3+12</f>
        <v>22</v>
      </c>
      <c r="N359" s="2">
        <v>65</v>
      </c>
      <c r="O359" s="2">
        <v>6</v>
      </c>
      <c r="P359" s="2">
        <v>5</v>
      </c>
      <c r="Q359" s="2">
        <v>1</v>
      </c>
      <c r="R359" s="2">
        <v>0</v>
      </c>
      <c r="S359" s="11">
        <v>1</v>
      </c>
      <c r="T359" s="11">
        <v>0</v>
      </c>
      <c r="U359" s="11">
        <v>0</v>
      </c>
      <c r="V359" s="2">
        <v>0</v>
      </c>
      <c r="W359" s="2">
        <v>1</v>
      </c>
      <c r="X359" s="2">
        <v>0</v>
      </c>
      <c r="Y359" s="2">
        <v>1</v>
      </c>
      <c r="Z359" s="26" t="s">
        <v>5167</v>
      </c>
      <c r="AA359" s="31">
        <v>1919.04</v>
      </c>
    </row>
    <row r="360" spans="1:27" ht="16" x14ac:dyDescent="0.2">
      <c r="A360" s="3" t="s">
        <v>1197</v>
      </c>
      <c r="B360" s="2" t="s">
        <v>1198</v>
      </c>
      <c r="C360" s="8">
        <v>7002</v>
      </c>
      <c r="D360" s="6">
        <v>1919</v>
      </c>
      <c r="E360" s="6">
        <v>1910</v>
      </c>
      <c r="F360" s="2">
        <v>0</v>
      </c>
      <c r="G360" s="2">
        <v>0</v>
      </c>
      <c r="H360" s="3" t="s">
        <v>27</v>
      </c>
      <c r="I360" s="3" t="s">
        <v>1181</v>
      </c>
      <c r="J360" s="21" t="s">
        <v>1182</v>
      </c>
      <c r="K360" s="21" t="s">
        <v>1183</v>
      </c>
      <c r="L360" s="10">
        <v>6376</v>
      </c>
      <c r="M360" s="4">
        <v>20</v>
      </c>
      <c r="N360" s="2">
        <v>65</v>
      </c>
      <c r="O360" s="2">
        <v>2</v>
      </c>
      <c r="Q360" s="2">
        <v>1</v>
      </c>
      <c r="R360" s="2">
        <v>1</v>
      </c>
      <c r="S360" s="11">
        <v>1</v>
      </c>
      <c r="T360" s="11">
        <v>0</v>
      </c>
      <c r="U360" s="11">
        <v>0</v>
      </c>
      <c r="V360" s="2">
        <v>0</v>
      </c>
      <c r="W360" s="2">
        <v>1</v>
      </c>
      <c r="X360" s="2">
        <v>0</v>
      </c>
      <c r="Y360" s="2">
        <v>1</v>
      </c>
      <c r="Z360" s="26" t="s">
        <v>5167</v>
      </c>
      <c r="AA360" s="31">
        <v>1919.05</v>
      </c>
    </row>
    <row r="361" spans="1:27" ht="16" x14ac:dyDescent="0.2">
      <c r="A361" s="3" t="s">
        <v>1201</v>
      </c>
      <c r="B361" s="2" t="s">
        <v>1202</v>
      </c>
      <c r="C361" s="8">
        <v>7002</v>
      </c>
      <c r="D361" s="6">
        <v>1919</v>
      </c>
      <c r="E361" s="6">
        <v>1910</v>
      </c>
      <c r="F361" s="2">
        <v>0</v>
      </c>
      <c r="G361" s="2">
        <v>0</v>
      </c>
      <c r="H361" s="3" t="s">
        <v>27</v>
      </c>
      <c r="I361" s="3" t="s">
        <v>1203</v>
      </c>
      <c r="J361" s="21" t="s">
        <v>1204</v>
      </c>
      <c r="K361" s="21" t="s">
        <v>1205</v>
      </c>
      <c r="L361" s="10">
        <v>5465</v>
      </c>
      <c r="M361" s="4">
        <f>2+4*12</f>
        <v>50</v>
      </c>
      <c r="N361" s="2">
        <v>63</v>
      </c>
      <c r="O361" s="2">
        <v>5</v>
      </c>
      <c r="P361" s="2">
        <v>4</v>
      </c>
      <c r="Q361" s="2">
        <v>0</v>
      </c>
      <c r="R361" s="2">
        <v>0</v>
      </c>
      <c r="S361" s="11">
        <v>1</v>
      </c>
      <c r="T361" s="11">
        <v>0</v>
      </c>
      <c r="U361" s="11">
        <v>1</v>
      </c>
      <c r="V361" s="2">
        <v>0</v>
      </c>
      <c r="W361" s="2">
        <v>1</v>
      </c>
      <c r="X361" s="2">
        <v>4</v>
      </c>
      <c r="Y361" s="2">
        <v>1</v>
      </c>
      <c r="Z361" s="26" t="s">
        <v>5167</v>
      </c>
      <c r="AA361" s="31">
        <v>1919.06</v>
      </c>
    </row>
    <row r="362" spans="1:27" ht="16" x14ac:dyDescent="0.2">
      <c r="A362" s="3" t="s">
        <v>1174</v>
      </c>
      <c r="B362" s="2" t="s">
        <v>1175</v>
      </c>
      <c r="C362" s="8">
        <v>7093</v>
      </c>
      <c r="D362" s="6">
        <v>1919</v>
      </c>
      <c r="E362" s="6">
        <v>1910</v>
      </c>
      <c r="F362" s="2">
        <v>0</v>
      </c>
      <c r="G362" s="2">
        <v>0</v>
      </c>
      <c r="H362" s="3" t="s">
        <v>27</v>
      </c>
      <c r="I362" s="3" t="s">
        <v>1176</v>
      </c>
      <c r="J362" s="21" t="s">
        <v>1177</v>
      </c>
      <c r="K362" s="21" t="s">
        <v>1178</v>
      </c>
      <c r="L362" s="10">
        <v>6772</v>
      </c>
      <c r="M362" s="4">
        <f>5+5</f>
        <v>10</v>
      </c>
      <c r="N362" s="2">
        <v>65</v>
      </c>
      <c r="O362" s="2">
        <v>6</v>
      </c>
      <c r="Q362" s="2">
        <v>0</v>
      </c>
      <c r="R362" s="2">
        <v>0</v>
      </c>
      <c r="S362" s="11">
        <v>1</v>
      </c>
      <c r="T362" s="11">
        <v>0</v>
      </c>
      <c r="U362" s="11">
        <v>1</v>
      </c>
      <c r="V362" s="2">
        <v>0</v>
      </c>
      <c r="W362" s="2">
        <v>0</v>
      </c>
      <c r="X362" s="2">
        <v>1</v>
      </c>
      <c r="Y362" s="2">
        <v>1</v>
      </c>
      <c r="Z362" s="26" t="s">
        <v>5167</v>
      </c>
      <c r="AA362" s="31">
        <v>1919.07</v>
      </c>
    </row>
    <row r="363" spans="1:27" ht="16" x14ac:dyDescent="0.2">
      <c r="A363" s="3" t="s">
        <v>1206</v>
      </c>
      <c r="B363" s="2" t="s">
        <v>1207</v>
      </c>
      <c r="C363" s="8">
        <v>7093</v>
      </c>
      <c r="D363" s="6">
        <v>1919</v>
      </c>
      <c r="E363" s="6">
        <v>1910</v>
      </c>
      <c r="F363" s="2">
        <v>0</v>
      </c>
      <c r="G363" s="2">
        <v>0</v>
      </c>
      <c r="H363" s="3" t="s">
        <v>27</v>
      </c>
      <c r="I363" s="3" t="s">
        <v>1208</v>
      </c>
      <c r="J363" s="21" t="s">
        <v>1209</v>
      </c>
      <c r="K363" s="21" t="s">
        <v>1210</v>
      </c>
      <c r="L363" s="10">
        <v>6086</v>
      </c>
      <c r="M363" s="4">
        <f>4+5+24</f>
        <v>33</v>
      </c>
      <c r="N363" s="2">
        <v>64</v>
      </c>
      <c r="O363" s="2">
        <v>5</v>
      </c>
      <c r="Q363" s="2">
        <v>0</v>
      </c>
      <c r="R363" s="2">
        <v>0</v>
      </c>
      <c r="S363" s="11">
        <v>1</v>
      </c>
      <c r="T363" s="11">
        <v>0</v>
      </c>
      <c r="U363" s="11">
        <v>1</v>
      </c>
      <c r="V363" s="2">
        <v>0</v>
      </c>
      <c r="W363" s="2">
        <v>1</v>
      </c>
      <c r="X363" s="2">
        <v>1</v>
      </c>
      <c r="Y363" s="2">
        <v>1</v>
      </c>
      <c r="Z363" s="26" t="s">
        <v>5167</v>
      </c>
      <c r="AA363" s="31">
        <v>1919.08</v>
      </c>
    </row>
    <row r="364" spans="1:27" ht="16" x14ac:dyDescent="0.2">
      <c r="A364" s="3" t="s">
        <v>1169</v>
      </c>
      <c r="B364" s="2" t="s">
        <v>1170</v>
      </c>
      <c r="C364" s="8">
        <v>7093</v>
      </c>
      <c r="D364" s="6">
        <v>1919</v>
      </c>
      <c r="E364" s="6">
        <v>1910</v>
      </c>
      <c r="F364" s="2">
        <v>0</v>
      </c>
      <c r="G364" s="2">
        <v>0</v>
      </c>
      <c r="H364" s="3" t="s">
        <v>27</v>
      </c>
      <c r="I364" s="3" t="s">
        <v>1171</v>
      </c>
      <c r="J364" s="22" t="s">
        <v>1172</v>
      </c>
      <c r="K364" s="21" t="s">
        <v>1173</v>
      </c>
      <c r="L364" s="10">
        <v>5542</v>
      </c>
      <c r="M364" s="4">
        <f>10+5+12*3</f>
        <v>51</v>
      </c>
      <c r="N364" s="2">
        <v>63</v>
      </c>
      <c r="O364" s="2">
        <v>4</v>
      </c>
      <c r="Q364" s="2">
        <v>0</v>
      </c>
      <c r="R364" s="2">
        <v>0</v>
      </c>
      <c r="S364" s="11">
        <v>0</v>
      </c>
      <c r="T364" s="11">
        <v>0</v>
      </c>
      <c r="U364" s="11">
        <v>1</v>
      </c>
      <c r="V364" s="2">
        <v>0</v>
      </c>
      <c r="W364" s="2">
        <v>0</v>
      </c>
      <c r="X364" s="2">
        <v>0</v>
      </c>
      <c r="Y364" s="2">
        <v>1</v>
      </c>
      <c r="Z364" s="26" t="s">
        <v>5167</v>
      </c>
      <c r="AA364" s="31">
        <v>1919.09</v>
      </c>
    </row>
    <row r="365" spans="1:27" ht="16" x14ac:dyDescent="0.2">
      <c r="A365" s="3" t="s">
        <v>1199</v>
      </c>
      <c r="B365" s="2" t="s">
        <v>1200</v>
      </c>
      <c r="C365" s="8">
        <v>7254</v>
      </c>
      <c r="D365" s="6">
        <v>1919</v>
      </c>
      <c r="E365" s="6">
        <v>1910</v>
      </c>
      <c r="F365" s="2">
        <v>0</v>
      </c>
      <c r="G365" s="2">
        <v>0</v>
      </c>
      <c r="H365" s="3" t="s">
        <v>27</v>
      </c>
      <c r="I365" s="3" t="s">
        <v>1181</v>
      </c>
      <c r="J365" s="21" t="s">
        <v>1182</v>
      </c>
      <c r="K365" s="21" t="s">
        <v>1183</v>
      </c>
      <c r="L365" s="10">
        <v>6376</v>
      </c>
      <c r="M365" s="4">
        <f>6+10+12</f>
        <v>28</v>
      </c>
      <c r="N365" s="2">
        <v>65</v>
      </c>
      <c r="O365" s="2">
        <v>1</v>
      </c>
      <c r="Q365" s="2">
        <v>1</v>
      </c>
      <c r="R365" s="2">
        <v>0</v>
      </c>
      <c r="S365" s="11">
        <v>1</v>
      </c>
      <c r="T365" s="11">
        <v>0</v>
      </c>
      <c r="U365" s="11">
        <v>0</v>
      </c>
      <c r="V365" s="2">
        <v>0</v>
      </c>
      <c r="W365" s="2">
        <v>1</v>
      </c>
      <c r="X365" s="2">
        <v>2</v>
      </c>
      <c r="Y365" s="2">
        <v>1</v>
      </c>
      <c r="Z365" s="26" t="s">
        <v>5167</v>
      </c>
      <c r="AA365" s="31">
        <v>1919.1</v>
      </c>
    </row>
    <row r="366" spans="1:27" ht="16" x14ac:dyDescent="0.2">
      <c r="A366" s="3" t="s">
        <v>1184</v>
      </c>
      <c r="B366" s="2" t="s">
        <v>1185</v>
      </c>
      <c r="C366" s="8">
        <v>7289</v>
      </c>
      <c r="D366" s="6">
        <v>1919</v>
      </c>
      <c r="E366" s="6">
        <v>1910</v>
      </c>
      <c r="F366" s="2">
        <v>0</v>
      </c>
      <c r="G366" s="2">
        <v>0</v>
      </c>
      <c r="H366" s="3" t="s">
        <v>27</v>
      </c>
      <c r="I366" s="3" t="s">
        <v>1186</v>
      </c>
      <c r="J366" s="22" t="s">
        <v>1187</v>
      </c>
      <c r="K366" s="21" t="s">
        <v>1188</v>
      </c>
      <c r="L366" s="10">
        <v>6900</v>
      </c>
      <c r="M366" s="4">
        <v>13</v>
      </c>
      <c r="N366" s="2">
        <v>65</v>
      </c>
      <c r="O366" s="2">
        <v>4</v>
      </c>
      <c r="Q366" s="2">
        <v>0</v>
      </c>
      <c r="R366" s="2">
        <v>0</v>
      </c>
      <c r="S366" s="11">
        <v>1</v>
      </c>
      <c r="T366" s="11">
        <v>0</v>
      </c>
      <c r="U366" s="11">
        <v>1</v>
      </c>
      <c r="V366" s="2">
        <v>0</v>
      </c>
      <c r="W366" s="2">
        <v>1</v>
      </c>
      <c r="X366" s="2">
        <v>0</v>
      </c>
      <c r="Y366" s="2">
        <v>1</v>
      </c>
      <c r="Z366" s="26" t="s">
        <v>5167</v>
      </c>
      <c r="AA366" s="31">
        <v>1919.11</v>
      </c>
    </row>
    <row r="367" spans="1:27" ht="16" x14ac:dyDescent="0.2">
      <c r="A367" s="3" t="s">
        <v>1229</v>
      </c>
      <c r="B367" s="2" t="s">
        <v>1230</v>
      </c>
      <c r="C367" s="8">
        <v>7310</v>
      </c>
      <c r="D367" s="6">
        <v>1920</v>
      </c>
      <c r="E367" s="6">
        <v>1920</v>
      </c>
      <c r="F367" s="2">
        <v>0</v>
      </c>
      <c r="G367" s="2">
        <v>0</v>
      </c>
      <c r="H367" s="3" t="s">
        <v>27</v>
      </c>
      <c r="I367" s="3" t="s">
        <v>1231</v>
      </c>
      <c r="J367" s="22" t="s">
        <v>1227</v>
      </c>
      <c r="K367" s="21" t="s">
        <v>1228</v>
      </c>
      <c r="L367" s="10">
        <v>7241</v>
      </c>
      <c r="M367" s="4">
        <v>2</v>
      </c>
      <c r="N367" s="2">
        <v>66</v>
      </c>
      <c r="O367" s="2">
        <v>1</v>
      </c>
      <c r="P367" s="2">
        <v>5</v>
      </c>
      <c r="Q367" s="2">
        <v>1</v>
      </c>
      <c r="R367" s="2">
        <v>1</v>
      </c>
      <c r="S367" s="11">
        <v>1</v>
      </c>
      <c r="T367" s="11">
        <v>0</v>
      </c>
      <c r="U367" s="11">
        <v>0</v>
      </c>
      <c r="V367" s="2">
        <v>0</v>
      </c>
      <c r="W367" s="2">
        <v>1</v>
      </c>
      <c r="X367" s="2">
        <v>4</v>
      </c>
      <c r="Y367" s="2">
        <v>0</v>
      </c>
      <c r="Z367" s="26" t="s">
        <v>5167</v>
      </c>
      <c r="AA367" s="31">
        <v>1920.01</v>
      </c>
    </row>
    <row r="368" spans="1:27" ht="16" x14ac:dyDescent="0.2">
      <c r="A368" s="3" t="s">
        <v>3726</v>
      </c>
      <c r="B368" s="2" t="s">
        <v>3727</v>
      </c>
      <c r="C368" s="8">
        <v>7373</v>
      </c>
      <c r="D368" s="6">
        <v>1920</v>
      </c>
      <c r="E368" s="6">
        <v>1920</v>
      </c>
      <c r="F368" s="2">
        <v>1</v>
      </c>
      <c r="G368" s="2">
        <v>1</v>
      </c>
      <c r="H368" s="3" t="s">
        <v>3442</v>
      </c>
      <c r="I368" s="3" t="s">
        <v>3728</v>
      </c>
      <c r="J368" s="21" t="s">
        <v>1268</v>
      </c>
      <c r="K368" s="21" t="s">
        <v>1269</v>
      </c>
      <c r="L368" s="10">
        <v>6096</v>
      </c>
      <c r="M368" s="4">
        <v>42</v>
      </c>
      <c r="N368" s="2">
        <v>64</v>
      </c>
      <c r="O368" s="2">
        <v>4</v>
      </c>
      <c r="Q368" s="2">
        <v>1</v>
      </c>
      <c r="R368" s="2">
        <v>0</v>
      </c>
      <c r="S368" s="11">
        <v>1</v>
      </c>
      <c r="T368" s="11">
        <v>0</v>
      </c>
      <c r="U368" s="11">
        <v>0</v>
      </c>
      <c r="V368" s="2">
        <v>1</v>
      </c>
      <c r="W368" s="2">
        <v>1</v>
      </c>
      <c r="X368" s="2">
        <v>4</v>
      </c>
      <c r="Y368" s="2">
        <v>1</v>
      </c>
      <c r="Z368" s="26" t="s">
        <v>5167</v>
      </c>
      <c r="AA368" s="31">
        <v>1920.02</v>
      </c>
    </row>
    <row r="369" spans="1:27" ht="16" x14ac:dyDescent="0.2">
      <c r="A369" s="3" t="s">
        <v>1219</v>
      </c>
      <c r="B369" s="2" t="s">
        <v>1220</v>
      </c>
      <c r="C369" s="8">
        <v>7415</v>
      </c>
      <c r="D369" s="6">
        <v>1920</v>
      </c>
      <c r="E369" s="6">
        <v>1920</v>
      </c>
      <c r="F369" s="2">
        <v>0</v>
      </c>
      <c r="G369" s="2">
        <v>0</v>
      </c>
      <c r="H369" s="3" t="s">
        <v>27</v>
      </c>
      <c r="I369" s="3" t="s">
        <v>1221</v>
      </c>
      <c r="J369" s="21" t="s">
        <v>1222</v>
      </c>
      <c r="K369" s="21" t="s">
        <v>1223</v>
      </c>
      <c r="L369" s="10">
        <v>6759</v>
      </c>
      <c r="M369" s="4">
        <v>22</v>
      </c>
      <c r="N369" s="2">
        <v>65</v>
      </c>
      <c r="O369" s="2">
        <v>5</v>
      </c>
      <c r="Q369" s="2">
        <v>1</v>
      </c>
      <c r="R369" s="2">
        <v>1</v>
      </c>
      <c r="S369" s="11">
        <v>1</v>
      </c>
      <c r="T369" s="11">
        <v>0</v>
      </c>
      <c r="U369" s="11">
        <v>0</v>
      </c>
      <c r="V369" s="2">
        <v>0</v>
      </c>
      <c r="W369" s="2">
        <v>1</v>
      </c>
      <c r="X369" s="2">
        <v>2</v>
      </c>
      <c r="Y369" s="2">
        <v>1</v>
      </c>
      <c r="Z369" s="26" t="s">
        <v>5167</v>
      </c>
      <c r="AA369" s="31">
        <v>1920.03</v>
      </c>
    </row>
    <row r="370" spans="1:27" ht="16" x14ac:dyDescent="0.2">
      <c r="A370" s="3" t="s">
        <v>3731</v>
      </c>
      <c r="B370" s="2" t="s">
        <v>3732</v>
      </c>
      <c r="C370" s="8">
        <v>7443</v>
      </c>
      <c r="D370" s="6">
        <v>1920</v>
      </c>
      <c r="E370" s="6">
        <v>1920</v>
      </c>
      <c r="F370" s="2">
        <v>2</v>
      </c>
      <c r="G370" s="2">
        <v>1</v>
      </c>
      <c r="H370" s="3" t="s">
        <v>3434</v>
      </c>
      <c r="I370" s="3" t="s">
        <v>3733</v>
      </c>
      <c r="J370" s="21" t="s">
        <v>3734</v>
      </c>
      <c r="K370" s="21" t="s">
        <v>3735</v>
      </c>
      <c r="L370" s="10">
        <v>6489</v>
      </c>
      <c r="M370" s="4">
        <v>32</v>
      </c>
      <c r="N370" s="2">
        <v>65</v>
      </c>
      <c r="O370" s="2">
        <v>6</v>
      </c>
      <c r="P370" s="2">
        <v>5</v>
      </c>
      <c r="Q370" s="2">
        <v>0</v>
      </c>
      <c r="R370" s="2">
        <v>0</v>
      </c>
      <c r="S370" s="11">
        <v>0</v>
      </c>
      <c r="T370" s="11">
        <v>0</v>
      </c>
      <c r="U370" s="11">
        <v>1</v>
      </c>
      <c r="V370" s="2">
        <v>1</v>
      </c>
      <c r="W370" s="2">
        <v>0</v>
      </c>
      <c r="X370" s="2">
        <v>4</v>
      </c>
      <c r="Y370" s="2">
        <v>1</v>
      </c>
      <c r="Z370" s="26" t="s">
        <v>5167</v>
      </c>
      <c r="AA370" s="31">
        <v>1920.04</v>
      </c>
    </row>
    <row r="371" spans="1:27" ht="16" x14ac:dyDescent="0.2">
      <c r="A371" s="3" t="s">
        <v>1216</v>
      </c>
      <c r="B371" s="2" t="s">
        <v>1217</v>
      </c>
      <c r="C371" s="8">
        <v>7443</v>
      </c>
      <c r="D371" s="6">
        <v>1920</v>
      </c>
      <c r="E371" s="6">
        <v>1920</v>
      </c>
      <c r="F371" s="2">
        <v>0</v>
      </c>
      <c r="G371" s="2">
        <v>0</v>
      </c>
      <c r="H371" s="3" t="s">
        <v>27</v>
      </c>
      <c r="I371" s="3" t="s">
        <v>1218</v>
      </c>
      <c r="J371" s="22" t="s">
        <v>1172</v>
      </c>
      <c r="K371" s="21" t="s">
        <v>1173</v>
      </c>
      <c r="L371" s="10">
        <v>5542</v>
      </c>
      <c r="M371" s="4">
        <v>63</v>
      </c>
      <c r="N371" s="2">
        <v>63</v>
      </c>
      <c r="O371" s="2">
        <v>1</v>
      </c>
      <c r="Q371" s="2">
        <v>0</v>
      </c>
      <c r="R371" s="2">
        <v>0</v>
      </c>
      <c r="S371" s="11">
        <v>0</v>
      </c>
      <c r="T371" s="11">
        <v>1</v>
      </c>
      <c r="U371" s="11">
        <v>0</v>
      </c>
      <c r="V371" s="2">
        <v>0</v>
      </c>
      <c r="W371" s="2">
        <v>0</v>
      </c>
      <c r="X371" s="2">
        <v>4</v>
      </c>
      <c r="Y371" s="2">
        <v>1</v>
      </c>
      <c r="Z371" s="26" t="s">
        <v>5167</v>
      </c>
      <c r="AA371" s="31">
        <v>1920.05</v>
      </c>
    </row>
    <row r="372" spans="1:27" ht="16" x14ac:dyDescent="0.2">
      <c r="A372" s="3" t="s">
        <v>3729</v>
      </c>
      <c r="B372" s="2" t="s">
        <v>3730</v>
      </c>
      <c r="C372" s="8">
        <v>7458</v>
      </c>
      <c r="D372" s="6">
        <v>1920</v>
      </c>
      <c r="E372" s="6">
        <v>1920</v>
      </c>
      <c r="F372" s="2">
        <v>1</v>
      </c>
      <c r="G372" s="2">
        <v>1</v>
      </c>
      <c r="H372" s="3" t="s">
        <v>3442</v>
      </c>
      <c r="I372" s="3" t="s">
        <v>1337</v>
      </c>
      <c r="J372" s="21" t="s">
        <v>1338</v>
      </c>
      <c r="K372" s="21" t="s">
        <v>1339</v>
      </c>
      <c r="L372" s="10">
        <v>6995</v>
      </c>
      <c r="M372" s="4">
        <v>15</v>
      </c>
      <c r="N372" s="2">
        <v>65</v>
      </c>
      <c r="O372" s="2">
        <v>1</v>
      </c>
      <c r="Q372" s="2">
        <v>0</v>
      </c>
      <c r="R372" s="2">
        <v>0</v>
      </c>
      <c r="S372" s="11">
        <v>1</v>
      </c>
      <c r="T372" s="11">
        <v>0</v>
      </c>
      <c r="U372" s="11">
        <v>1</v>
      </c>
      <c r="V372" s="2">
        <v>1</v>
      </c>
      <c r="W372" s="2">
        <v>1</v>
      </c>
      <c r="X372" s="2">
        <v>2</v>
      </c>
      <c r="Y372" s="2">
        <v>1</v>
      </c>
      <c r="Z372" s="26" t="s">
        <v>5167</v>
      </c>
      <c r="AA372" s="31">
        <v>1920.06</v>
      </c>
    </row>
    <row r="373" spans="1:27" ht="16" x14ac:dyDescent="0.2">
      <c r="A373" s="3" t="s">
        <v>1224</v>
      </c>
      <c r="B373" s="2" t="s">
        <v>1225</v>
      </c>
      <c r="C373" s="8">
        <v>7464</v>
      </c>
      <c r="D373" s="6">
        <v>1920</v>
      </c>
      <c r="E373" s="6">
        <v>1920</v>
      </c>
      <c r="F373" s="2">
        <v>0</v>
      </c>
      <c r="G373" s="2">
        <v>0</v>
      </c>
      <c r="H373" s="3" t="s">
        <v>27</v>
      </c>
      <c r="I373" s="3" t="s">
        <v>1226</v>
      </c>
      <c r="J373" s="22" t="s">
        <v>1227</v>
      </c>
      <c r="K373" s="21" t="s">
        <v>1228</v>
      </c>
      <c r="L373" s="10">
        <v>7241</v>
      </c>
      <c r="M373" s="4">
        <v>7</v>
      </c>
      <c r="N373" s="2">
        <v>66</v>
      </c>
      <c r="O373" s="2">
        <v>5</v>
      </c>
      <c r="P373" s="2">
        <v>4</v>
      </c>
      <c r="Q373" s="2">
        <v>1</v>
      </c>
      <c r="R373" s="2">
        <v>1</v>
      </c>
      <c r="S373" s="11">
        <v>1</v>
      </c>
      <c r="T373" s="11">
        <v>0</v>
      </c>
      <c r="U373" s="11">
        <v>1</v>
      </c>
      <c r="V373" s="2">
        <v>0</v>
      </c>
      <c r="W373" s="2">
        <v>1</v>
      </c>
      <c r="X373" s="2">
        <v>2</v>
      </c>
      <c r="Y373" s="2">
        <v>0</v>
      </c>
      <c r="Z373" s="26" t="s">
        <v>5167</v>
      </c>
      <c r="AA373" s="31">
        <v>1920.07</v>
      </c>
    </row>
    <row r="374" spans="1:27" ht="16" x14ac:dyDescent="0.2">
      <c r="A374" s="3" t="s">
        <v>3736</v>
      </c>
      <c r="B374" s="2" t="s">
        <v>3737</v>
      </c>
      <c r="C374" s="8">
        <v>7653</v>
      </c>
      <c r="D374" s="6">
        <v>1920</v>
      </c>
      <c r="E374" s="6">
        <v>1920</v>
      </c>
      <c r="F374" s="2">
        <v>1</v>
      </c>
      <c r="G374" s="2">
        <v>1</v>
      </c>
      <c r="H374" s="3" t="s">
        <v>3442</v>
      </c>
      <c r="I374" s="3" t="s">
        <v>5048</v>
      </c>
      <c r="J374" s="21" t="s">
        <v>3738</v>
      </c>
      <c r="K374" s="21" t="s">
        <v>1236</v>
      </c>
      <c r="L374" s="10">
        <v>3351</v>
      </c>
      <c r="M374" s="4">
        <f>9+(12*11)</f>
        <v>141</v>
      </c>
      <c r="N374" s="2">
        <v>60</v>
      </c>
      <c r="O374" s="2">
        <v>5</v>
      </c>
      <c r="P374" s="2">
        <v>2</v>
      </c>
      <c r="Q374" s="2">
        <v>1</v>
      </c>
      <c r="R374" s="2">
        <v>0</v>
      </c>
      <c r="S374" s="11">
        <v>1</v>
      </c>
      <c r="T374" s="11">
        <v>0</v>
      </c>
      <c r="U374" s="11">
        <v>0</v>
      </c>
      <c r="V374" s="2">
        <v>0</v>
      </c>
      <c r="W374" s="2">
        <v>1</v>
      </c>
      <c r="X374" s="2">
        <v>1</v>
      </c>
      <c r="Y374" s="2">
        <v>0</v>
      </c>
      <c r="Z374" s="26" t="s">
        <v>5167</v>
      </c>
      <c r="AA374" s="31">
        <v>1920.08</v>
      </c>
    </row>
    <row r="375" spans="1:27" ht="16" x14ac:dyDescent="0.2">
      <c r="A375" s="3" t="s">
        <v>1256</v>
      </c>
      <c r="B375" s="2" t="s">
        <v>1257</v>
      </c>
      <c r="C375" s="8">
        <v>7688</v>
      </c>
      <c r="D375" s="6">
        <v>1921</v>
      </c>
      <c r="E375" s="6">
        <v>1920</v>
      </c>
      <c r="F375" s="2">
        <v>0</v>
      </c>
      <c r="G375" s="2">
        <v>0</v>
      </c>
      <c r="H375" s="3" t="s">
        <v>27</v>
      </c>
      <c r="I375" s="3" t="s">
        <v>292</v>
      </c>
      <c r="J375" s="3" t="s">
        <v>4592</v>
      </c>
      <c r="K375" s="15"/>
      <c r="L375" s="4" t="s">
        <v>293</v>
      </c>
      <c r="M375" s="4">
        <v>655</v>
      </c>
      <c r="N375" s="2">
        <v>39</v>
      </c>
      <c r="O375" s="2">
        <v>4</v>
      </c>
      <c r="P375" s="2">
        <v>1</v>
      </c>
      <c r="Q375" s="2">
        <v>0</v>
      </c>
      <c r="R375" s="2">
        <v>0</v>
      </c>
      <c r="S375" s="11">
        <v>1</v>
      </c>
      <c r="T375" s="11">
        <v>0</v>
      </c>
      <c r="U375" s="11">
        <v>0</v>
      </c>
      <c r="V375" s="2">
        <v>0</v>
      </c>
      <c r="W375" s="2">
        <v>1</v>
      </c>
      <c r="X375" s="2">
        <v>1</v>
      </c>
      <c r="Y375" s="2">
        <v>0</v>
      </c>
      <c r="Z375" s="26" t="s">
        <v>5167</v>
      </c>
      <c r="AA375" s="31">
        <v>1921.01</v>
      </c>
    </row>
    <row r="376" spans="1:27" ht="16" x14ac:dyDescent="0.2">
      <c r="A376" s="3" t="s">
        <v>1242</v>
      </c>
      <c r="B376" s="2" t="s">
        <v>1243</v>
      </c>
      <c r="C376" s="8">
        <v>7695</v>
      </c>
      <c r="D376" s="6">
        <v>1921</v>
      </c>
      <c r="E376" s="6">
        <v>1920</v>
      </c>
      <c r="F376" s="2">
        <v>0</v>
      </c>
      <c r="G376" s="2">
        <v>0</v>
      </c>
      <c r="H376" s="3" t="s">
        <v>27</v>
      </c>
      <c r="I376" s="3" t="s">
        <v>1244</v>
      </c>
      <c r="J376" s="3" t="s">
        <v>1244</v>
      </c>
      <c r="K376" s="21" t="s">
        <v>1115</v>
      </c>
      <c r="L376" s="10">
        <v>6489</v>
      </c>
      <c r="M376" s="4">
        <f>36+3</f>
        <v>39</v>
      </c>
      <c r="N376" s="2">
        <v>65</v>
      </c>
      <c r="O376" s="2">
        <v>1</v>
      </c>
      <c r="P376" s="2">
        <v>4</v>
      </c>
      <c r="Q376" s="2">
        <v>1</v>
      </c>
      <c r="R376" s="2">
        <v>0</v>
      </c>
      <c r="S376" s="11">
        <v>1</v>
      </c>
      <c r="T376" s="11">
        <v>0</v>
      </c>
      <c r="U376" s="11">
        <v>0</v>
      </c>
      <c r="V376" s="2">
        <v>0</v>
      </c>
      <c r="W376" s="2">
        <v>1</v>
      </c>
      <c r="X376" s="2">
        <v>0</v>
      </c>
      <c r="Y376" s="2">
        <v>1</v>
      </c>
      <c r="Z376" s="26" t="s">
        <v>5167</v>
      </c>
      <c r="AA376" s="31">
        <v>1921.02</v>
      </c>
    </row>
    <row r="377" spans="1:27" ht="16" x14ac:dyDescent="0.2">
      <c r="A377" s="3" t="s">
        <v>1258</v>
      </c>
      <c r="B377" s="2" t="s">
        <v>1259</v>
      </c>
      <c r="C377" s="8">
        <v>7702</v>
      </c>
      <c r="D377" s="6">
        <v>1921</v>
      </c>
      <c r="E377" s="6">
        <v>1920</v>
      </c>
      <c r="F377" s="2">
        <v>0</v>
      </c>
      <c r="G377" s="2">
        <v>0</v>
      </c>
      <c r="H377" s="3" t="s">
        <v>27</v>
      </c>
      <c r="I377" s="3" t="s">
        <v>1191</v>
      </c>
      <c r="J377" s="21" t="s">
        <v>1157</v>
      </c>
      <c r="K377" s="21" t="s">
        <v>1158</v>
      </c>
      <c r="L377" s="10">
        <v>6348</v>
      </c>
      <c r="M377" s="4">
        <v>40</v>
      </c>
      <c r="N377" s="2">
        <v>65</v>
      </c>
      <c r="O377" s="2">
        <v>1</v>
      </c>
      <c r="Q377" s="2">
        <v>1</v>
      </c>
      <c r="R377" s="2">
        <v>0</v>
      </c>
      <c r="S377" s="11">
        <v>1</v>
      </c>
      <c r="T377" s="11">
        <v>0</v>
      </c>
      <c r="U377" s="11">
        <v>0</v>
      </c>
      <c r="V377" s="2">
        <v>0</v>
      </c>
      <c r="W377" s="2">
        <v>1</v>
      </c>
      <c r="X377" s="2">
        <v>0</v>
      </c>
      <c r="Y377" s="2">
        <v>1</v>
      </c>
      <c r="Z377" s="26" t="s">
        <v>5167</v>
      </c>
      <c r="AA377" s="31">
        <v>1921.03</v>
      </c>
    </row>
    <row r="378" spans="1:27" ht="16" x14ac:dyDescent="0.2">
      <c r="A378" s="3" t="s">
        <v>3746</v>
      </c>
      <c r="B378" s="2" t="s">
        <v>3747</v>
      </c>
      <c r="C378" s="8">
        <v>7730</v>
      </c>
      <c r="D378" s="6">
        <v>1921</v>
      </c>
      <c r="E378" s="6">
        <v>1920</v>
      </c>
      <c r="F378" s="2">
        <v>2</v>
      </c>
      <c r="G378" s="2">
        <v>1</v>
      </c>
      <c r="H378" s="3" t="s">
        <v>3434</v>
      </c>
      <c r="I378" s="3" t="s">
        <v>3744</v>
      </c>
      <c r="J378" s="22" t="s">
        <v>3745</v>
      </c>
      <c r="K378" s="21" t="s">
        <v>1241</v>
      </c>
      <c r="L378" s="10">
        <v>7235</v>
      </c>
      <c r="M378" s="4">
        <v>16</v>
      </c>
      <c r="N378" s="2">
        <v>66</v>
      </c>
      <c r="O378" s="2">
        <v>1</v>
      </c>
      <c r="Q378" s="2">
        <v>0</v>
      </c>
      <c r="R378" s="2">
        <v>0</v>
      </c>
      <c r="S378" s="11">
        <v>1</v>
      </c>
      <c r="T378" s="11">
        <v>0</v>
      </c>
      <c r="U378" s="11">
        <v>1</v>
      </c>
      <c r="V378" s="2">
        <v>1</v>
      </c>
      <c r="W378" s="2">
        <v>1</v>
      </c>
      <c r="X378" s="2">
        <v>0</v>
      </c>
      <c r="Y378" s="2">
        <v>0</v>
      </c>
      <c r="Z378" s="26" t="s">
        <v>5167</v>
      </c>
      <c r="AA378" s="31">
        <v>1921.04</v>
      </c>
    </row>
    <row r="379" spans="1:27" ht="16" x14ac:dyDescent="0.2">
      <c r="A379" s="3" t="s">
        <v>1273</v>
      </c>
      <c r="B379" s="2" t="s">
        <v>1274</v>
      </c>
      <c r="C379" s="8">
        <v>7730</v>
      </c>
      <c r="D379" s="6">
        <v>1921</v>
      </c>
      <c r="E379" s="6">
        <v>1920</v>
      </c>
      <c r="F379" s="2">
        <v>0</v>
      </c>
      <c r="G379" s="2">
        <v>0</v>
      </c>
      <c r="H379" s="3" t="s">
        <v>27</v>
      </c>
      <c r="I379" s="3" t="s">
        <v>1275</v>
      </c>
      <c r="J379" s="21" t="s">
        <v>1793</v>
      </c>
      <c r="K379" s="21" t="s">
        <v>1276</v>
      </c>
      <c r="L379" s="10">
        <v>6593</v>
      </c>
      <c r="M379" s="4">
        <v>37</v>
      </c>
      <c r="N379" s="2">
        <v>65</v>
      </c>
      <c r="O379" s="2">
        <v>4</v>
      </c>
      <c r="Q379" s="2">
        <v>0</v>
      </c>
      <c r="R379" s="2">
        <v>0</v>
      </c>
      <c r="S379" s="11">
        <v>1</v>
      </c>
      <c r="T379" s="11">
        <v>0</v>
      </c>
      <c r="U379" s="11">
        <v>0</v>
      </c>
      <c r="V379" s="2">
        <v>0</v>
      </c>
      <c r="W379" s="2">
        <v>0</v>
      </c>
      <c r="X379" s="2">
        <v>2</v>
      </c>
      <c r="Y379" s="2">
        <v>1</v>
      </c>
      <c r="Z379" s="26" t="s">
        <v>5167</v>
      </c>
      <c r="AA379" s="31">
        <v>1921.05</v>
      </c>
    </row>
    <row r="380" spans="1:27" ht="12.75" customHeight="1" x14ac:dyDescent="0.2">
      <c r="A380" s="3" t="s">
        <v>1232</v>
      </c>
      <c r="B380" s="2" t="s">
        <v>1233</v>
      </c>
      <c r="C380" s="8">
        <v>7730</v>
      </c>
      <c r="D380" s="6">
        <v>1921</v>
      </c>
      <c r="E380" s="6">
        <v>1920</v>
      </c>
      <c r="F380" s="2">
        <v>0</v>
      </c>
      <c r="G380" s="2">
        <v>0</v>
      </c>
      <c r="H380" s="3" t="s">
        <v>27</v>
      </c>
      <c r="I380" s="3" t="s">
        <v>1234</v>
      </c>
      <c r="J380" s="21" t="s">
        <v>1235</v>
      </c>
      <c r="K380" s="21" t="s">
        <v>1236</v>
      </c>
      <c r="L380" s="10">
        <v>3351</v>
      </c>
      <c r="M380" s="4">
        <v>24</v>
      </c>
      <c r="N380" s="2">
        <v>60</v>
      </c>
      <c r="O380" s="2">
        <v>1</v>
      </c>
      <c r="Q380" s="2">
        <v>1</v>
      </c>
      <c r="R380" s="2">
        <v>0</v>
      </c>
      <c r="S380" s="11">
        <v>1</v>
      </c>
      <c r="T380" s="11">
        <v>0</v>
      </c>
      <c r="U380" s="11">
        <v>0</v>
      </c>
      <c r="V380" s="2">
        <v>0</v>
      </c>
      <c r="W380" s="2">
        <v>0</v>
      </c>
      <c r="X380" s="2">
        <v>0</v>
      </c>
      <c r="Y380" s="2">
        <v>0</v>
      </c>
      <c r="Z380" s="26" t="s">
        <v>5167</v>
      </c>
      <c r="AA380" s="31">
        <v>1921.06</v>
      </c>
    </row>
    <row r="381" spans="1:27" ht="12.75" customHeight="1" x14ac:dyDescent="0.2">
      <c r="A381" s="3" t="s">
        <v>1277</v>
      </c>
      <c r="B381" s="2" t="s">
        <v>1278</v>
      </c>
      <c r="C381" s="8">
        <v>7730</v>
      </c>
      <c r="D381" s="6">
        <v>1921</v>
      </c>
      <c r="E381" s="6">
        <v>1920</v>
      </c>
      <c r="F381" s="2">
        <v>0</v>
      </c>
      <c r="G381" s="2">
        <v>0</v>
      </c>
      <c r="H381" s="3" t="s">
        <v>27</v>
      </c>
      <c r="I381" s="3" t="s">
        <v>1279</v>
      </c>
      <c r="J381" s="22" t="s">
        <v>1280</v>
      </c>
      <c r="K381" s="21" t="s">
        <v>1115</v>
      </c>
      <c r="L381" s="10">
        <v>6489</v>
      </c>
      <c r="M381" s="4">
        <v>41</v>
      </c>
      <c r="N381" s="2">
        <v>65</v>
      </c>
      <c r="O381" s="2">
        <v>4</v>
      </c>
      <c r="P381" s="2">
        <v>1</v>
      </c>
      <c r="Q381" s="2">
        <v>1</v>
      </c>
      <c r="R381" s="2">
        <v>1</v>
      </c>
      <c r="S381" s="11">
        <v>1</v>
      </c>
      <c r="T381" s="11">
        <v>0</v>
      </c>
      <c r="U381" s="11">
        <v>0</v>
      </c>
      <c r="V381" s="2">
        <v>0</v>
      </c>
      <c r="W381" s="2">
        <v>1</v>
      </c>
      <c r="X381" s="2">
        <v>0</v>
      </c>
      <c r="Y381" s="2">
        <v>1</v>
      </c>
      <c r="Z381" s="26" t="s">
        <v>5167</v>
      </c>
      <c r="AA381" s="31">
        <v>1921.07</v>
      </c>
    </row>
    <row r="382" spans="1:27" ht="16" x14ac:dyDescent="0.2">
      <c r="A382" s="3" t="s">
        <v>1281</v>
      </c>
      <c r="B382" s="2" t="s">
        <v>1282</v>
      </c>
      <c r="C382" s="8">
        <v>7737</v>
      </c>
      <c r="D382" s="2">
        <v>1921</v>
      </c>
      <c r="E382" s="6">
        <v>1920</v>
      </c>
      <c r="F382" s="2">
        <v>0</v>
      </c>
      <c r="G382" s="2">
        <v>0</v>
      </c>
      <c r="H382" s="3" t="s">
        <v>27</v>
      </c>
      <c r="I382" s="3" t="s">
        <v>1007</v>
      </c>
      <c r="J382" s="3" t="s">
        <v>1283</v>
      </c>
      <c r="K382" s="21" t="s">
        <v>1009</v>
      </c>
      <c r="L382" s="10">
        <v>2308</v>
      </c>
      <c r="M382" s="4">
        <f>11+(12*14)</f>
        <v>179</v>
      </c>
      <c r="N382" s="2">
        <v>59</v>
      </c>
      <c r="O382" s="2">
        <v>1</v>
      </c>
      <c r="Q382" s="2">
        <v>0</v>
      </c>
      <c r="R382" s="2">
        <v>0</v>
      </c>
      <c r="S382" s="11">
        <v>1</v>
      </c>
      <c r="T382" s="11">
        <v>0</v>
      </c>
      <c r="U382" s="11">
        <v>1</v>
      </c>
      <c r="V382" s="2">
        <v>0</v>
      </c>
      <c r="W382" s="2">
        <v>0</v>
      </c>
      <c r="X382" s="2">
        <v>0</v>
      </c>
      <c r="Y382" s="2">
        <v>0</v>
      </c>
      <c r="Z382" s="26" t="s">
        <v>5167</v>
      </c>
      <c r="AA382" s="31">
        <v>1921.08</v>
      </c>
    </row>
    <row r="383" spans="1:27" ht="16" x14ac:dyDescent="0.2">
      <c r="A383" s="3" t="s">
        <v>1251</v>
      </c>
      <c r="B383" s="2" t="s">
        <v>1252</v>
      </c>
      <c r="C383" s="8">
        <v>7751</v>
      </c>
      <c r="D383" s="6">
        <v>1921</v>
      </c>
      <c r="E383" s="6">
        <v>1920</v>
      </c>
      <c r="F383" s="2">
        <v>0</v>
      </c>
      <c r="G383" s="2">
        <v>0</v>
      </c>
      <c r="H383" s="3" t="s">
        <v>27</v>
      </c>
      <c r="I383" s="3" t="s">
        <v>1253</v>
      </c>
      <c r="J383" s="21" t="s">
        <v>1254</v>
      </c>
      <c r="K383" s="21" t="s">
        <v>1255</v>
      </c>
      <c r="L383" s="10">
        <v>4812</v>
      </c>
      <c r="M383" s="4">
        <v>97</v>
      </c>
      <c r="N383" s="2">
        <v>62</v>
      </c>
      <c r="O383" s="2">
        <v>1</v>
      </c>
      <c r="Q383" s="2">
        <v>0</v>
      </c>
      <c r="R383" s="2">
        <v>0</v>
      </c>
      <c r="S383" s="11">
        <v>0</v>
      </c>
      <c r="T383" s="11">
        <v>0</v>
      </c>
      <c r="U383" s="11">
        <v>0</v>
      </c>
      <c r="V383" s="2">
        <v>0</v>
      </c>
      <c r="W383" s="2">
        <v>1</v>
      </c>
      <c r="X383" s="2">
        <v>0</v>
      </c>
      <c r="Y383" s="2">
        <v>1</v>
      </c>
      <c r="Z383" s="26" t="s">
        <v>5167</v>
      </c>
      <c r="AA383" s="31">
        <v>1921.09</v>
      </c>
    </row>
    <row r="384" spans="1:27" ht="16" x14ac:dyDescent="0.2">
      <c r="A384" s="3" t="s">
        <v>1263</v>
      </c>
      <c r="B384" s="2" t="s">
        <v>1264</v>
      </c>
      <c r="C384" s="8">
        <v>7758</v>
      </c>
      <c r="D384" s="6">
        <v>1921</v>
      </c>
      <c r="E384" s="6">
        <v>1920</v>
      </c>
      <c r="F384" s="2">
        <v>0</v>
      </c>
      <c r="G384" s="2">
        <v>0</v>
      </c>
      <c r="H384" s="3" t="s">
        <v>27</v>
      </c>
      <c r="I384" s="3" t="s">
        <v>1262</v>
      </c>
      <c r="J384" s="22" t="s">
        <v>4668</v>
      </c>
      <c r="K384" s="21" t="s">
        <v>1152</v>
      </c>
      <c r="L384" s="10">
        <v>6486</v>
      </c>
      <c r="M384" s="4">
        <v>42</v>
      </c>
      <c r="N384" s="2">
        <v>65</v>
      </c>
      <c r="O384" s="2">
        <v>4</v>
      </c>
      <c r="Q384" s="2">
        <v>1</v>
      </c>
      <c r="R384" s="2">
        <v>0</v>
      </c>
      <c r="S384" s="11">
        <v>1</v>
      </c>
      <c r="T384" s="11">
        <v>0</v>
      </c>
      <c r="U384" s="11">
        <v>0</v>
      </c>
      <c r="V384" s="2">
        <v>0</v>
      </c>
      <c r="W384" s="2">
        <v>1</v>
      </c>
      <c r="X384" s="2">
        <v>0</v>
      </c>
      <c r="Y384" s="2">
        <v>1</v>
      </c>
      <c r="Z384" s="26" t="s">
        <v>5167</v>
      </c>
      <c r="AA384" s="31">
        <v>1921.1</v>
      </c>
    </row>
    <row r="385" spans="1:27" ht="16" x14ac:dyDescent="0.2">
      <c r="A385" s="3" t="s">
        <v>3742</v>
      </c>
      <c r="B385" s="2" t="s">
        <v>3743</v>
      </c>
      <c r="C385" s="8">
        <v>7730</v>
      </c>
      <c r="D385" s="6">
        <v>1921</v>
      </c>
      <c r="E385" s="6">
        <v>1920</v>
      </c>
      <c r="F385" s="2">
        <v>2</v>
      </c>
      <c r="G385" s="2">
        <v>1</v>
      </c>
      <c r="H385" s="3" t="s">
        <v>3434</v>
      </c>
      <c r="I385" s="3" t="s">
        <v>3744</v>
      </c>
      <c r="J385" s="22" t="s">
        <v>3745</v>
      </c>
      <c r="K385" s="21" t="s">
        <v>1241</v>
      </c>
      <c r="L385" s="10">
        <v>7235</v>
      </c>
      <c r="M385" s="4">
        <v>16</v>
      </c>
      <c r="N385" s="2">
        <v>66</v>
      </c>
      <c r="O385" s="2">
        <v>1</v>
      </c>
      <c r="Q385" s="2">
        <v>0</v>
      </c>
      <c r="R385" s="2">
        <v>0</v>
      </c>
      <c r="S385" s="11">
        <v>1</v>
      </c>
      <c r="T385" s="11">
        <v>0</v>
      </c>
      <c r="U385" s="11">
        <v>0</v>
      </c>
      <c r="V385" s="2">
        <v>1</v>
      </c>
      <c r="W385" s="2">
        <v>1</v>
      </c>
      <c r="X385" s="2">
        <v>0</v>
      </c>
      <c r="Y385" s="2">
        <v>0</v>
      </c>
      <c r="Z385" s="26" t="s">
        <v>5167</v>
      </c>
      <c r="AA385" s="31">
        <v>1921.11</v>
      </c>
    </row>
    <row r="386" spans="1:27" ht="16" x14ac:dyDescent="0.2">
      <c r="A386" s="3" t="s">
        <v>1237</v>
      </c>
      <c r="B386" s="2" t="s">
        <v>1238</v>
      </c>
      <c r="C386" s="8">
        <v>7779</v>
      </c>
      <c r="D386" s="6">
        <v>1921</v>
      </c>
      <c r="E386" s="6">
        <v>1920</v>
      </c>
      <c r="F386" s="2">
        <v>0</v>
      </c>
      <c r="G386" s="2">
        <v>0</v>
      </c>
      <c r="H386" s="3" t="s">
        <v>27</v>
      </c>
      <c r="I386" s="3" t="s">
        <v>1239</v>
      </c>
      <c r="J386" s="21" t="s">
        <v>1240</v>
      </c>
      <c r="K386" s="21" t="s">
        <v>1241</v>
      </c>
      <c r="L386" s="10">
        <v>7235</v>
      </c>
      <c r="M386" s="4">
        <v>18</v>
      </c>
      <c r="N386" s="2">
        <v>66</v>
      </c>
      <c r="O386" s="2">
        <v>1</v>
      </c>
      <c r="Q386" s="2">
        <v>0</v>
      </c>
      <c r="R386" s="2">
        <v>0</v>
      </c>
      <c r="S386" s="11">
        <v>1</v>
      </c>
      <c r="T386" s="11">
        <v>0</v>
      </c>
      <c r="U386" s="11">
        <v>1</v>
      </c>
      <c r="V386" s="2">
        <v>0</v>
      </c>
      <c r="W386" s="2">
        <v>0</v>
      </c>
      <c r="X386" s="2">
        <v>4</v>
      </c>
      <c r="Y386" s="2">
        <v>0</v>
      </c>
      <c r="Z386" s="26" t="s">
        <v>5167</v>
      </c>
      <c r="AA386" s="31">
        <v>1921.12</v>
      </c>
    </row>
    <row r="387" spans="1:27" ht="16" x14ac:dyDescent="0.2">
      <c r="A387" s="3" t="s">
        <v>3739</v>
      </c>
      <c r="B387" s="2" t="s">
        <v>3740</v>
      </c>
      <c r="C387" s="8">
        <v>7793</v>
      </c>
      <c r="D387" s="6">
        <v>1921</v>
      </c>
      <c r="E387" s="6">
        <v>1920</v>
      </c>
      <c r="F387" s="2">
        <v>1</v>
      </c>
      <c r="G387" s="2">
        <v>1</v>
      </c>
      <c r="H387" s="3" t="s">
        <v>3442</v>
      </c>
      <c r="I387" s="3" t="s">
        <v>5049</v>
      </c>
      <c r="J387" s="21" t="s">
        <v>4671</v>
      </c>
      <c r="K387" s="21" t="s">
        <v>3741</v>
      </c>
      <c r="L387" s="10">
        <v>4249</v>
      </c>
      <c r="M387" s="4">
        <v>116</v>
      </c>
      <c r="N387" s="2">
        <v>62</v>
      </c>
      <c r="O387" s="2">
        <v>5</v>
      </c>
      <c r="Q387" s="2">
        <v>0</v>
      </c>
      <c r="R387" s="2">
        <v>0</v>
      </c>
      <c r="S387" s="11">
        <v>1</v>
      </c>
      <c r="T387" s="11">
        <v>0</v>
      </c>
      <c r="U387" s="11">
        <v>1</v>
      </c>
      <c r="V387" s="2">
        <v>1</v>
      </c>
      <c r="W387" s="2">
        <v>1</v>
      </c>
      <c r="X387" s="2">
        <v>1</v>
      </c>
      <c r="Y387" s="2">
        <v>1</v>
      </c>
      <c r="Z387" s="26" t="s">
        <v>5167</v>
      </c>
      <c r="AA387" s="31">
        <v>1921.13</v>
      </c>
    </row>
    <row r="388" spans="1:27" ht="16" x14ac:dyDescent="0.2">
      <c r="A388" s="3" t="s">
        <v>1265</v>
      </c>
      <c r="B388" s="2" t="s">
        <v>1266</v>
      </c>
      <c r="C388" s="8">
        <v>7807</v>
      </c>
      <c r="D388" s="6">
        <v>1921</v>
      </c>
      <c r="E388" s="6">
        <v>1920</v>
      </c>
      <c r="F388" s="2">
        <v>0</v>
      </c>
      <c r="G388" s="2">
        <v>0</v>
      </c>
      <c r="H388" s="3" t="s">
        <v>27</v>
      </c>
      <c r="I388" s="3" t="s">
        <v>1267</v>
      </c>
      <c r="J388" s="21" t="s">
        <v>1268</v>
      </c>
      <c r="K388" s="21" t="s">
        <v>1269</v>
      </c>
      <c r="L388" s="10">
        <v>6096</v>
      </c>
      <c r="M388" s="4">
        <v>57</v>
      </c>
      <c r="N388" s="2">
        <v>64</v>
      </c>
      <c r="O388" s="2">
        <v>5</v>
      </c>
      <c r="P388" s="2">
        <v>4</v>
      </c>
      <c r="Q388" s="2">
        <v>1</v>
      </c>
      <c r="R388" s="2">
        <v>1</v>
      </c>
      <c r="S388" s="11">
        <v>1</v>
      </c>
      <c r="T388" s="11">
        <v>0</v>
      </c>
      <c r="U388" s="11">
        <v>0</v>
      </c>
      <c r="V388" s="2">
        <v>0</v>
      </c>
      <c r="W388" s="2">
        <v>0</v>
      </c>
      <c r="X388" s="2">
        <v>0</v>
      </c>
      <c r="Y388" s="2">
        <v>1</v>
      </c>
      <c r="Z388" s="26" t="s">
        <v>5167</v>
      </c>
      <c r="AA388" s="31">
        <v>1921.14</v>
      </c>
    </row>
    <row r="389" spans="1:27" ht="16" x14ac:dyDescent="0.2">
      <c r="A389" s="3" t="s">
        <v>1245</v>
      </c>
      <c r="B389" s="2" t="s">
        <v>1246</v>
      </c>
      <c r="C389" s="8">
        <v>7807</v>
      </c>
      <c r="D389" s="6">
        <v>1921</v>
      </c>
      <c r="E389" s="6">
        <v>1920</v>
      </c>
      <c r="F389" s="2">
        <v>0</v>
      </c>
      <c r="G389" s="2">
        <v>0</v>
      </c>
      <c r="H389" s="3" t="s">
        <v>27</v>
      </c>
      <c r="I389" s="3" t="s">
        <v>1247</v>
      </c>
      <c r="J389" s="21" t="s">
        <v>4673</v>
      </c>
      <c r="L389" s="10">
        <v>6563</v>
      </c>
      <c r="M389" s="4">
        <v>41</v>
      </c>
      <c r="N389" s="2">
        <v>65</v>
      </c>
      <c r="O389" s="2">
        <v>6</v>
      </c>
      <c r="Q389" s="2">
        <v>1</v>
      </c>
      <c r="R389" s="2">
        <v>1</v>
      </c>
      <c r="S389" s="11">
        <v>1</v>
      </c>
      <c r="T389" s="11">
        <v>0</v>
      </c>
      <c r="U389" s="11">
        <v>0</v>
      </c>
      <c r="V389" s="2">
        <v>0</v>
      </c>
      <c r="W389" s="2">
        <v>1</v>
      </c>
      <c r="X389" s="2">
        <v>0</v>
      </c>
      <c r="Y389" s="2">
        <v>1</v>
      </c>
      <c r="Z389" s="26" t="s">
        <v>5167</v>
      </c>
      <c r="AA389" s="31">
        <v>1921.15</v>
      </c>
    </row>
    <row r="390" spans="1:27" ht="16" x14ac:dyDescent="0.2">
      <c r="A390" s="3" t="s">
        <v>1260</v>
      </c>
      <c r="B390" s="2" t="s">
        <v>1261</v>
      </c>
      <c r="C390" s="8">
        <v>7807</v>
      </c>
      <c r="D390" s="6">
        <v>1921</v>
      </c>
      <c r="E390" s="6">
        <v>1920</v>
      </c>
      <c r="F390" s="2">
        <v>0</v>
      </c>
      <c r="G390" s="2">
        <v>0</v>
      </c>
      <c r="H390" s="3" t="s">
        <v>27</v>
      </c>
      <c r="I390" s="3" t="s">
        <v>1262</v>
      </c>
      <c r="J390" s="22" t="s">
        <v>4672</v>
      </c>
      <c r="K390" s="21" t="s">
        <v>1152</v>
      </c>
      <c r="L390" s="10">
        <v>6486</v>
      </c>
      <c r="M390" s="4">
        <v>44</v>
      </c>
      <c r="N390" s="2">
        <v>65</v>
      </c>
      <c r="O390" s="2">
        <v>4</v>
      </c>
      <c r="P390" s="2">
        <v>1</v>
      </c>
      <c r="Q390" s="2">
        <v>1</v>
      </c>
      <c r="R390" s="2">
        <v>0</v>
      </c>
      <c r="S390" s="11">
        <v>1</v>
      </c>
      <c r="T390" s="11">
        <v>0</v>
      </c>
      <c r="U390" s="11">
        <v>0</v>
      </c>
      <c r="V390" s="2">
        <v>0</v>
      </c>
      <c r="W390" s="2">
        <v>1</v>
      </c>
      <c r="X390" s="2">
        <v>0</v>
      </c>
      <c r="Y390" s="2">
        <v>1</v>
      </c>
      <c r="Z390" s="26" t="s">
        <v>5167</v>
      </c>
      <c r="AA390" s="31">
        <v>1921.16</v>
      </c>
    </row>
    <row r="391" spans="1:27" ht="16" x14ac:dyDescent="0.2">
      <c r="A391" s="3" t="s">
        <v>1248</v>
      </c>
      <c r="B391" s="2" t="s">
        <v>1249</v>
      </c>
      <c r="C391" s="8">
        <v>7823</v>
      </c>
      <c r="D391" s="6">
        <v>1921</v>
      </c>
      <c r="E391" s="6">
        <v>1920</v>
      </c>
      <c r="F391" s="2">
        <v>0</v>
      </c>
      <c r="G391" s="2">
        <v>0</v>
      </c>
      <c r="H391" s="3" t="s">
        <v>27</v>
      </c>
      <c r="I391" s="3" t="s">
        <v>1250</v>
      </c>
      <c r="J391" s="3" t="s">
        <v>4675</v>
      </c>
      <c r="K391" s="3" t="s">
        <v>4676</v>
      </c>
      <c r="L391" s="10">
        <v>6089</v>
      </c>
      <c r="M391" s="4">
        <v>57</v>
      </c>
      <c r="N391" s="2">
        <v>64</v>
      </c>
      <c r="O391" s="2">
        <v>1</v>
      </c>
      <c r="Q391" s="2">
        <v>0</v>
      </c>
      <c r="R391" s="2">
        <v>0</v>
      </c>
      <c r="S391" s="11">
        <v>0</v>
      </c>
      <c r="T391" s="11">
        <v>1</v>
      </c>
      <c r="U391" s="11">
        <v>1</v>
      </c>
      <c r="V391" s="2">
        <v>0</v>
      </c>
      <c r="W391" s="2">
        <v>1</v>
      </c>
      <c r="X391" s="2">
        <v>0</v>
      </c>
      <c r="Y391" s="2">
        <v>1</v>
      </c>
      <c r="Z391" s="26" t="s">
        <v>5167</v>
      </c>
      <c r="AA391" s="31">
        <v>1921.17</v>
      </c>
    </row>
    <row r="392" spans="1:27" ht="16" x14ac:dyDescent="0.2">
      <c r="A392" s="3" t="s">
        <v>1270</v>
      </c>
      <c r="B392" s="2" t="s">
        <v>1271</v>
      </c>
      <c r="C392" s="8">
        <v>8010</v>
      </c>
      <c r="D392" s="6">
        <v>1921</v>
      </c>
      <c r="E392" s="6">
        <v>1920</v>
      </c>
      <c r="F392" s="2">
        <v>0</v>
      </c>
      <c r="G392" s="2">
        <v>0</v>
      </c>
      <c r="H392" s="3" t="s">
        <v>27</v>
      </c>
      <c r="I392" s="3" t="s">
        <v>1272</v>
      </c>
      <c r="J392" s="3" t="s">
        <v>4677</v>
      </c>
      <c r="K392" s="3" t="s">
        <v>4678</v>
      </c>
      <c r="L392" s="10">
        <v>7462</v>
      </c>
      <c r="M392" s="4">
        <v>18</v>
      </c>
      <c r="N392" s="2">
        <v>66</v>
      </c>
      <c r="O392" s="2">
        <v>5</v>
      </c>
      <c r="Q392" s="2">
        <v>0</v>
      </c>
      <c r="R392" s="2">
        <v>0</v>
      </c>
      <c r="S392" s="11">
        <v>0</v>
      </c>
      <c r="T392" s="11">
        <v>1</v>
      </c>
      <c r="U392" s="11">
        <v>1</v>
      </c>
      <c r="V392" s="2">
        <v>0</v>
      </c>
      <c r="W392" s="2">
        <v>1</v>
      </c>
      <c r="X392" s="2">
        <v>0</v>
      </c>
      <c r="Y392" s="2">
        <v>0</v>
      </c>
      <c r="Z392" s="26" t="s">
        <v>5167</v>
      </c>
      <c r="AA392" s="31">
        <v>1921.18</v>
      </c>
    </row>
    <row r="393" spans="1:27" ht="16" x14ac:dyDescent="0.2">
      <c r="A393" s="3" t="s">
        <v>1300</v>
      </c>
      <c r="B393" s="2" t="s">
        <v>1301</v>
      </c>
      <c r="C393" s="8">
        <v>8094</v>
      </c>
      <c r="D393" s="6">
        <v>1922</v>
      </c>
      <c r="E393" s="6">
        <v>1920</v>
      </c>
      <c r="F393" s="2">
        <v>0</v>
      </c>
      <c r="G393" s="2">
        <v>0</v>
      </c>
      <c r="H393" s="3" t="s">
        <v>27</v>
      </c>
      <c r="I393" s="3" t="s">
        <v>1302</v>
      </c>
      <c r="J393" s="21" t="s">
        <v>1303</v>
      </c>
      <c r="K393" s="21" t="s">
        <v>1304</v>
      </c>
      <c r="L393" s="10">
        <v>7364</v>
      </c>
      <c r="M393" s="4">
        <v>24</v>
      </c>
      <c r="N393" s="2">
        <v>66</v>
      </c>
      <c r="O393" s="2">
        <v>4</v>
      </c>
      <c r="P393" s="2">
        <v>1</v>
      </c>
      <c r="Q393" s="2">
        <v>1</v>
      </c>
      <c r="R393" s="2">
        <v>1</v>
      </c>
      <c r="S393" s="11">
        <v>1</v>
      </c>
      <c r="T393" s="11">
        <v>0</v>
      </c>
      <c r="U393" s="11">
        <v>0</v>
      </c>
      <c r="V393" s="2">
        <v>0</v>
      </c>
      <c r="W393" s="2">
        <v>1</v>
      </c>
      <c r="X393" s="2">
        <v>0</v>
      </c>
      <c r="Y393" s="2">
        <v>0</v>
      </c>
      <c r="Z393" s="26" t="s">
        <v>5167</v>
      </c>
      <c r="AA393" s="31">
        <v>1922.01</v>
      </c>
    </row>
    <row r="394" spans="1:27" ht="16" x14ac:dyDescent="0.2">
      <c r="A394" s="3" t="s">
        <v>1284</v>
      </c>
      <c r="B394" s="2" t="s">
        <v>1285</v>
      </c>
      <c r="C394" s="8">
        <v>8094</v>
      </c>
      <c r="D394" s="6">
        <v>1922</v>
      </c>
      <c r="E394" s="6">
        <v>1920</v>
      </c>
      <c r="F394" s="2">
        <v>0</v>
      </c>
      <c r="G394" s="2">
        <v>0</v>
      </c>
      <c r="H394" s="3" t="s">
        <v>27</v>
      </c>
      <c r="I394" s="3" t="s">
        <v>1286</v>
      </c>
      <c r="J394" s="22" t="s">
        <v>1287</v>
      </c>
      <c r="K394" s="21" t="s">
        <v>1288</v>
      </c>
      <c r="L394" s="10">
        <v>7462</v>
      </c>
      <c r="M394" s="4">
        <v>21</v>
      </c>
      <c r="N394" s="2">
        <v>66</v>
      </c>
      <c r="O394" s="2">
        <v>5</v>
      </c>
      <c r="Q394" s="2">
        <v>1</v>
      </c>
      <c r="R394" s="2">
        <v>0</v>
      </c>
      <c r="S394" s="11">
        <v>1</v>
      </c>
      <c r="T394" s="11">
        <v>0</v>
      </c>
      <c r="U394" s="11">
        <v>0</v>
      </c>
      <c r="V394" s="2">
        <v>0</v>
      </c>
      <c r="W394" s="2">
        <v>1</v>
      </c>
      <c r="X394" s="2">
        <v>0</v>
      </c>
      <c r="Y394" s="2">
        <v>0</v>
      </c>
      <c r="Z394" s="26" t="s">
        <v>5167</v>
      </c>
      <c r="AA394" s="31">
        <v>1922.02</v>
      </c>
    </row>
    <row r="395" spans="1:27" ht="16" x14ac:dyDescent="0.2">
      <c r="A395" s="3" t="s">
        <v>1297</v>
      </c>
      <c r="B395" s="2" t="s">
        <v>1298</v>
      </c>
      <c r="C395" s="8">
        <v>8094</v>
      </c>
      <c r="D395" s="6">
        <v>1922</v>
      </c>
      <c r="E395" s="6">
        <v>1920</v>
      </c>
      <c r="F395" s="2">
        <v>0</v>
      </c>
      <c r="G395" s="2">
        <v>0</v>
      </c>
      <c r="H395" s="3" t="s">
        <v>27</v>
      </c>
      <c r="I395" s="3" t="s">
        <v>1299</v>
      </c>
      <c r="J395" s="3" t="s">
        <v>4679</v>
      </c>
      <c r="L395" s="10">
        <v>7544</v>
      </c>
      <c r="M395" s="4">
        <v>18</v>
      </c>
      <c r="N395" s="2">
        <v>66</v>
      </c>
      <c r="O395" s="2">
        <v>5</v>
      </c>
      <c r="P395" s="2">
        <v>6</v>
      </c>
      <c r="Q395" s="2">
        <v>1</v>
      </c>
      <c r="R395" s="2">
        <v>1</v>
      </c>
      <c r="S395" s="11">
        <v>1</v>
      </c>
      <c r="T395" s="11">
        <v>1</v>
      </c>
      <c r="U395" s="11">
        <v>0</v>
      </c>
      <c r="V395" s="2">
        <v>0</v>
      </c>
      <c r="W395" s="2">
        <v>0</v>
      </c>
      <c r="X395" s="2">
        <v>0</v>
      </c>
      <c r="Y395" s="2">
        <v>0</v>
      </c>
      <c r="Z395" s="26" t="s">
        <v>5167</v>
      </c>
      <c r="AA395" s="31">
        <v>1922.03</v>
      </c>
    </row>
    <row r="396" spans="1:27" ht="16" x14ac:dyDescent="0.2">
      <c r="A396" s="3" t="s">
        <v>1294</v>
      </c>
      <c r="B396" s="2" t="s">
        <v>1295</v>
      </c>
      <c r="C396" s="8">
        <v>8094</v>
      </c>
      <c r="D396" s="6">
        <v>1922</v>
      </c>
      <c r="E396" s="6">
        <v>1920</v>
      </c>
      <c r="F396" s="2">
        <v>0</v>
      </c>
      <c r="G396" s="2">
        <v>0</v>
      </c>
      <c r="H396" s="3" t="s">
        <v>27</v>
      </c>
      <c r="I396" s="3" t="s">
        <v>5040</v>
      </c>
      <c r="J396" s="3" t="s">
        <v>5040</v>
      </c>
      <c r="K396" s="15"/>
      <c r="L396" s="4" t="s">
        <v>1296</v>
      </c>
      <c r="M396" s="4">
        <f>8+(12*49)</f>
        <v>596</v>
      </c>
      <c r="N396" s="2">
        <v>42</v>
      </c>
      <c r="O396" s="2">
        <v>1</v>
      </c>
      <c r="Q396" s="2">
        <v>0</v>
      </c>
      <c r="R396" s="2">
        <v>0</v>
      </c>
      <c r="S396" s="11">
        <v>1</v>
      </c>
      <c r="T396" s="11">
        <v>0</v>
      </c>
      <c r="U396" s="11">
        <v>0</v>
      </c>
      <c r="V396" s="2">
        <v>0</v>
      </c>
      <c r="W396" s="2">
        <v>1</v>
      </c>
      <c r="X396" s="2">
        <v>2</v>
      </c>
      <c r="Y396" s="2">
        <v>0</v>
      </c>
      <c r="Z396" s="26" t="s">
        <v>5167</v>
      </c>
      <c r="AA396" s="31">
        <v>1922.04</v>
      </c>
    </row>
    <row r="397" spans="1:27" ht="16" x14ac:dyDescent="0.2">
      <c r="A397" s="3" t="s">
        <v>1315</v>
      </c>
      <c r="B397" s="2" t="s">
        <v>1316</v>
      </c>
      <c r="C397" s="8">
        <v>8122</v>
      </c>
      <c r="D397" s="6">
        <v>1922</v>
      </c>
      <c r="E397" s="6">
        <v>1920</v>
      </c>
      <c r="F397" s="2">
        <v>0</v>
      </c>
      <c r="G397" s="2">
        <v>0</v>
      </c>
      <c r="H397" s="3" t="s">
        <v>27</v>
      </c>
      <c r="I397" s="3" t="s">
        <v>1203</v>
      </c>
      <c r="J397" s="21" t="s">
        <v>1204</v>
      </c>
      <c r="K397" s="21" t="s">
        <v>1205</v>
      </c>
      <c r="L397" s="10">
        <v>5465</v>
      </c>
      <c r="M397" s="4">
        <v>87</v>
      </c>
      <c r="N397" s="2">
        <v>63</v>
      </c>
      <c r="O397" s="2">
        <v>1</v>
      </c>
      <c r="Q397" s="2">
        <v>0</v>
      </c>
      <c r="R397" s="2">
        <v>0</v>
      </c>
      <c r="S397" s="11">
        <v>1</v>
      </c>
      <c r="T397" s="11">
        <v>0</v>
      </c>
      <c r="U397" s="11">
        <v>1</v>
      </c>
      <c r="V397" s="2">
        <v>0</v>
      </c>
      <c r="W397" s="2">
        <v>1</v>
      </c>
      <c r="X397" s="2">
        <v>0</v>
      </c>
      <c r="Y397" s="2">
        <v>1</v>
      </c>
      <c r="Z397" s="26" t="s">
        <v>5167</v>
      </c>
      <c r="AA397" s="31">
        <v>1922.05</v>
      </c>
    </row>
    <row r="398" spans="1:27" ht="16" x14ac:dyDescent="0.2">
      <c r="A398" s="3" t="s">
        <v>1289</v>
      </c>
      <c r="B398" s="2" t="s">
        <v>1290</v>
      </c>
      <c r="C398" s="8">
        <v>8136</v>
      </c>
      <c r="D398" s="6">
        <v>1922</v>
      </c>
      <c r="E398" s="6">
        <v>1920</v>
      </c>
      <c r="F398" s="2">
        <v>0</v>
      </c>
      <c r="G398" s="2">
        <v>0</v>
      </c>
      <c r="H398" s="3" t="s">
        <v>27</v>
      </c>
      <c r="I398" s="3" t="s">
        <v>1267</v>
      </c>
      <c r="J398" s="21" t="s">
        <v>1268</v>
      </c>
      <c r="K398" s="21" t="s">
        <v>1269</v>
      </c>
      <c r="L398" s="10">
        <v>6096</v>
      </c>
      <c r="M398" s="4">
        <v>67</v>
      </c>
      <c r="N398" s="2">
        <v>64</v>
      </c>
      <c r="O398" s="2">
        <v>5</v>
      </c>
      <c r="Q398" s="2">
        <v>1</v>
      </c>
      <c r="R398" s="2">
        <v>0</v>
      </c>
      <c r="S398" s="11">
        <v>1</v>
      </c>
      <c r="T398" s="11">
        <v>0</v>
      </c>
      <c r="U398" s="11">
        <v>0</v>
      </c>
      <c r="V398" s="2">
        <v>0</v>
      </c>
      <c r="W398" s="2">
        <v>1</v>
      </c>
      <c r="X398" s="2">
        <v>0</v>
      </c>
      <c r="Y398" s="2">
        <v>1</v>
      </c>
      <c r="Z398" s="26" t="s">
        <v>5167</v>
      </c>
      <c r="AA398" s="31">
        <v>1922.06</v>
      </c>
    </row>
    <row r="399" spans="1:27" ht="16" x14ac:dyDescent="0.2">
      <c r="A399" s="3" t="s">
        <v>3763</v>
      </c>
      <c r="B399" s="2" t="s">
        <v>3764</v>
      </c>
      <c r="C399" s="8">
        <v>8143</v>
      </c>
      <c r="D399" s="6">
        <v>1922</v>
      </c>
      <c r="E399" s="6">
        <v>1920</v>
      </c>
      <c r="F399" s="2">
        <v>2</v>
      </c>
      <c r="G399" s="2">
        <v>1</v>
      </c>
      <c r="H399" s="3" t="s">
        <v>3434</v>
      </c>
      <c r="I399" s="3" t="s">
        <v>3765</v>
      </c>
      <c r="J399" s="21" t="s">
        <v>4674</v>
      </c>
      <c r="K399" s="21" t="s">
        <v>3766</v>
      </c>
      <c r="L399" s="10">
        <v>2274</v>
      </c>
      <c r="M399" s="4">
        <v>193</v>
      </c>
      <c r="N399" s="2">
        <v>59</v>
      </c>
      <c r="O399" s="2">
        <v>1</v>
      </c>
      <c r="Q399" s="2">
        <v>0</v>
      </c>
      <c r="R399" s="2">
        <v>0</v>
      </c>
      <c r="S399" s="11">
        <v>1</v>
      </c>
      <c r="T399" s="11">
        <v>1</v>
      </c>
      <c r="U399" s="11">
        <v>0</v>
      </c>
      <c r="V399" s="2">
        <v>1</v>
      </c>
      <c r="W399" s="2">
        <v>1</v>
      </c>
      <c r="X399" s="2">
        <v>3</v>
      </c>
      <c r="Y399" s="2">
        <v>0</v>
      </c>
      <c r="Z399" s="26" t="s">
        <v>5167</v>
      </c>
      <c r="AA399" s="31">
        <v>1922.07</v>
      </c>
    </row>
    <row r="400" spans="1:27" ht="16" x14ac:dyDescent="0.2">
      <c r="A400" s="3" t="s">
        <v>1310</v>
      </c>
      <c r="B400" s="2" t="s">
        <v>1311</v>
      </c>
      <c r="C400" s="8">
        <v>8143</v>
      </c>
      <c r="D400" s="6">
        <v>1922</v>
      </c>
      <c r="E400" s="6">
        <v>1920</v>
      </c>
      <c r="F400" s="2">
        <v>0</v>
      </c>
      <c r="G400" s="2">
        <v>0</v>
      </c>
      <c r="H400" s="3" t="s">
        <v>27</v>
      </c>
      <c r="I400" s="3" t="s">
        <v>1312</v>
      </c>
      <c r="J400" s="21" t="s">
        <v>1313</v>
      </c>
      <c r="K400" s="21" t="s">
        <v>1314</v>
      </c>
      <c r="L400" s="10">
        <v>5402</v>
      </c>
      <c r="M400" s="4">
        <v>91</v>
      </c>
      <c r="N400" s="2">
        <v>63</v>
      </c>
      <c r="O400" s="2">
        <v>4</v>
      </c>
      <c r="P400" s="2">
        <v>1</v>
      </c>
      <c r="Q400" s="2">
        <v>1</v>
      </c>
      <c r="R400" s="2">
        <v>1</v>
      </c>
      <c r="S400" s="11">
        <v>1</v>
      </c>
      <c r="T400" s="11">
        <v>0</v>
      </c>
      <c r="U400" s="11">
        <v>0</v>
      </c>
      <c r="V400" s="2">
        <v>0</v>
      </c>
      <c r="W400" s="2">
        <v>1</v>
      </c>
      <c r="X400" s="2">
        <v>1</v>
      </c>
      <c r="Y400" s="2">
        <v>1</v>
      </c>
      <c r="Z400" s="26" t="s">
        <v>5167</v>
      </c>
      <c r="AA400" s="31">
        <v>1922.08</v>
      </c>
    </row>
    <row r="401" spans="1:27" ht="16" x14ac:dyDescent="0.2">
      <c r="A401" s="3" t="s">
        <v>1305</v>
      </c>
      <c r="B401" s="2" t="s">
        <v>1306</v>
      </c>
      <c r="C401" s="8">
        <v>8157</v>
      </c>
      <c r="D401" s="6">
        <v>1922</v>
      </c>
      <c r="E401" s="6">
        <v>1920</v>
      </c>
      <c r="F401" s="2">
        <v>0</v>
      </c>
      <c r="G401" s="2">
        <v>0</v>
      </c>
      <c r="H401" s="3" t="s">
        <v>27</v>
      </c>
      <c r="I401" s="3" t="s">
        <v>1307</v>
      </c>
      <c r="J401" s="22" t="s">
        <v>1308</v>
      </c>
      <c r="K401" s="21" t="s">
        <v>1309</v>
      </c>
      <c r="L401" s="10">
        <v>7898</v>
      </c>
      <c r="M401" s="4">
        <v>9</v>
      </c>
      <c r="N401" s="2">
        <v>67</v>
      </c>
      <c r="O401" s="2">
        <v>4</v>
      </c>
      <c r="P401" s="2">
        <v>1</v>
      </c>
      <c r="Q401" s="2">
        <v>1</v>
      </c>
      <c r="R401" s="2">
        <v>1</v>
      </c>
      <c r="S401" s="11">
        <v>1</v>
      </c>
      <c r="T401" s="11">
        <v>0</v>
      </c>
      <c r="U401" s="11">
        <v>0</v>
      </c>
      <c r="V401" s="2">
        <v>0</v>
      </c>
      <c r="W401" s="2">
        <v>1</v>
      </c>
      <c r="X401" s="2">
        <v>1</v>
      </c>
      <c r="Y401" s="2">
        <v>0</v>
      </c>
      <c r="Z401" s="26" t="s">
        <v>5167</v>
      </c>
      <c r="AA401" s="31">
        <v>1922.09</v>
      </c>
    </row>
    <row r="402" spans="1:27" ht="16" x14ac:dyDescent="0.2">
      <c r="A402" s="3" t="s">
        <v>1291</v>
      </c>
      <c r="B402" s="2" t="s">
        <v>1292</v>
      </c>
      <c r="C402" s="8">
        <v>8171</v>
      </c>
      <c r="D402" s="6">
        <v>1922</v>
      </c>
      <c r="E402" s="6">
        <v>1920</v>
      </c>
      <c r="F402" s="2">
        <v>0</v>
      </c>
      <c r="G402" s="2">
        <v>0</v>
      </c>
      <c r="H402" s="3" t="s">
        <v>27</v>
      </c>
      <c r="I402" s="3" t="s">
        <v>1293</v>
      </c>
      <c r="J402" s="3" t="s">
        <v>4680</v>
      </c>
      <c r="K402" s="3" t="s">
        <v>4681</v>
      </c>
      <c r="L402" s="10">
        <v>6272</v>
      </c>
      <c r="M402" s="4">
        <v>62</v>
      </c>
      <c r="N402" s="2">
        <v>64</v>
      </c>
      <c r="O402" s="2">
        <v>4</v>
      </c>
      <c r="P402" s="2">
        <v>5</v>
      </c>
      <c r="Q402" s="2">
        <v>0</v>
      </c>
      <c r="R402" s="2">
        <v>0</v>
      </c>
      <c r="S402" s="11">
        <v>0</v>
      </c>
      <c r="T402" s="11">
        <v>0</v>
      </c>
      <c r="U402" s="11">
        <v>0</v>
      </c>
      <c r="V402" s="2">
        <v>0</v>
      </c>
      <c r="W402" s="2">
        <v>1</v>
      </c>
      <c r="X402" s="2">
        <v>0</v>
      </c>
      <c r="Y402" s="2">
        <v>1</v>
      </c>
      <c r="Z402" s="26" t="s">
        <v>5167</v>
      </c>
      <c r="AA402" s="31">
        <v>1922.1</v>
      </c>
    </row>
    <row r="403" spans="1:27" ht="16" x14ac:dyDescent="0.2">
      <c r="A403" s="3" t="s">
        <v>3748</v>
      </c>
      <c r="B403" s="2" t="s">
        <v>3749</v>
      </c>
      <c r="C403" s="8">
        <v>8171</v>
      </c>
      <c r="D403" s="6">
        <v>1922</v>
      </c>
      <c r="E403" s="6">
        <v>1920</v>
      </c>
      <c r="F403" s="2">
        <v>2</v>
      </c>
      <c r="G403" s="2">
        <v>1</v>
      </c>
      <c r="H403" s="3" t="s">
        <v>3434</v>
      </c>
      <c r="I403" s="3" t="s">
        <v>3750</v>
      </c>
      <c r="J403" s="21" t="s">
        <v>1338</v>
      </c>
      <c r="K403" s="21" t="s">
        <v>1339</v>
      </c>
      <c r="L403" s="10">
        <v>6995</v>
      </c>
      <c r="M403" s="4">
        <v>38</v>
      </c>
      <c r="N403" s="2">
        <v>65</v>
      </c>
      <c r="O403" s="2">
        <v>4</v>
      </c>
      <c r="P403" s="2">
        <v>5</v>
      </c>
      <c r="Q403" s="2">
        <v>0</v>
      </c>
      <c r="R403" s="2">
        <v>0</v>
      </c>
      <c r="S403" s="11">
        <v>1</v>
      </c>
      <c r="T403" s="11">
        <v>0</v>
      </c>
      <c r="U403" s="11">
        <v>0</v>
      </c>
      <c r="V403" s="2">
        <v>1</v>
      </c>
      <c r="W403" s="2">
        <v>1</v>
      </c>
      <c r="X403" s="2">
        <v>1</v>
      </c>
      <c r="Y403" s="2">
        <v>1</v>
      </c>
      <c r="Z403" s="26" t="s">
        <v>5167</v>
      </c>
      <c r="AA403" s="31">
        <v>1922.11</v>
      </c>
    </row>
    <row r="404" spans="1:27" ht="16" x14ac:dyDescent="0.2">
      <c r="A404" s="3" t="s">
        <v>3758</v>
      </c>
      <c r="B404" s="2" t="s">
        <v>3759</v>
      </c>
      <c r="C404" s="8">
        <v>8185</v>
      </c>
      <c r="D404" s="6">
        <v>1922</v>
      </c>
      <c r="E404" s="6">
        <v>1920</v>
      </c>
      <c r="F404" s="2">
        <v>1</v>
      </c>
      <c r="G404" s="2">
        <v>1</v>
      </c>
      <c r="H404" s="3" t="s">
        <v>3442</v>
      </c>
      <c r="I404" s="3" t="s">
        <v>5076</v>
      </c>
      <c r="J404" s="21" t="s">
        <v>3760</v>
      </c>
      <c r="K404" s="21" t="s">
        <v>1555</v>
      </c>
      <c r="L404" s="10">
        <v>6246</v>
      </c>
      <c r="M404" s="4">
        <f>60+3</f>
        <v>63</v>
      </c>
      <c r="N404" s="2">
        <v>64</v>
      </c>
      <c r="O404" s="2">
        <v>1</v>
      </c>
      <c r="Q404" s="2">
        <v>1</v>
      </c>
      <c r="R404" s="2">
        <v>1</v>
      </c>
      <c r="S404" s="11">
        <v>1</v>
      </c>
      <c r="T404" s="11">
        <v>1</v>
      </c>
      <c r="U404" s="11">
        <v>1</v>
      </c>
      <c r="V404" s="2">
        <v>0</v>
      </c>
      <c r="W404" s="2">
        <v>1</v>
      </c>
      <c r="X404" s="2">
        <v>0</v>
      </c>
      <c r="Y404" s="2">
        <v>1</v>
      </c>
      <c r="Z404" s="26" t="s">
        <v>5167</v>
      </c>
      <c r="AA404" s="31">
        <v>1922.12</v>
      </c>
    </row>
    <row r="405" spans="1:27" ht="16" x14ac:dyDescent="0.2">
      <c r="A405" s="3" t="s">
        <v>3761</v>
      </c>
      <c r="B405" s="2" t="s">
        <v>3762</v>
      </c>
      <c r="C405" s="8">
        <v>8192</v>
      </c>
      <c r="D405" s="6">
        <v>1922</v>
      </c>
      <c r="E405" s="6">
        <v>1920</v>
      </c>
      <c r="F405" s="2">
        <v>1</v>
      </c>
      <c r="G405" s="2">
        <v>1</v>
      </c>
      <c r="H405" s="3" t="s">
        <v>3442</v>
      </c>
      <c r="I405" s="3" t="s">
        <v>779</v>
      </c>
      <c r="J405" s="3" t="s">
        <v>1535</v>
      </c>
      <c r="K405" s="15"/>
      <c r="L405" s="10" t="s">
        <v>780</v>
      </c>
      <c r="M405" s="4">
        <v>383</v>
      </c>
      <c r="N405" s="2">
        <v>51</v>
      </c>
      <c r="O405" s="2">
        <v>4</v>
      </c>
      <c r="Q405" s="2">
        <v>1</v>
      </c>
      <c r="R405" s="2">
        <v>1</v>
      </c>
      <c r="S405" s="11">
        <v>0</v>
      </c>
      <c r="T405" s="11">
        <v>0</v>
      </c>
      <c r="U405" s="11">
        <v>1</v>
      </c>
      <c r="V405" s="2">
        <v>0</v>
      </c>
      <c r="W405" s="2">
        <v>0</v>
      </c>
      <c r="X405" s="2">
        <v>0</v>
      </c>
      <c r="Y405" s="2">
        <v>0</v>
      </c>
      <c r="Z405" s="26" t="s">
        <v>5167</v>
      </c>
      <c r="AA405" s="31">
        <v>1922.13</v>
      </c>
    </row>
    <row r="406" spans="1:27" ht="16" x14ac:dyDescent="0.2">
      <c r="A406" s="3" t="s">
        <v>3751</v>
      </c>
      <c r="B406" s="2" t="s">
        <v>3752</v>
      </c>
      <c r="C406" s="8">
        <v>8171</v>
      </c>
      <c r="D406" s="6">
        <v>1922</v>
      </c>
      <c r="E406" s="6">
        <v>1920</v>
      </c>
      <c r="F406" s="2">
        <v>2</v>
      </c>
      <c r="G406" s="2">
        <v>1</v>
      </c>
      <c r="H406" s="3" t="s">
        <v>3434</v>
      </c>
      <c r="I406" s="3" t="s">
        <v>3753</v>
      </c>
      <c r="J406" s="21" t="s">
        <v>3754</v>
      </c>
      <c r="K406" s="21" t="s">
        <v>3755</v>
      </c>
      <c r="L406" s="10">
        <v>7907</v>
      </c>
      <c r="M406" s="4">
        <v>8</v>
      </c>
      <c r="N406" s="2">
        <v>67</v>
      </c>
      <c r="O406" s="2">
        <v>4</v>
      </c>
      <c r="P406" s="2">
        <v>5</v>
      </c>
      <c r="Q406" s="2">
        <v>1</v>
      </c>
      <c r="R406" s="2">
        <v>1</v>
      </c>
      <c r="S406" s="11">
        <v>1</v>
      </c>
      <c r="T406" s="11">
        <v>0</v>
      </c>
      <c r="U406" s="11">
        <v>1</v>
      </c>
      <c r="V406" s="2">
        <v>1</v>
      </c>
      <c r="W406" s="2">
        <v>1</v>
      </c>
      <c r="X406" s="2">
        <v>0</v>
      </c>
      <c r="Y406" s="2">
        <v>0</v>
      </c>
      <c r="Z406" s="26" t="s">
        <v>5167</v>
      </c>
      <c r="AA406" s="31">
        <v>1922.14</v>
      </c>
    </row>
    <row r="407" spans="1:27" ht="16" x14ac:dyDescent="0.2">
      <c r="A407" s="3" t="s">
        <v>3756</v>
      </c>
      <c r="B407" s="2" t="s">
        <v>3757</v>
      </c>
      <c r="C407" s="8">
        <v>8192</v>
      </c>
      <c r="D407" s="6">
        <v>1922</v>
      </c>
      <c r="E407" s="6">
        <v>1920</v>
      </c>
      <c r="F407" s="2">
        <v>1</v>
      </c>
      <c r="G407" s="2">
        <v>1</v>
      </c>
      <c r="H407" s="3" t="s">
        <v>3442</v>
      </c>
      <c r="I407" s="3" t="s">
        <v>1231</v>
      </c>
      <c r="J407" s="22" t="s">
        <v>1227</v>
      </c>
      <c r="K407" s="21" t="s">
        <v>1228</v>
      </c>
      <c r="L407" s="10">
        <v>7241</v>
      </c>
      <c r="M407" s="4">
        <v>31</v>
      </c>
      <c r="N407" s="2">
        <v>66</v>
      </c>
      <c r="O407" s="2">
        <v>4</v>
      </c>
      <c r="P407" s="2">
        <v>1</v>
      </c>
      <c r="Q407" s="2">
        <v>1</v>
      </c>
      <c r="R407" s="2">
        <v>0</v>
      </c>
      <c r="S407" s="11">
        <v>1</v>
      </c>
      <c r="T407" s="11">
        <v>0</v>
      </c>
      <c r="U407" s="11">
        <v>1</v>
      </c>
      <c r="V407" s="2">
        <v>0</v>
      </c>
      <c r="W407" s="2">
        <v>1</v>
      </c>
      <c r="X407" s="2">
        <v>2</v>
      </c>
      <c r="Y407" s="2">
        <v>0</v>
      </c>
      <c r="Z407" s="26" t="s">
        <v>5167</v>
      </c>
      <c r="AA407" s="31">
        <v>1922.15</v>
      </c>
    </row>
    <row r="408" spans="1:27" ht="16" x14ac:dyDescent="0.2">
      <c r="A408" s="3" t="s">
        <v>1331</v>
      </c>
      <c r="B408" s="2" t="s">
        <v>1332</v>
      </c>
      <c r="C408" s="8">
        <v>8403</v>
      </c>
      <c r="D408" s="6">
        <v>1923</v>
      </c>
      <c r="E408" s="6">
        <v>1920</v>
      </c>
      <c r="F408" s="2">
        <v>0</v>
      </c>
      <c r="G408" s="2">
        <v>0</v>
      </c>
      <c r="H408" s="3" t="s">
        <v>27</v>
      </c>
      <c r="I408" s="3" t="s">
        <v>1333</v>
      </c>
      <c r="J408" s="3" t="s">
        <v>4682</v>
      </c>
      <c r="K408" s="15"/>
      <c r="L408" s="4" t="s">
        <v>1334</v>
      </c>
      <c r="M408" s="4">
        <v>535</v>
      </c>
      <c r="N408" s="2">
        <v>45</v>
      </c>
      <c r="O408" s="2">
        <v>1</v>
      </c>
      <c r="Q408" s="2">
        <v>0</v>
      </c>
      <c r="R408" s="2">
        <v>0</v>
      </c>
      <c r="S408" s="11">
        <v>0</v>
      </c>
      <c r="T408" s="11">
        <v>0</v>
      </c>
      <c r="U408" s="11">
        <v>0</v>
      </c>
      <c r="V408" s="2">
        <v>0</v>
      </c>
      <c r="W408" s="2">
        <v>0</v>
      </c>
      <c r="X408" s="2">
        <v>0</v>
      </c>
      <c r="Y408" s="2">
        <v>1</v>
      </c>
      <c r="Z408" s="26" t="s">
        <v>5167</v>
      </c>
      <c r="AA408" s="31">
        <v>1923.01</v>
      </c>
    </row>
    <row r="409" spans="1:27" ht="16" x14ac:dyDescent="0.2">
      <c r="A409" s="3" t="s">
        <v>1323</v>
      </c>
      <c r="B409" s="2" t="s">
        <v>1324</v>
      </c>
      <c r="C409" s="8">
        <v>8451</v>
      </c>
      <c r="D409" s="6">
        <v>1923</v>
      </c>
      <c r="E409" s="6">
        <v>1920</v>
      </c>
      <c r="F409" s="2">
        <v>0</v>
      </c>
      <c r="G409" s="2">
        <v>0</v>
      </c>
      <c r="H409" s="3" t="s">
        <v>27</v>
      </c>
      <c r="I409" s="3" t="s">
        <v>1302</v>
      </c>
      <c r="J409" s="21" t="s">
        <v>1303</v>
      </c>
      <c r="K409" s="21" t="s">
        <v>1304</v>
      </c>
      <c r="L409" s="10">
        <v>7364</v>
      </c>
      <c r="M409" s="4">
        <v>36</v>
      </c>
      <c r="N409" s="2">
        <v>66</v>
      </c>
      <c r="O409" s="2">
        <v>4</v>
      </c>
      <c r="P409" s="2">
        <v>1</v>
      </c>
      <c r="Q409" s="2">
        <v>1</v>
      </c>
      <c r="R409" s="2">
        <v>1</v>
      </c>
      <c r="S409" s="11">
        <v>1</v>
      </c>
      <c r="T409" s="11">
        <v>0</v>
      </c>
      <c r="U409" s="11">
        <v>0</v>
      </c>
      <c r="V409" s="2">
        <v>0</v>
      </c>
      <c r="W409" s="2">
        <v>1</v>
      </c>
      <c r="X409" s="2">
        <v>0</v>
      </c>
      <c r="Y409" s="2">
        <v>0</v>
      </c>
      <c r="Z409" s="26" t="s">
        <v>5167</v>
      </c>
      <c r="AA409" s="31">
        <v>1923.02</v>
      </c>
    </row>
    <row r="410" spans="1:27" ht="16" x14ac:dyDescent="0.2">
      <c r="A410" s="3" t="s">
        <v>3775</v>
      </c>
      <c r="B410" s="2" t="s">
        <v>3776</v>
      </c>
      <c r="C410" s="8">
        <v>8500</v>
      </c>
      <c r="D410" s="6">
        <v>1923</v>
      </c>
      <c r="E410" s="6">
        <v>1920</v>
      </c>
      <c r="F410" s="2">
        <v>2</v>
      </c>
      <c r="G410" s="2">
        <v>1</v>
      </c>
      <c r="H410" s="3" t="s">
        <v>3434</v>
      </c>
      <c r="I410" s="3" t="s">
        <v>1253</v>
      </c>
      <c r="J410" s="21" t="s">
        <v>1254</v>
      </c>
      <c r="K410" s="21" t="s">
        <v>1255</v>
      </c>
      <c r="L410" s="10">
        <v>4812</v>
      </c>
      <c r="M410" s="4">
        <v>121</v>
      </c>
      <c r="N410" s="2">
        <v>62</v>
      </c>
      <c r="O410" s="2">
        <v>6</v>
      </c>
      <c r="Q410" s="2">
        <v>0</v>
      </c>
      <c r="R410" s="2">
        <v>0</v>
      </c>
      <c r="S410" s="11">
        <v>0</v>
      </c>
      <c r="T410" s="11">
        <v>0</v>
      </c>
      <c r="U410" s="11">
        <v>0</v>
      </c>
      <c r="V410" s="2">
        <v>1</v>
      </c>
      <c r="W410" s="2">
        <v>1</v>
      </c>
      <c r="X410" s="2">
        <v>0</v>
      </c>
      <c r="Y410" s="2">
        <v>1</v>
      </c>
      <c r="Z410" s="26" t="s">
        <v>5167</v>
      </c>
      <c r="AA410" s="31">
        <v>1923.03</v>
      </c>
    </row>
    <row r="411" spans="1:27" ht="16" x14ac:dyDescent="0.2">
      <c r="A411" s="3" t="s">
        <v>1325</v>
      </c>
      <c r="B411" s="2" t="s">
        <v>1326</v>
      </c>
      <c r="C411" s="8">
        <v>8500</v>
      </c>
      <c r="D411" s="6">
        <v>1923</v>
      </c>
      <c r="E411" s="6">
        <v>1920</v>
      </c>
      <c r="F411" s="2">
        <v>0</v>
      </c>
      <c r="G411" s="2">
        <v>0</v>
      </c>
      <c r="H411" s="3" t="s">
        <v>27</v>
      </c>
      <c r="I411" s="3" t="s">
        <v>5095</v>
      </c>
      <c r="J411" s="3" t="s">
        <v>1327</v>
      </c>
      <c r="K411" s="21" t="s">
        <v>1328</v>
      </c>
      <c r="L411" s="10">
        <v>6376</v>
      </c>
      <c r="M411" s="4">
        <f>60+10</f>
        <v>70</v>
      </c>
      <c r="N411" s="2">
        <v>65</v>
      </c>
      <c r="O411" s="2">
        <v>4</v>
      </c>
      <c r="Q411" s="2">
        <v>0</v>
      </c>
      <c r="R411" s="2">
        <v>0</v>
      </c>
      <c r="S411" s="11">
        <v>1</v>
      </c>
      <c r="T411" s="11">
        <v>0</v>
      </c>
      <c r="U411" s="11">
        <v>0</v>
      </c>
      <c r="V411" s="2">
        <v>0</v>
      </c>
      <c r="W411" s="2">
        <v>1</v>
      </c>
      <c r="X411" s="2">
        <v>0</v>
      </c>
      <c r="Y411" s="2">
        <v>1</v>
      </c>
      <c r="Z411" s="26" t="s">
        <v>5167</v>
      </c>
      <c r="AA411" s="31">
        <v>1923.04</v>
      </c>
    </row>
    <row r="412" spans="1:27" ht="16" x14ac:dyDescent="0.2">
      <c r="A412" s="3" t="s">
        <v>3770</v>
      </c>
      <c r="B412" s="2" t="s">
        <v>3771</v>
      </c>
      <c r="C412" s="8">
        <v>8500</v>
      </c>
      <c r="D412" s="6">
        <v>1923</v>
      </c>
      <c r="E412" s="6">
        <v>1920</v>
      </c>
      <c r="F412" s="2">
        <v>2</v>
      </c>
      <c r="G412" s="2">
        <v>1</v>
      </c>
      <c r="H412" s="3" t="s">
        <v>3434</v>
      </c>
      <c r="I412" s="3" t="s">
        <v>3772</v>
      </c>
      <c r="J412" s="21" t="s">
        <v>3773</v>
      </c>
      <c r="K412" s="21" t="s">
        <v>3774</v>
      </c>
      <c r="L412" s="10">
        <v>6837</v>
      </c>
      <c r="M412" s="4">
        <v>54</v>
      </c>
      <c r="N412" s="2">
        <v>65</v>
      </c>
      <c r="O412" s="2">
        <v>2</v>
      </c>
      <c r="Q412" s="2">
        <v>0</v>
      </c>
      <c r="R412" s="2">
        <v>0</v>
      </c>
      <c r="S412" s="11">
        <v>0</v>
      </c>
      <c r="T412" s="11">
        <v>0</v>
      </c>
      <c r="U412" s="11">
        <v>0</v>
      </c>
      <c r="V412" s="2">
        <v>1</v>
      </c>
      <c r="W412" s="2">
        <v>1</v>
      </c>
      <c r="X412" s="2">
        <v>3</v>
      </c>
      <c r="Y412" s="2">
        <v>1</v>
      </c>
      <c r="Z412" s="26" t="s">
        <v>5167</v>
      </c>
      <c r="AA412" s="31">
        <v>1923.05</v>
      </c>
    </row>
    <row r="413" spans="1:27" ht="16" x14ac:dyDescent="0.2">
      <c r="A413" s="3" t="s">
        <v>1329</v>
      </c>
      <c r="B413" s="2" t="s">
        <v>1330</v>
      </c>
      <c r="C413" s="8">
        <v>8451</v>
      </c>
      <c r="D413" s="6">
        <v>1923</v>
      </c>
      <c r="E413" s="6">
        <v>1920</v>
      </c>
      <c r="F413" s="2">
        <v>0</v>
      </c>
      <c r="G413" s="2">
        <v>0</v>
      </c>
      <c r="H413" s="3" t="s">
        <v>27</v>
      </c>
      <c r="I413" s="3" t="s">
        <v>1302</v>
      </c>
      <c r="J413" s="21" t="s">
        <v>1303</v>
      </c>
      <c r="K413" s="21" t="s">
        <v>1304</v>
      </c>
      <c r="L413" s="10">
        <v>7364</v>
      </c>
      <c r="M413" s="4">
        <v>36</v>
      </c>
      <c r="N413" s="2">
        <v>66</v>
      </c>
      <c r="O413" s="2">
        <v>4</v>
      </c>
      <c r="Q413" s="2">
        <v>1</v>
      </c>
      <c r="R413" s="2">
        <v>0</v>
      </c>
      <c r="S413" s="11">
        <v>1</v>
      </c>
      <c r="T413" s="11">
        <v>0</v>
      </c>
      <c r="U413" s="11">
        <v>0</v>
      </c>
      <c r="V413" s="2">
        <v>0</v>
      </c>
      <c r="W413" s="2">
        <v>1</v>
      </c>
      <c r="X413" s="2">
        <v>0</v>
      </c>
      <c r="Y413" s="2">
        <v>0</v>
      </c>
      <c r="Z413" s="26" t="s">
        <v>5167</v>
      </c>
      <c r="AA413" s="31">
        <v>1923.06</v>
      </c>
    </row>
    <row r="414" spans="1:27" ht="16" x14ac:dyDescent="0.2">
      <c r="A414" s="3" t="s">
        <v>1317</v>
      </c>
      <c r="B414" s="2" t="s">
        <v>1318</v>
      </c>
      <c r="C414" s="8">
        <v>8507</v>
      </c>
      <c r="D414" s="6">
        <v>1923</v>
      </c>
      <c r="E414" s="6">
        <v>1920</v>
      </c>
      <c r="F414" s="2">
        <v>0</v>
      </c>
      <c r="G414" s="2">
        <v>0</v>
      </c>
      <c r="H414" s="3" t="s">
        <v>27</v>
      </c>
      <c r="I414" s="3" t="s">
        <v>1319</v>
      </c>
      <c r="J414" s="3" t="s">
        <v>4683</v>
      </c>
      <c r="K414" s="3" t="s">
        <v>4684</v>
      </c>
      <c r="L414" s="10">
        <v>8300</v>
      </c>
      <c r="M414" s="4">
        <v>7</v>
      </c>
      <c r="N414" s="2">
        <v>67</v>
      </c>
      <c r="O414" s="2">
        <v>4</v>
      </c>
      <c r="P414" s="2">
        <v>1</v>
      </c>
      <c r="Q414" s="2">
        <v>1</v>
      </c>
      <c r="R414" s="2">
        <v>1</v>
      </c>
      <c r="S414" s="11">
        <v>1</v>
      </c>
      <c r="T414" s="11">
        <v>0</v>
      </c>
      <c r="U414" s="11">
        <v>0</v>
      </c>
      <c r="V414" s="2">
        <v>0</v>
      </c>
      <c r="W414" s="2">
        <v>1</v>
      </c>
      <c r="X414" s="2">
        <v>2</v>
      </c>
      <c r="Y414" s="2">
        <v>0</v>
      </c>
      <c r="Z414" s="26" t="s">
        <v>5167</v>
      </c>
      <c r="AA414" s="31">
        <v>1923.07</v>
      </c>
    </row>
    <row r="415" spans="1:27" ht="16" x14ac:dyDescent="0.2">
      <c r="A415" s="3" t="s">
        <v>3767</v>
      </c>
      <c r="B415" s="2" t="s">
        <v>3768</v>
      </c>
      <c r="C415" s="8">
        <v>8514</v>
      </c>
      <c r="D415" s="2">
        <v>1923</v>
      </c>
      <c r="E415" s="2">
        <v>1920</v>
      </c>
      <c r="F415" s="2">
        <v>1</v>
      </c>
      <c r="G415" s="2">
        <v>1</v>
      </c>
      <c r="H415" s="3" t="s">
        <v>3442</v>
      </c>
      <c r="I415" s="3" t="s">
        <v>1262</v>
      </c>
      <c r="J415" s="3" t="s">
        <v>3769</v>
      </c>
      <c r="K415" s="21" t="s">
        <v>1152</v>
      </c>
      <c r="L415" s="10">
        <v>6486</v>
      </c>
      <c r="M415" s="4">
        <f>9+(12*5)</f>
        <v>69</v>
      </c>
      <c r="N415" s="2">
        <v>65</v>
      </c>
      <c r="O415" s="2">
        <v>4</v>
      </c>
      <c r="Q415" s="2">
        <v>1</v>
      </c>
      <c r="R415" s="2">
        <v>0</v>
      </c>
      <c r="S415" s="2">
        <v>1</v>
      </c>
      <c r="T415" s="2">
        <v>0</v>
      </c>
      <c r="U415" s="2">
        <v>1</v>
      </c>
      <c r="V415" s="2">
        <v>0</v>
      </c>
      <c r="W415" s="2">
        <v>1</v>
      </c>
      <c r="X415" s="2">
        <v>0</v>
      </c>
      <c r="Y415" s="2">
        <v>1</v>
      </c>
      <c r="Z415" s="26" t="s">
        <v>5167</v>
      </c>
      <c r="AA415" s="31">
        <v>1923.08</v>
      </c>
    </row>
    <row r="416" spans="1:27" ht="16" x14ac:dyDescent="0.2">
      <c r="A416" s="3" t="s">
        <v>1320</v>
      </c>
      <c r="B416" s="2" t="s">
        <v>1321</v>
      </c>
      <c r="C416" s="8">
        <v>8717</v>
      </c>
      <c r="D416" s="6">
        <v>1923</v>
      </c>
      <c r="E416" s="6">
        <v>1920</v>
      </c>
      <c r="F416" s="2">
        <v>0</v>
      </c>
      <c r="G416" s="2">
        <v>0</v>
      </c>
      <c r="H416" s="3" t="s">
        <v>27</v>
      </c>
      <c r="I416" s="3" t="s">
        <v>1322</v>
      </c>
      <c r="J416" s="3" t="s">
        <v>4685</v>
      </c>
      <c r="K416" s="3" t="s">
        <v>4686</v>
      </c>
      <c r="L416" s="10">
        <v>7734</v>
      </c>
      <c r="M416" s="4">
        <v>32</v>
      </c>
      <c r="N416" s="2">
        <v>66</v>
      </c>
      <c r="O416" s="2">
        <v>4</v>
      </c>
      <c r="P416" s="2">
        <v>1</v>
      </c>
      <c r="Q416" s="2">
        <v>0</v>
      </c>
      <c r="R416" s="2">
        <v>0</v>
      </c>
      <c r="S416" s="11">
        <v>1</v>
      </c>
      <c r="T416" s="11">
        <v>0</v>
      </c>
      <c r="U416" s="11">
        <v>0</v>
      </c>
      <c r="V416" s="2">
        <v>0</v>
      </c>
      <c r="W416" s="2">
        <v>1</v>
      </c>
      <c r="X416" s="2">
        <v>0</v>
      </c>
      <c r="Y416" s="2">
        <v>0</v>
      </c>
      <c r="Z416" s="26" t="s">
        <v>5167</v>
      </c>
      <c r="AA416" s="31">
        <v>1923.09</v>
      </c>
    </row>
    <row r="417" spans="1:27" ht="16" x14ac:dyDescent="0.2">
      <c r="A417" s="3" t="s">
        <v>1345</v>
      </c>
      <c r="B417" s="2" t="s">
        <v>1346</v>
      </c>
      <c r="C417" s="8">
        <v>8773</v>
      </c>
      <c r="D417" s="6">
        <v>1924</v>
      </c>
      <c r="E417" s="6">
        <v>1920</v>
      </c>
      <c r="F417" s="2">
        <v>0</v>
      </c>
      <c r="G417" s="2">
        <v>0</v>
      </c>
      <c r="H417" s="3" t="s">
        <v>27</v>
      </c>
      <c r="I417" s="3" t="s">
        <v>1302</v>
      </c>
      <c r="J417" s="21" t="s">
        <v>1303</v>
      </c>
      <c r="K417" s="21" t="s">
        <v>1304</v>
      </c>
      <c r="L417" s="10">
        <v>7364</v>
      </c>
      <c r="M417" s="4">
        <v>46</v>
      </c>
      <c r="N417" s="2">
        <v>66</v>
      </c>
      <c r="O417" s="2">
        <v>4</v>
      </c>
      <c r="P417" s="2">
        <v>1</v>
      </c>
      <c r="Q417" s="2">
        <v>1</v>
      </c>
      <c r="R417" s="2">
        <v>1</v>
      </c>
      <c r="S417" s="11">
        <v>0</v>
      </c>
      <c r="T417" s="11">
        <v>0</v>
      </c>
      <c r="U417" s="11">
        <v>0</v>
      </c>
      <c r="V417" s="2">
        <v>0</v>
      </c>
      <c r="W417" s="2">
        <v>1</v>
      </c>
      <c r="X417" s="2">
        <v>0</v>
      </c>
      <c r="Y417" s="2">
        <v>0</v>
      </c>
      <c r="Z417" s="26" t="s">
        <v>5167</v>
      </c>
      <c r="AA417" s="31">
        <v>1924.01</v>
      </c>
    </row>
    <row r="418" spans="1:27" ht="16" x14ac:dyDescent="0.2">
      <c r="A418" s="3" t="s">
        <v>3785</v>
      </c>
      <c r="B418" s="2" t="s">
        <v>3786</v>
      </c>
      <c r="C418" s="8">
        <v>8822</v>
      </c>
      <c r="D418" s="6">
        <v>1924</v>
      </c>
      <c r="E418" s="6">
        <v>1920</v>
      </c>
      <c r="F418" s="2">
        <v>1</v>
      </c>
      <c r="G418" s="2">
        <v>1</v>
      </c>
      <c r="H418" s="3" t="s">
        <v>3442</v>
      </c>
      <c r="I418" s="3" t="s">
        <v>3787</v>
      </c>
      <c r="J418" s="3" t="s">
        <v>4687</v>
      </c>
      <c r="K418" s="3" t="s">
        <v>4688</v>
      </c>
      <c r="L418" s="10">
        <v>8197</v>
      </c>
      <c r="M418" s="4">
        <v>21</v>
      </c>
      <c r="N418" s="2">
        <v>67</v>
      </c>
      <c r="O418" s="2">
        <v>5</v>
      </c>
      <c r="P418" s="2">
        <v>6</v>
      </c>
      <c r="Q418" s="2">
        <v>0</v>
      </c>
      <c r="R418" s="2">
        <v>0</v>
      </c>
      <c r="S418" s="11">
        <v>0</v>
      </c>
      <c r="T418" s="11">
        <v>0</v>
      </c>
      <c r="U418" s="11">
        <v>0</v>
      </c>
      <c r="V418" s="2">
        <v>1</v>
      </c>
      <c r="W418" s="2">
        <v>0</v>
      </c>
      <c r="X418" s="2">
        <v>1</v>
      </c>
      <c r="Y418" s="2">
        <v>0</v>
      </c>
      <c r="Z418" s="26" t="s">
        <v>5167</v>
      </c>
      <c r="AA418" s="31" t="s">
        <v>5174</v>
      </c>
    </row>
    <row r="419" spans="1:27" ht="16" x14ac:dyDescent="0.2">
      <c r="A419" s="3" t="s">
        <v>3782</v>
      </c>
      <c r="B419" s="2" t="s">
        <v>3783</v>
      </c>
      <c r="C419" s="8">
        <v>8843</v>
      </c>
      <c r="D419" s="6">
        <v>1924</v>
      </c>
      <c r="E419" s="6">
        <v>1920</v>
      </c>
      <c r="F419" s="2">
        <v>1</v>
      </c>
      <c r="G419" s="2">
        <v>1</v>
      </c>
      <c r="H419" s="3" t="s">
        <v>3442</v>
      </c>
      <c r="I419" s="3" t="s">
        <v>3784</v>
      </c>
      <c r="J419" s="21" t="s">
        <v>1637</v>
      </c>
      <c r="K419" s="21" t="s">
        <v>1638</v>
      </c>
      <c r="L419" s="10">
        <v>5383</v>
      </c>
      <c r="M419" s="4">
        <v>114</v>
      </c>
      <c r="N419" s="2">
        <v>63</v>
      </c>
      <c r="O419" s="2">
        <v>1</v>
      </c>
      <c r="Q419" s="2">
        <v>1</v>
      </c>
      <c r="R419" s="2">
        <v>1</v>
      </c>
      <c r="S419" s="11">
        <v>1</v>
      </c>
      <c r="T419" s="11">
        <v>0</v>
      </c>
      <c r="U419" s="11">
        <v>0</v>
      </c>
      <c r="V419" s="2">
        <v>0</v>
      </c>
      <c r="W419" s="2">
        <v>1</v>
      </c>
      <c r="X419" s="2">
        <v>0</v>
      </c>
      <c r="Y419" s="2">
        <v>1</v>
      </c>
      <c r="Z419" s="26" t="s">
        <v>5167</v>
      </c>
      <c r="AA419" s="31">
        <v>1924.03</v>
      </c>
    </row>
    <row r="420" spans="1:27" ht="16" x14ac:dyDescent="0.2">
      <c r="A420" s="3" t="s">
        <v>1350</v>
      </c>
      <c r="B420" s="2" t="s">
        <v>1351</v>
      </c>
      <c r="C420" s="8">
        <v>8815</v>
      </c>
      <c r="D420" s="6">
        <v>1924</v>
      </c>
      <c r="E420" s="6">
        <v>1920</v>
      </c>
      <c r="F420" s="2">
        <v>0</v>
      </c>
      <c r="G420" s="2">
        <v>0</v>
      </c>
      <c r="H420" s="3" t="s">
        <v>27</v>
      </c>
      <c r="I420" s="3" t="s">
        <v>1352</v>
      </c>
      <c r="J420" s="21" t="s">
        <v>1353</v>
      </c>
      <c r="K420" s="21" t="s">
        <v>1354</v>
      </c>
      <c r="L420" s="10">
        <v>7436</v>
      </c>
      <c r="M420" s="4">
        <v>46</v>
      </c>
      <c r="N420" s="2">
        <v>66</v>
      </c>
      <c r="O420" s="2">
        <v>1</v>
      </c>
      <c r="P420" s="2">
        <v>6</v>
      </c>
      <c r="Q420" s="2">
        <v>0</v>
      </c>
      <c r="R420" s="2">
        <v>0</v>
      </c>
      <c r="S420" s="11">
        <v>1</v>
      </c>
      <c r="T420" s="11">
        <v>0</v>
      </c>
      <c r="U420" s="11">
        <v>1</v>
      </c>
      <c r="V420" s="2">
        <v>0</v>
      </c>
      <c r="W420" s="2">
        <v>1</v>
      </c>
      <c r="X420" s="2">
        <v>0</v>
      </c>
      <c r="Y420" s="2">
        <v>0</v>
      </c>
      <c r="Z420" s="26" t="s">
        <v>5167</v>
      </c>
      <c r="AA420" s="31">
        <v>1924.04</v>
      </c>
    </row>
    <row r="421" spans="1:27" ht="16" x14ac:dyDescent="0.2">
      <c r="A421" s="3" t="s">
        <v>1359</v>
      </c>
      <c r="B421" s="2" t="s">
        <v>1360</v>
      </c>
      <c r="C421" s="8">
        <v>8864</v>
      </c>
      <c r="D421" s="6">
        <v>1924</v>
      </c>
      <c r="E421" s="6">
        <v>1920</v>
      </c>
      <c r="F421" s="2">
        <v>0</v>
      </c>
      <c r="G421" s="2">
        <v>0</v>
      </c>
      <c r="H421" s="3" t="s">
        <v>27</v>
      </c>
      <c r="I421" s="3" t="s">
        <v>1361</v>
      </c>
      <c r="J421" s="21" t="s">
        <v>1362</v>
      </c>
      <c r="K421" s="21" t="s">
        <v>1363</v>
      </c>
      <c r="L421" s="10">
        <v>7462</v>
      </c>
      <c r="M421" s="4">
        <v>46</v>
      </c>
      <c r="N421" s="2">
        <v>66</v>
      </c>
      <c r="O421" s="2">
        <v>1</v>
      </c>
      <c r="Q421" s="2">
        <v>1</v>
      </c>
      <c r="R421" s="2">
        <v>0</v>
      </c>
      <c r="S421" s="11">
        <v>0</v>
      </c>
      <c r="T421" s="11">
        <v>0</v>
      </c>
      <c r="U421" s="11">
        <v>0</v>
      </c>
      <c r="V421" s="2">
        <v>0</v>
      </c>
      <c r="W421" s="2">
        <v>0</v>
      </c>
      <c r="X421" s="2">
        <v>0</v>
      </c>
      <c r="Y421" s="2">
        <v>0</v>
      </c>
      <c r="Z421" s="26" t="s">
        <v>5167</v>
      </c>
      <c r="AA421" s="31">
        <v>1924.05</v>
      </c>
    </row>
    <row r="422" spans="1:27" ht="16" x14ac:dyDescent="0.2">
      <c r="A422" s="3" t="s">
        <v>3777</v>
      </c>
      <c r="B422" s="2" t="s">
        <v>3778</v>
      </c>
      <c r="C422" s="8">
        <v>8878</v>
      </c>
      <c r="D422" s="6">
        <v>1924</v>
      </c>
      <c r="E422" s="6">
        <v>1920</v>
      </c>
      <c r="F422" s="2">
        <v>1</v>
      </c>
      <c r="G422" s="2">
        <v>1</v>
      </c>
      <c r="H422" s="3" t="s">
        <v>3442</v>
      </c>
      <c r="I422" s="3" t="s">
        <v>3779</v>
      </c>
      <c r="J422" s="21" t="s">
        <v>3780</v>
      </c>
      <c r="K422" s="21" t="s">
        <v>3781</v>
      </c>
      <c r="L422" s="10">
        <v>8178</v>
      </c>
      <c r="M422" s="4">
        <v>23</v>
      </c>
      <c r="N422" s="2">
        <v>67</v>
      </c>
      <c r="O422" s="2">
        <v>4</v>
      </c>
      <c r="P422" s="2">
        <v>1</v>
      </c>
      <c r="Q422" s="2">
        <v>0</v>
      </c>
      <c r="R422" s="2">
        <v>0</v>
      </c>
      <c r="S422" s="11">
        <v>0</v>
      </c>
      <c r="T422" s="11">
        <v>0</v>
      </c>
      <c r="U422" s="11">
        <v>1</v>
      </c>
      <c r="V422" s="2">
        <v>0</v>
      </c>
      <c r="W422" s="2">
        <v>1</v>
      </c>
      <c r="X422" s="2">
        <v>0</v>
      </c>
      <c r="Y422" s="2">
        <v>0</v>
      </c>
      <c r="Z422" s="26" t="s">
        <v>5167</v>
      </c>
      <c r="AA422" s="31">
        <v>1924.06</v>
      </c>
    </row>
    <row r="423" spans="1:27" ht="16" x14ac:dyDescent="0.2">
      <c r="A423" s="3" t="s">
        <v>1340</v>
      </c>
      <c r="B423" s="2" t="s">
        <v>1341</v>
      </c>
      <c r="C423" s="8">
        <v>8892</v>
      </c>
      <c r="D423" s="6">
        <v>1924</v>
      </c>
      <c r="E423" s="6">
        <v>1920</v>
      </c>
      <c r="F423" s="2">
        <v>0</v>
      </c>
      <c r="G423" s="2">
        <v>0</v>
      </c>
      <c r="H423" s="3" t="s">
        <v>27</v>
      </c>
      <c r="I423" s="3" t="s">
        <v>1342</v>
      </c>
      <c r="J423" s="21" t="s">
        <v>1343</v>
      </c>
      <c r="K423" s="21" t="s">
        <v>1344</v>
      </c>
      <c r="L423" s="10">
        <v>7998</v>
      </c>
      <c r="M423" s="4">
        <v>29</v>
      </c>
      <c r="N423" s="2">
        <v>67</v>
      </c>
      <c r="O423" s="2">
        <v>4</v>
      </c>
      <c r="P423" s="2">
        <v>5</v>
      </c>
      <c r="Q423" s="2">
        <v>0</v>
      </c>
      <c r="R423" s="2">
        <v>0</v>
      </c>
      <c r="S423" s="11">
        <v>1</v>
      </c>
      <c r="T423" s="11">
        <v>0</v>
      </c>
      <c r="U423" s="11">
        <v>0</v>
      </c>
      <c r="V423" s="2">
        <v>0</v>
      </c>
      <c r="W423" s="2">
        <v>1</v>
      </c>
      <c r="X423" s="2">
        <v>0</v>
      </c>
      <c r="Y423" s="2">
        <v>0</v>
      </c>
      <c r="Z423" s="26" t="s">
        <v>5167</v>
      </c>
      <c r="AA423" s="31">
        <v>1924.07</v>
      </c>
    </row>
    <row r="424" spans="1:27" ht="16" x14ac:dyDescent="0.2">
      <c r="A424" s="3" t="s">
        <v>1347</v>
      </c>
      <c r="B424" s="2" t="s">
        <v>1348</v>
      </c>
      <c r="C424" s="8">
        <v>8927</v>
      </c>
      <c r="D424" s="6">
        <v>1924</v>
      </c>
      <c r="E424" s="6">
        <v>1920</v>
      </c>
      <c r="F424" s="2">
        <v>0</v>
      </c>
      <c r="G424" s="2">
        <v>0</v>
      </c>
      <c r="H424" s="3" t="s">
        <v>27</v>
      </c>
      <c r="I424" s="3" t="s">
        <v>1349</v>
      </c>
      <c r="J424" s="22" t="s">
        <v>1227</v>
      </c>
      <c r="K424" s="21" t="s">
        <v>1228</v>
      </c>
      <c r="L424" s="10">
        <v>7998</v>
      </c>
      <c r="M424" s="4">
        <v>30</v>
      </c>
      <c r="N424" s="2">
        <v>67</v>
      </c>
      <c r="O424" s="2">
        <v>4</v>
      </c>
      <c r="P424" s="2">
        <v>5</v>
      </c>
      <c r="Q424" s="2">
        <v>0</v>
      </c>
      <c r="R424" s="2">
        <v>0</v>
      </c>
      <c r="S424" s="11">
        <v>1</v>
      </c>
      <c r="T424" s="11">
        <v>0</v>
      </c>
      <c r="U424" s="11">
        <v>0</v>
      </c>
      <c r="V424" s="2">
        <v>0</v>
      </c>
      <c r="W424" s="2">
        <v>1</v>
      </c>
      <c r="X424" s="2">
        <v>0</v>
      </c>
      <c r="Y424" s="2">
        <v>0</v>
      </c>
      <c r="Z424" s="26" t="s">
        <v>5167</v>
      </c>
      <c r="AA424" s="31">
        <v>1924.08</v>
      </c>
    </row>
    <row r="425" spans="1:27" ht="16" x14ac:dyDescent="0.2">
      <c r="A425" s="3" t="s">
        <v>1357</v>
      </c>
      <c r="B425" s="2" t="s">
        <v>1358</v>
      </c>
      <c r="C425" s="8">
        <v>9115</v>
      </c>
      <c r="D425" s="6">
        <v>1924</v>
      </c>
      <c r="E425" s="6">
        <v>1920</v>
      </c>
      <c r="F425" s="2">
        <v>0</v>
      </c>
      <c r="G425" s="2">
        <v>0</v>
      </c>
      <c r="H425" s="3" t="s">
        <v>27</v>
      </c>
      <c r="I425" s="3" t="s">
        <v>1342</v>
      </c>
      <c r="J425" s="21" t="s">
        <v>1343</v>
      </c>
      <c r="K425" s="21" t="s">
        <v>1344</v>
      </c>
      <c r="L425" s="10">
        <v>7998</v>
      </c>
      <c r="M425" s="4">
        <v>36</v>
      </c>
      <c r="N425" s="2">
        <v>67</v>
      </c>
      <c r="O425" s="2">
        <v>4</v>
      </c>
      <c r="Q425" s="2">
        <v>0</v>
      </c>
      <c r="R425" s="2">
        <v>0</v>
      </c>
      <c r="S425" s="11">
        <v>1</v>
      </c>
      <c r="T425" s="11">
        <v>0</v>
      </c>
      <c r="U425" s="11">
        <v>0</v>
      </c>
      <c r="V425" s="2">
        <v>0</v>
      </c>
      <c r="W425" s="2">
        <v>1</v>
      </c>
      <c r="X425" s="2">
        <v>0</v>
      </c>
      <c r="Y425" s="2">
        <v>0</v>
      </c>
      <c r="Z425" s="26" t="s">
        <v>5167</v>
      </c>
      <c r="AA425" s="31">
        <v>1924.09</v>
      </c>
    </row>
    <row r="426" spans="1:27" ht="16" x14ac:dyDescent="0.2">
      <c r="A426" s="3" t="s">
        <v>1355</v>
      </c>
      <c r="B426" s="2" t="s">
        <v>1356</v>
      </c>
      <c r="C426" s="8">
        <v>9060</v>
      </c>
      <c r="D426" s="6">
        <v>1924</v>
      </c>
      <c r="E426" s="6">
        <v>1920</v>
      </c>
      <c r="F426" s="2">
        <v>0</v>
      </c>
      <c r="G426" s="2">
        <v>0</v>
      </c>
      <c r="H426" s="3" t="s">
        <v>27</v>
      </c>
      <c r="I426" s="3" t="s">
        <v>1312</v>
      </c>
      <c r="J426" s="21" t="s">
        <v>1313</v>
      </c>
      <c r="K426" s="21" t="s">
        <v>1314</v>
      </c>
      <c r="L426" s="10">
        <v>5402</v>
      </c>
      <c r="M426" s="4">
        <v>121</v>
      </c>
      <c r="N426" s="2">
        <v>63</v>
      </c>
      <c r="O426" s="2">
        <v>4</v>
      </c>
      <c r="P426" s="2">
        <v>1</v>
      </c>
      <c r="Q426" s="2">
        <v>1</v>
      </c>
      <c r="R426" s="2">
        <v>1</v>
      </c>
      <c r="S426" s="11">
        <v>0</v>
      </c>
      <c r="T426" s="11">
        <v>1</v>
      </c>
      <c r="U426" s="11">
        <v>1</v>
      </c>
      <c r="V426" s="2">
        <v>0</v>
      </c>
      <c r="W426" s="2">
        <v>1</v>
      </c>
      <c r="X426" s="2">
        <v>0</v>
      </c>
      <c r="Y426" s="2">
        <v>1</v>
      </c>
      <c r="Z426" s="26" t="s">
        <v>5167</v>
      </c>
      <c r="AA426" s="31">
        <v>1924.1</v>
      </c>
    </row>
    <row r="427" spans="1:27" ht="16" x14ac:dyDescent="0.2">
      <c r="A427" s="3" t="s">
        <v>1335</v>
      </c>
      <c r="B427" s="2" t="s">
        <v>1336</v>
      </c>
      <c r="C427" s="8">
        <v>9116</v>
      </c>
      <c r="D427" s="6">
        <v>1924</v>
      </c>
      <c r="E427" s="6">
        <v>1920</v>
      </c>
      <c r="F427" s="2">
        <v>0</v>
      </c>
      <c r="G427" s="2">
        <v>0</v>
      </c>
      <c r="H427" s="3" t="s">
        <v>27</v>
      </c>
      <c r="I427" s="3" t="s">
        <v>1337</v>
      </c>
      <c r="J427" s="21" t="s">
        <v>1338</v>
      </c>
      <c r="K427" s="21" t="s">
        <v>1339</v>
      </c>
      <c r="L427" s="10">
        <v>6995</v>
      </c>
      <c r="M427" s="4">
        <v>69</v>
      </c>
      <c r="N427" s="2">
        <v>65</v>
      </c>
      <c r="O427" s="2">
        <v>4</v>
      </c>
      <c r="Q427" s="2">
        <v>0</v>
      </c>
      <c r="R427" s="2">
        <v>0</v>
      </c>
      <c r="S427" s="11">
        <v>1</v>
      </c>
      <c r="T427" s="11">
        <v>0</v>
      </c>
      <c r="U427" s="11">
        <v>0</v>
      </c>
      <c r="V427" s="2">
        <v>0</v>
      </c>
      <c r="W427" s="2">
        <v>1</v>
      </c>
      <c r="X427" s="2">
        <v>0</v>
      </c>
      <c r="Y427" s="2">
        <v>1</v>
      </c>
      <c r="Z427" s="26" t="s">
        <v>5167</v>
      </c>
      <c r="AA427" s="31">
        <v>1924.11</v>
      </c>
    </row>
    <row r="428" spans="1:27" ht="16" x14ac:dyDescent="0.2">
      <c r="A428" s="3" t="s">
        <v>1371</v>
      </c>
      <c r="B428" s="2" t="s">
        <v>1372</v>
      </c>
      <c r="C428" s="8">
        <v>9193</v>
      </c>
      <c r="D428" s="6">
        <v>1925</v>
      </c>
      <c r="E428" s="6">
        <v>1920</v>
      </c>
      <c r="F428" s="2">
        <v>0</v>
      </c>
      <c r="G428" s="2">
        <v>0</v>
      </c>
      <c r="H428" s="3" t="s">
        <v>27</v>
      </c>
      <c r="I428" s="3" t="s">
        <v>1231</v>
      </c>
      <c r="J428" s="22" t="s">
        <v>1227</v>
      </c>
      <c r="K428" s="21" t="s">
        <v>1228</v>
      </c>
      <c r="L428" s="10">
        <v>7241</v>
      </c>
      <c r="M428" s="4">
        <v>63</v>
      </c>
      <c r="N428" s="2">
        <v>66</v>
      </c>
      <c r="O428" s="2">
        <v>1</v>
      </c>
      <c r="Q428" s="2">
        <v>1</v>
      </c>
      <c r="R428" s="2">
        <v>0</v>
      </c>
      <c r="S428" s="11">
        <v>1</v>
      </c>
      <c r="T428" s="11">
        <v>0</v>
      </c>
      <c r="U428" s="11">
        <v>0</v>
      </c>
      <c r="V428" s="2">
        <v>0</v>
      </c>
      <c r="W428" s="2">
        <v>1</v>
      </c>
      <c r="X428" s="2">
        <v>0</v>
      </c>
      <c r="Y428" s="2">
        <v>0</v>
      </c>
      <c r="Z428" s="26" t="s">
        <v>5167</v>
      </c>
      <c r="AA428" s="31">
        <v>1925.01</v>
      </c>
    </row>
    <row r="429" spans="1:27" ht="16" x14ac:dyDescent="0.2">
      <c r="A429" s="3" t="s">
        <v>1364</v>
      </c>
      <c r="B429" s="2" t="s">
        <v>1365</v>
      </c>
      <c r="C429" s="8">
        <v>9200</v>
      </c>
      <c r="D429" s="6">
        <v>1925</v>
      </c>
      <c r="E429" s="6">
        <v>1920</v>
      </c>
      <c r="F429" s="2">
        <v>0</v>
      </c>
      <c r="G429" s="2">
        <v>0</v>
      </c>
      <c r="H429" s="3" t="s">
        <v>27</v>
      </c>
      <c r="I429" s="3" t="s">
        <v>1366</v>
      </c>
      <c r="J429" s="22" t="s">
        <v>1367</v>
      </c>
      <c r="K429" s="21" t="s">
        <v>1368</v>
      </c>
      <c r="L429" s="10">
        <v>7242</v>
      </c>
      <c r="M429" s="4">
        <v>63</v>
      </c>
      <c r="N429" s="2">
        <v>66</v>
      </c>
      <c r="O429" s="2">
        <v>5</v>
      </c>
      <c r="P429" s="2">
        <v>1</v>
      </c>
      <c r="Q429" s="2">
        <v>0</v>
      </c>
      <c r="R429" s="2">
        <v>0</v>
      </c>
      <c r="S429" s="11">
        <v>1</v>
      </c>
      <c r="T429" s="11">
        <v>0</v>
      </c>
      <c r="U429" s="11">
        <v>0</v>
      </c>
      <c r="V429" s="2">
        <v>0</v>
      </c>
      <c r="W429" s="2">
        <v>1</v>
      </c>
      <c r="X429" s="2">
        <v>0</v>
      </c>
      <c r="Y429" s="2">
        <v>0</v>
      </c>
      <c r="Z429" s="26" t="s">
        <v>5167</v>
      </c>
      <c r="AA429" s="31">
        <v>1925.02</v>
      </c>
    </row>
    <row r="430" spans="1:27" ht="16" x14ac:dyDescent="0.2">
      <c r="A430" s="3" t="s">
        <v>1384</v>
      </c>
      <c r="B430" s="2" t="s">
        <v>1385</v>
      </c>
      <c r="C430" s="8">
        <v>9249</v>
      </c>
      <c r="D430" s="6">
        <v>1925</v>
      </c>
      <c r="E430" s="6">
        <v>1920</v>
      </c>
      <c r="F430" s="2">
        <v>0</v>
      </c>
      <c r="G430" s="2">
        <v>0</v>
      </c>
      <c r="H430" s="3" t="s">
        <v>27</v>
      </c>
      <c r="I430" s="3" t="s">
        <v>1203</v>
      </c>
      <c r="J430" s="21" t="s">
        <v>1204</v>
      </c>
      <c r="K430" s="21" t="s">
        <v>1205</v>
      </c>
      <c r="L430" s="10">
        <v>5131</v>
      </c>
      <c r="M430" s="4">
        <v>135</v>
      </c>
      <c r="N430" s="2">
        <v>63</v>
      </c>
      <c r="O430" s="2">
        <v>1</v>
      </c>
      <c r="Q430" s="2">
        <v>0</v>
      </c>
      <c r="R430" s="2">
        <v>0</v>
      </c>
      <c r="S430" s="11">
        <v>1</v>
      </c>
      <c r="T430" s="11">
        <v>0</v>
      </c>
      <c r="U430" s="11">
        <v>0</v>
      </c>
      <c r="V430" s="2">
        <v>0</v>
      </c>
      <c r="W430" s="2">
        <v>1</v>
      </c>
      <c r="X430" s="2">
        <v>0</v>
      </c>
      <c r="Y430" s="2">
        <v>1</v>
      </c>
      <c r="Z430" s="26" t="s">
        <v>5167</v>
      </c>
      <c r="AA430" s="31">
        <v>1925.03</v>
      </c>
    </row>
    <row r="431" spans="1:27" ht="16" x14ac:dyDescent="0.2">
      <c r="A431" s="3" t="s">
        <v>1378</v>
      </c>
      <c r="B431" s="2" t="s">
        <v>1379</v>
      </c>
      <c r="C431" s="8">
        <v>9284</v>
      </c>
      <c r="D431" s="6">
        <v>1925</v>
      </c>
      <c r="E431" s="6">
        <v>1920</v>
      </c>
      <c r="F431" s="2">
        <v>0</v>
      </c>
      <c r="G431" s="2">
        <v>0</v>
      </c>
      <c r="H431" s="3" t="s">
        <v>27</v>
      </c>
      <c r="I431" s="3" t="s">
        <v>1231</v>
      </c>
      <c r="J431" s="22" t="s">
        <v>1227</v>
      </c>
      <c r="K431" s="21" t="s">
        <v>1228</v>
      </c>
      <c r="L431" s="10">
        <v>7241</v>
      </c>
      <c r="M431" s="4">
        <v>67</v>
      </c>
      <c r="N431" s="2">
        <v>66</v>
      </c>
      <c r="O431" s="2">
        <v>4</v>
      </c>
      <c r="Q431" s="2">
        <v>1</v>
      </c>
      <c r="R431" s="2">
        <v>1</v>
      </c>
      <c r="S431" s="11">
        <v>1</v>
      </c>
      <c r="T431" s="11">
        <v>0</v>
      </c>
      <c r="U431" s="11">
        <v>0</v>
      </c>
      <c r="V431" s="2">
        <v>0</v>
      </c>
      <c r="W431" s="2">
        <v>1</v>
      </c>
      <c r="X431" s="2">
        <v>0</v>
      </c>
      <c r="Y431" s="2">
        <v>0</v>
      </c>
      <c r="Z431" s="26" t="s">
        <v>5167</v>
      </c>
      <c r="AA431" s="31">
        <v>1925.04</v>
      </c>
    </row>
    <row r="432" spans="1:27" ht="16" x14ac:dyDescent="0.2">
      <c r="A432" s="3" t="s">
        <v>3788</v>
      </c>
      <c r="B432" s="2" t="s">
        <v>3789</v>
      </c>
      <c r="C432" s="8">
        <v>9235</v>
      </c>
      <c r="D432" s="6">
        <v>1925</v>
      </c>
      <c r="E432" s="6">
        <v>1920</v>
      </c>
      <c r="F432" s="2">
        <v>1</v>
      </c>
      <c r="G432" s="2">
        <v>1</v>
      </c>
      <c r="H432" s="3" t="s">
        <v>3442</v>
      </c>
      <c r="I432" s="3" t="s">
        <v>1203</v>
      </c>
      <c r="J432" s="21" t="s">
        <v>1204</v>
      </c>
      <c r="K432" s="21" t="s">
        <v>1205</v>
      </c>
      <c r="L432" s="10">
        <v>5465</v>
      </c>
      <c r="M432" s="4">
        <v>123</v>
      </c>
      <c r="N432" s="2">
        <v>63</v>
      </c>
      <c r="O432" s="2">
        <v>4</v>
      </c>
      <c r="P432" s="2">
        <v>5</v>
      </c>
      <c r="Q432" s="2">
        <v>0</v>
      </c>
      <c r="R432" s="2">
        <v>0</v>
      </c>
      <c r="S432" s="11">
        <v>1</v>
      </c>
      <c r="T432" s="11">
        <v>1</v>
      </c>
      <c r="U432" s="11">
        <v>1</v>
      </c>
      <c r="V432" s="2">
        <v>0</v>
      </c>
      <c r="W432" s="2">
        <v>1</v>
      </c>
      <c r="X432" s="2">
        <v>0</v>
      </c>
      <c r="Y432" s="2">
        <v>1</v>
      </c>
      <c r="Z432" s="26" t="s">
        <v>5167</v>
      </c>
      <c r="AA432" s="31">
        <v>1925.05</v>
      </c>
    </row>
    <row r="433" spans="1:27" ht="16" x14ac:dyDescent="0.2">
      <c r="A433" s="3" t="s">
        <v>3790</v>
      </c>
      <c r="B433" s="2" t="s">
        <v>3791</v>
      </c>
      <c r="C433" s="8">
        <v>9284</v>
      </c>
      <c r="D433" s="6">
        <v>1925</v>
      </c>
      <c r="E433" s="6">
        <v>1920</v>
      </c>
      <c r="F433" s="2">
        <v>1</v>
      </c>
      <c r="G433" s="2">
        <v>1</v>
      </c>
      <c r="H433" s="3" t="s">
        <v>3442</v>
      </c>
      <c r="I433" s="3" t="s">
        <v>1337</v>
      </c>
      <c r="J433" s="21" t="s">
        <v>1338</v>
      </c>
      <c r="K433" s="21" t="s">
        <v>1339</v>
      </c>
      <c r="L433" s="10">
        <v>6995</v>
      </c>
      <c r="M433" s="4">
        <v>75</v>
      </c>
      <c r="N433" s="2">
        <v>65</v>
      </c>
      <c r="O433" s="2">
        <v>6</v>
      </c>
      <c r="P433" s="2">
        <v>4</v>
      </c>
      <c r="Q433" s="2">
        <v>0</v>
      </c>
      <c r="R433" s="2">
        <v>0</v>
      </c>
      <c r="S433" s="11">
        <v>1</v>
      </c>
      <c r="T433" s="11">
        <v>0</v>
      </c>
      <c r="U433" s="11">
        <v>0</v>
      </c>
      <c r="V433" s="2">
        <v>1</v>
      </c>
      <c r="W433" s="2">
        <v>1</v>
      </c>
      <c r="X433" s="2">
        <v>1</v>
      </c>
      <c r="Y433" s="2">
        <v>1</v>
      </c>
      <c r="Z433" s="26" t="s">
        <v>5167</v>
      </c>
      <c r="AA433" s="31">
        <v>1925.06</v>
      </c>
    </row>
    <row r="434" spans="1:27" ht="16" x14ac:dyDescent="0.2">
      <c r="A434" s="3" t="s">
        <v>1369</v>
      </c>
      <c r="B434" s="2" t="s">
        <v>1370</v>
      </c>
      <c r="C434" s="8">
        <v>9452</v>
      </c>
      <c r="D434" s="6">
        <v>1925</v>
      </c>
      <c r="E434" s="6">
        <v>1920</v>
      </c>
      <c r="F434" s="2">
        <v>0</v>
      </c>
      <c r="G434" s="2">
        <v>0</v>
      </c>
      <c r="H434" s="3" t="s">
        <v>27</v>
      </c>
      <c r="I434" s="3" t="s">
        <v>1337</v>
      </c>
      <c r="J434" s="21" t="s">
        <v>1338</v>
      </c>
      <c r="K434" s="21" t="s">
        <v>1339</v>
      </c>
      <c r="L434" s="10">
        <v>6995</v>
      </c>
      <c r="M434" s="4">
        <v>81</v>
      </c>
      <c r="N434" s="2">
        <v>65</v>
      </c>
      <c r="O434" s="2">
        <v>4</v>
      </c>
      <c r="Q434" s="2">
        <v>0</v>
      </c>
      <c r="R434" s="2">
        <v>0</v>
      </c>
      <c r="S434" s="11">
        <v>1</v>
      </c>
      <c r="T434" s="11">
        <v>0</v>
      </c>
      <c r="U434" s="11">
        <v>0</v>
      </c>
      <c r="V434" s="2">
        <v>0</v>
      </c>
      <c r="W434" s="2">
        <v>1</v>
      </c>
      <c r="X434" s="2">
        <v>0</v>
      </c>
      <c r="Y434" s="2">
        <v>1</v>
      </c>
      <c r="Z434" s="26" t="s">
        <v>5167</v>
      </c>
      <c r="AA434" s="31">
        <v>1925.07</v>
      </c>
    </row>
    <row r="435" spans="1:27" ht="16" x14ac:dyDescent="0.2">
      <c r="A435" s="3" t="s">
        <v>1380</v>
      </c>
      <c r="B435" s="2" t="s">
        <v>1381</v>
      </c>
      <c r="C435" s="8">
        <v>9480</v>
      </c>
      <c r="D435" s="6">
        <v>1925</v>
      </c>
      <c r="E435" s="6">
        <v>1920</v>
      </c>
      <c r="F435" s="2">
        <v>0</v>
      </c>
      <c r="G435" s="2">
        <v>0</v>
      </c>
      <c r="H435" s="3" t="s">
        <v>27</v>
      </c>
      <c r="I435" s="3" t="s">
        <v>1382</v>
      </c>
      <c r="J435" s="21" t="s">
        <v>4579</v>
      </c>
      <c r="K435" s="21" t="s">
        <v>1383</v>
      </c>
      <c r="L435" s="10">
        <v>7666</v>
      </c>
      <c r="M435" s="4">
        <v>59</v>
      </c>
      <c r="N435" s="2">
        <v>66</v>
      </c>
      <c r="O435" s="2">
        <v>1</v>
      </c>
      <c r="Q435" s="2">
        <v>0</v>
      </c>
      <c r="R435" s="2">
        <v>0</v>
      </c>
      <c r="S435" s="11">
        <v>1</v>
      </c>
      <c r="T435" s="11">
        <v>1</v>
      </c>
      <c r="U435" s="11">
        <v>1</v>
      </c>
      <c r="V435" s="2">
        <v>0</v>
      </c>
      <c r="W435" s="2">
        <v>1</v>
      </c>
      <c r="X435" s="2">
        <v>0</v>
      </c>
      <c r="Y435" s="2">
        <v>0</v>
      </c>
      <c r="Z435" s="26" t="s">
        <v>5167</v>
      </c>
      <c r="AA435" s="31">
        <v>1925.08</v>
      </c>
    </row>
    <row r="436" spans="1:27" ht="16" x14ac:dyDescent="0.2">
      <c r="A436" s="3" t="s">
        <v>1373</v>
      </c>
      <c r="B436" s="2" t="s">
        <v>1374</v>
      </c>
      <c r="C436" s="8">
        <v>9424</v>
      </c>
      <c r="D436" s="6">
        <v>1925</v>
      </c>
      <c r="E436" s="6">
        <v>1920</v>
      </c>
      <c r="F436" s="2">
        <v>0</v>
      </c>
      <c r="G436" s="2">
        <v>0</v>
      </c>
      <c r="H436" s="3" t="s">
        <v>27</v>
      </c>
      <c r="I436" s="3" t="s">
        <v>1231</v>
      </c>
      <c r="J436" s="22" t="s">
        <v>1227</v>
      </c>
      <c r="K436" s="21" t="s">
        <v>1228</v>
      </c>
      <c r="L436" s="10">
        <v>7241</v>
      </c>
      <c r="M436" s="4">
        <v>72</v>
      </c>
      <c r="N436" s="2">
        <v>66</v>
      </c>
      <c r="O436" s="2">
        <v>4</v>
      </c>
      <c r="Q436" s="2">
        <v>1</v>
      </c>
      <c r="R436" s="2">
        <v>0</v>
      </c>
      <c r="S436" s="11">
        <v>1</v>
      </c>
      <c r="T436" s="11">
        <v>0</v>
      </c>
      <c r="U436" s="11">
        <v>0</v>
      </c>
      <c r="V436" s="2">
        <v>0</v>
      </c>
      <c r="W436" s="2">
        <v>1</v>
      </c>
      <c r="X436" s="2">
        <v>0</v>
      </c>
      <c r="Y436" s="2">
        <v>0</v>
      </c>
      <c r="Z436" s="26" t="s">
        <v>5167</v>
      </c>
      <c r="AA436" s="31">
        <v>1925.09</v>
      </c>
    </row>
    <row r="437" spans="1:27" ht="16" x14ac:dyDescent="0.2">
      <c r="A437" s="3" t="s">
        <v>1375</v>
      </c>
      <c r="B437" s="2" t="s">
        <v>1376</v>
      </c>
      <c r="C437" s="8">
        <v>9452</v>
      </c>
      <c r="D437" s="6">
        <v>1925</v>
      </c>
      <c r="E437" s="6">
        <v>1920</v>
      </c>
      <c r="F437" s="2">
        <v>0</v>
      </c>
      <c r="G437" s="2">
        <v>0</v>
      </c>
      <c r="H437" s="3" t="s">
        <v>27</v>
      </c>
      <c r="I437" s="3" t="s">
        <v>1377</v>
      </c>
      <c r="J437" s="3" t="s">
        <v>4689</v>
      </c>
      <c r="K437" s="3" t="s">
        <v>4690</v>
      </c>
      <c r="L437" s="10">
        <v>8103</v>
      </c>
      <c r="M437" s="4">
        <v>45</v>
      </c>
      <c r="N437" s="2">
        <v>67</v>
      </c>
      <c r="O437" s="2">
        <v>4</v>
      </c>
      <c r="P437" s="2">
        <v>1</v>
      </c>
      <c r="Q437" s="2">
        <v>0</v>
      </c>
      <c r="R437" s="2">
        <v>0</v>
      </c>
      <c r="S437" s="11">
        <v>1</v>
      </c>
      <c r="T437" s="11">
        <v>0</v>
      </c>
      <c r="U437" s="11">
        <v>0</v>
      </c>
      <c r="V437" s="2">
        <v>0</v>
      </c>
      <c r="W437" s="2">
        <v>1</v>
      </c>
      <c r="X437" s="2">
        <v>0</v>
      </c>
      <c r="Y437" s="2">
        <v>0</v>
      </c>
      <c r="Z437" s="26" t="s">
        <v>5167</v>
      </c>
      <c r="AA437" s="31">
        <v>1925.1</v>
      </c>
    </row>
    <row r="438" spans="1:27" ht="16" x14ac:dyDescent="0.2">
      <c r="A438" s="3" t="s">
        <v>3796</v>
      </c>
      <c r="B438" s="2" t="s">
        <v>3797</v>
      </c>
      <c r="C438" s="8">
        <v>9508</v>
      </c>
      <c r="D438" s="6">
        <v>1926</v>
      </c>
      <c r="E438" s="6">
        <v>1920</v>
      </c>
      <c r="F438" s="2">
        <v>2</v>
      </c>
      <c r="G438" s="2">
        <v>1</v>
      </c>
      <c r="H438" s="3" t="s">
        <v>3434</v>
      </c>
      <c r="I438" s="3" t="s">
        <v>3753</v>
      </c>
      <c r="J438" s="21" t="s">
        <v>3754</v>
      </c>
      <c r="K438" s="21" t="s">
        <v>3755</v>
      </c>
      <c r="L438" s="10">
        <v>7907</v>
      </c>
      <c r="M438" s="4">
        <v>52</v>
      </c>
      <c r="N438" s="2">
        <v>67</v>
      </c>
      <c r="O438" s="2">
        <v>4</v>
      </c>
      <c r="Q438" s="2">
        <v>1</v>
      </c>
      <c r="R438" s="2">
        <v>1</v>
      </c>
      <c r="S438" s="11">
        <v>1</v>
      </c>
      <c r="T438" s="11">
        <v>0</v>
      </c>
      <c r="U438" s="11">
        <v>1</v>
      </c>
      <c r="V438" s="2">
        <v>1</v>
      </c>
      <c r="W438" s="2">
        <v>1</v>
      </c>
      <c r="X438" s="2">
        <v>0</v>
      </c>
      <c r="Y438" s="2">
        <v>0</v>
      </c>
      <c r="Z438" s="26" t="s">
        <v>5167</v>
      </c>
      <c r="AA438" s="31">
        <v>1926.01</v>
      </c>
    </row>
    <row r="439" spans="1:27" ht="16" x14ac:dyDescent="0.2">
      <c r="A439" s="3" t="s">
        <v>1390</v>
      </c>
      <c r="B439" s="2" t="s">
        <v>1391</v>
      </c>
      <c r="C439" s="8">
        <v>9508</v>
      </c>
      <c r="D439" s="6">
        <v>1926</v>
      </c>
      <c r="E439" s="6">
        <v>1920</v>
      </c>
      <c r="F439" s="2">
        <v>0</v>
      </c>
      <c r="G439" s="2">
        <v>0</v>
      </c>
      <c r="H439" s="3" t="s">
        <v>27</v>
      </c>
      <c r="I439" s="3" t="s">
        <v>1392</v>
      </c>
      <c r="J439" s="22" t="s">
        <v>4672</v>
      </c>
      <c r="K439" s="21" t="s">
        <v>1152</v>
      </c>
      <c r="L439" s="10">
        <v>6486</v>
      </c>
      <c r="M439" s="4">
        <v>106</v>
      </c>
      <c r="N439" s="2">
        <v>65</v>
      </c>
      <c r="O439" s="2">
        <v>4</v>
      </c>
      <c r="P439" s="2">
        <v>5</v>
      </c>
      <c r="Q439" s="2">
        <v>1</v>
      </c>
      <c r="R439" s="2">
        <v>0</v>
      </c>
      <c r="S439" s="11">
        <v>1</v>
      </c>
      <c r="T439" s="11">
        <v>0</v>
      </c>
      <c r="U439" s="11">
        <v>0</v>
      </c>
      <c r="V439" s="2">
        <v>0</v>
      </c>
      <c r="W439" s="2">
        <v>0</v>
      </c>
      <c r="X439" s="2">
        <v>0</v>
      </c>
      <c r="Y439" s="2">
        <v>1</v>
      </c>
      <c r="Z439" s="26" t="s">
        <v>5167</v>
      </c>
      <c r="AA439" s="31">
        <v>1926.02</v>
      </c>
    </row>
    <row r="440" spans="1:27" ht="16" x14ac:dyDescent="0.2">
      <c r="A440" s="3" t="s">
        <v>1403</v>
      </c>
      <c r="B440" s="2" t="s">
        <v>1404</v>
      </c>
      <c r="C440" s="8">
        <v>9557</v>
      </c>
      <c r="D440" s="6">
        <v>1926</v>
      </c>
      <c r="E440" s="6">
        <v>1920</v>
      </c>
      <c r="F440" s="2">
        <v>0</v>
      </c>
      <c r="G440" s="2">
        <v>0</v>
      </c>
      <c r="H440" s="3" t="s">
        <v>27</v>
      </c>
      <c r="I440" s="3" t="s">
        <v>1405</v>
      </c>
      <c r="J440" s="22" t="s">
        <v>1406</v>
      </c>
      <c r="K440" s="21" t="s">
        <v>1407</v>
      </c>
      <c r="L440" s="10">
        <v>7298</v>
      </c>
      <c r="M440" s="4">
        <v>74</v>
      </c>
      <c r="N440" s="2">
        <v>66</v>
      </c>
      <c r="O440" s="2">
        <v>4</v>
      </c>
      <c r="Q440" s="2">
        <v>0</v>
      </c>
      <c r="R440" s="2">
        <v>0</v>
      </c>
      <c r="S440" s="11">
        <v>1</v>
      </c>
      <c r="T440" s="11">
        <v>0</v>
      </c>
      <c r="U440" s="11">
        <v>0</v>
      </c>
      <c r="V440" s="2">
        <v>0</v>
      </c>
      <c r="W440" s="2">
        <v>1</v>
      </c>
      <c r="X440" s="2">
        <v>0</v>
      </c>
      <c r="Y440" s="2">
        <v>0</v>
      </c>
      <c r="Z440" s="26" t="s">
        <v>5167</v>
      </c>
      <c r="AA440" s="31">
        <v>1926.03</v>
      </c>
    </row>
    <row r="441" spans="1:27" ht="16" x14ac:dyDescent="0.2">
      <c r="A441" s="3" t="s">
        <v>1393</v>
      </c>
      <c r="B441" s="2" t="s">
        <v>1394</v>
      </c>
      <c r="C441" s="8">
        <v>9578</v>
      </c>
      <c r="D441" s="6">
        <v>1926</v>
      </c>
      <c r="E441" s="6">
        <v>1920</v>
      </c>
      <c r="F441" s="2">
        <v>0</v>
      </c>
      <c r="G441" s="2">
        <v>0</v>
      </c>
      <c r="H441" s="3" t="s">
        <v>27</v>
      </c>
      <c r="I441" s="3" t="s">
        <v>1302</v>
      </c>
      <c r="J441" s="21" t="s">
        <v>1303</v>
      </c>
      <c r="K441" s="21" t="s">
        <v>1304</v>
      </c>
      <c r="L441" s="10">
        <v>7364</v>
      </c>
      <c r="M441" s="4">
        <v>73</v>
      </c>
      <c r="N441" s="2">
        <v>66</v>
      </c>
      <c r="O441" s="2">
        <v>5</v>
      </c>
      <c r="Q441" s="2">
        <v>1</v>
      </c>
      <c r="R441" s="2">
        <v>1</v>
      </c>
      <c r="S441" s="11">
        <v>0</v>
      </c>
      <c r="T441" s="11">
        <v>1</v>
      </c>
      <c r="U441" s="11">
        <v>0</v>
      </c>
      <c r="V441" s="2">
        <v>0</v>
      </c>
      <c r="W441" s="2">
        <v>0</v>
      </c>
      <c r="X441" s="2">
        <v>0</v>
      </c>
      <c r="Y441" s="2">
        <v>0</v>
      </c>
      <c r="Z441" s="26" t="s">
        <v>5167</v>
      </c>
      <c r="AA441" s="31">
        <v>1926.04</v>
      </c>
    </row>
    <row r="442" spans="1:27" ht="16" x14ac:dyDescent="0.2">
      <c r="A442" s="3" t="s">
        <v>3798</v>
      </c>
      <c r="B442" s="2" t="s">
        <v>3799</v>
      </c>
      <c r="C442" s="8">
        <v>9529</v>
      </c>
      <c r="D442" s="2">
        <v>1926</v>
      </c>
      <c r="E442" s="6">
        <v>1920</v>
      </c>
      <c r="F442" s="2">
        <v>1</v>
      </c>
      <c r="G442" s="2">
        <v>1</v>
      </c>
      <c r="H442" s="3" t="s">
        <v>3442</v>
      </c>
      <c r="I442" s="3" t="s">
        <v>5050</v>
      </c>
      <c r="J442" s="3" t="s">
        <v>3800</v>
      </c>
      <c r="K442" s="15"/>
      <c r="L442" s="10" t="s">
        <v>3801</v>
      </c>
      <c r="M442" s="4">
        <f>1+(12*37)</f>
        <v>445</v>
      </c>
      <c r="N442" s="2">
        <v>51</v>
      </c>
      <c r="O442" s="2">
        <v>5</v>
      </c>
      <c r="Q442" s="2">
        <v>0</v>
      </c>
      <c r="R442" s="2">
        <v>0</v>
      </c>
      <c r="S442" s="11">
        <v>1</v>
      </c>
      <c r="T442" s="11">
        <v>0</v>
      </c>
      <c r="U442" s="11">
        <v>1</v>
      </c>
      <c r="V442" s="2">
        <v>0</v>
      </c>
      <c r="W442" s="2">
        <v>1</v>
      </c>
      <c r="X442" s="2">
        <v>0</v>
      </c>
      <c r="Y442" s="2">
        <v>0</v>
      </c>
      <c r="Z442" s="26" t="s">
        <v>5167</v>
      </c>
      <c r="AA442" s="31">
        <v>1926.05</v>
      </c>
    </row>
    <row r="443" spans="1:27" ht="16" x14ac:dyDescent="0.2">
      <c r="A443" s="3" t="s">
        <v>1399</v>
      </c>
      <c r="B443" s="2" t="s">
        <v>1400</v>
      </c>
      <c r="C443" s="8">
        <v>9599</v>
      </c>
      <c r="D443" s="6">
        <v>1926</v>
      </c>
      <c r="E443" s="6">
        <v>1920</v>
      </c>
      <c r="F443" s="2">
        <v>0</v>
      </c>
      <c r="G443" s="2">
        <v>0</v>
      </c>
      <c r="H443" s="3" t="s">
        <v>27</v>
      </c>
      <c r="I443" s="3" t="s">
        <v>968</v>
      </c>
      <c r="J443" s="22" t="s">
        <v>969</v>
      </c>
      <c r="K443" s="21" t="s">
        <v>970</v>
      </c>
      <c r="L443" s="10">
        <v>2372</v>
      </c>
      <c r="M443" s="4">
        <v>237</v>
      </c>
      <c r="N443" s="2">
        <v>59</v>
      </c>
      <c r="O443" s="2">
        <v>1</v>
      </c>
      <c r="Q443" s="2">
        <v>1</v>
      </c>
      <c r="R443" s="2">
        <v>0</v>
      </c>
      <c r="S443" s="11">
        <v>1</v>
      </c>
      <c r="T443" s="11">
        <v>0</v>
      </c>
      <c r="U443" s="11">
        <v>0</v>
      </c>
      <c r="V443" s="2">
        <v>0</v>
      </c>
      <c r="W443" s="2">
        <v>1</v>
      </c>
      <c r="X443" s="2">
        <v>0</v>
      </c>
      <c r="Y443" s="2">
        <v>0</v>
      </c>
      <c r="Z443" s="26" t="s">
        <v>5167</v>
      </c>
      <c r="AA443" s="31">
        <v>1926.06</v>
      </c>
    </row>
    <row r="444" spans="1:27" ht="16" x14ac:dyDescent="0.2">
      <c r="A444" s="3" t="s">
        <v>1386</v>
      </c>
      <c r="B444" s="2" t="s">
        <v>1387</v>
      </c>
      <c r="C444" s="8">
        <v>9620</v>
      </c>
      <c r="D444" s="6">
        <v>1926</v>
      </c>
      <c r="E444" s="6">
        <v>1920</v>
      </c>
      <c r="F444" s="2">
        <v>0</v>
      </c>
      <c r="G444" s="2">
        <v>0</v>
      </c>
      <c r="H444" s="3" t="s">
        <v>27</v>
      </c>
      <c r="I444" s="3" t="s">
        <v>1302</v>
      </c>
      <c r="J444" s="21" t="s">
        <v>1303</v>
      </c>
      <c r="K444" s="21" t="s">
        <v>1304</v>
      </c>
      <c r="L444" s="10">
        <v>7364</v>
      </c>
      <c r="M444" s="4">
        <v>74</v>
      </c>
      <c r="N444" s="2">
        <v>66</v>
      </c>
      <c r="O444" s="2">
        <v>5</v>
      </c>
      <c r="Q444" s="2">
        <v>1</v>
      </c>
      <c r="R444" s="2">
        <v>1</v>
      </c>
      <c r="S444" s="11">
        <v>1</v>
      </c>
      <c r="T444" s="11">
        <v>0</v>
      </c>
      <c r="U444" s="11">
        <v>0</v>
      </c>
      <c r="V444" s="2">
        <v>0</v>
      </c>
      <c r="W444" s="2">
        <v>1</v>
      </c>
      <c r="X444" s="2">
        <v>0</v>
      </c>
      <c r="Y444" s="2">
        <v>0</v>
      </c>
      <c r="Z444" s="26" t="s">
        <v>5167</v>
      </c>
      <c r="AA444" s="31">
        <v>1926.07</v>
      </c>
    </row>
    <row r="445" spans="1:27" ht="16" x14ac:dyDescent="0.2">
      <c r="A445" s="3" t="s">
        <v>1395</v>
      </c>
      <c r="B445" s="2" t="s">
        <v>1396</v>
      </c>
      <c r="C445" s="8">
        <v>9649</v>
      </c>
      <c r="D445" s="6">
        <v>1926</v>
      </c>
      <c r="E445" s="6">
        <v>1920</v>
      </c>
      <c r="F445" s="2">
        <v>0</v>
      </c>
      <c r="G445" s="2">
        <v>0</v>
      </c>
      <c r="H445" s="3" t="s">
        <v>27</v>
      </c>
      <c r="I445" s="3" t="s">
        <v>1397</v>
      </c>
      <c r="J445" s="3" t="s">
        <v>4691</v>
      </c>
      <c r="K445" s="15"/>
      <c r="L445" s="4" t="s">
        <v>1398</v>
      </c>
      <c r="M445" s="4">
        <v>504</v>
      </c>
      <c r="N445" s="2">
        <v>48</v>
      </c>
      <c r="O445" s="2">
        <v>5</v>
      </c>
      <c r="P445" s="2">
        <v>1</v>
      </c>
      <c r="Q445" s="2">
        <v>1</v>
      </c>
      <c r="R445" s="2">
        <v>1</v>
      </c>
      <c r="S445" s="11">
        <v>1</v>
      </c>
      <c r="T445" s="11">
        <v>1</v>
      </c>
      <c r="U445" s="11">
        <v>0</v>
      </c>
      <c r="V445" s="2">
        <v>0</v>
      </c>
      <c r="W445" s="2">
        <v>1</v>
      </c>
      <c r="X445" s="2">
        <v>0</v>
      </c>
      <c r="Y445" s="2">
        <v>1</v>
      </c>
      <c r="Z445" s="26" t="s">
        <v>5167</v>
      </c>
      <c r="AA445" s="31">
        <v>1926.08</v>
      </c>
    </row>
    <row r="446" spans="1:27" ht="16" x14ac:dyDescent="0.2">
      <c r="A446" s="3" t="s">
        <v>1401</v>
      </c>
      <c r="B446" s="2" t="s">
        <v>1402</v>
      </c>
      <c r="C446" s="8">
        <v>9781</v>
      </c>
      <c r="D446" s="6">
        <v>1926</v>
      </c>
      <c r="E446" s="6">
        <v>1920</v>
      </c>
      <c r="F446" s="2">
        <v>0</v>
      </c>
      <c r="G446" s="2">
        <v>0</v>
      </c>
      <c r="H446" s="3" t="s">
        <v>27</v>
      </c>
      <c r="I446" s="3" t="s">
        <v>1279</v>
      </c>
      <c r="J446" s="22" t="s">
        <v>1280</v>
      </c>
      <c r="K446" s="21" t="s">
        <v>1115</v>
      </c>
      <c r="L446" s="10">
        <v>6489</v>
      </c>
      <c r="M446" s="4">
        <v>108</v>
      </c>
      <c r="N446" s="2">
        <v>65</v>
      </c>
      <c r="O446" s="2">
        <v>4</v>
      </c>
      <c r="P446" s="2">
        <v>6</v>
      </c>
      <c r="Q446" s="2">
        <v>1</v>
      </c>
      <c r="R446" s="2">
        <v>1</v>
      </c>
      <c r="S446" s="11">
        <v>1</v>
      </c>
      <c r="T446" s="11">
        <v>0</v>
      </c>
      <c r="U446" s="11">
        <v>0</v>
      </c>
      <c r="V446" s="2">
        <v>0</v>
      </c>
      <c r="W446" s="2">
        <v>1</v>
      </c>
      <c r="X446" s="2">
        <v>0</v>
      </c>
      <c r="Y446" s="2">
        <v>1</v>
      </c>
      <c r="Z446" s="26" t="s">
        <v>5167</v>
      </c>
      <c r="AA446" s="31">
        <v>1926.09</v>
      </c>
    </row>
    <row r="447" spans="1:27" ht="16" x14ac:dyDescent="0.2">
      <c r="A447" s="3" t="s">
        <v>3792</v>
      </c>
      <c r="B447" s="2" t="s">
        <v>3793</v>
      </c>
      <c r="C447" s="8">
        <v>9795</v>
      </c>
      <c r="D447" s="6">
        <v>1926</v>
      </c>
      <c r="E447" s="6">
        <v>1920</v>
      </c>
      <c r="F447" s="2">
        <v>2</v>
      </c>
      <c r="G447" s="2">
        <v>1</v>
      </c>
      <c r="H447" s="3" t="s">
        <v>3434</v>
      </c>
      <c r="I447" s="3" t="s">
        <v>3794</v>
      </c>
      <c r="J447" s="3" t="s">
        <v>3795</v>
      </c>
      <c r="K447" s="15"/>
      <c r="L447" s="4" t="s">
        <v>390</v>
      </c>
      <c r="M447" s="4">
        <v>604</v>
      </c>
      <c r="N447" s="2">
        <v>44</v>
      </c>
      <c r="O447" s="2">
        <v>6</v>
      </c>
      <c r="Q447" s="2">
        <v>0</v>
      </c>
      <c r="R447" s="2">
        <v>0</v>
      </c>
      <c r="S447" s="11">
        <v>1</v>
      </c>
      <c r="T447" s="11">
        <v>0</v>
      </c>
      <c r="U447" s="11">
        <v>0</v>
      </c>
      <c r="V447" s="2">
        <v>1</v>
      </c>
      <c r="W447" s="2">
        <v>1</v>
      </c>
      <c r="X447" s="2">
        <v>3</v>
      </c>
      <c r="Y447" s="2">
        <v>1</v>
      </c>
      <c r="Z447" s="26" t="s">
        <v>5167</v>
      </c>
      <c r="AA447" s="31">
        <v>1926.1</v>
      </c>
    </row>
    <row r="448" spans="1:27" ht="16" x14ac:dyDescent="0.2">
      <c r="A448" s="3" t="s">
        <v>1388</v>
      </c>
      <c r="B448" s="2" t="s">
        <v>1389</v>
      </c>
      <c r="C448" s="8">
        <v>9830</v>
      </c>
      <c r="D448" s="6">
        <v>1926</v>
      </c>
      <c r="E448" s="6">
        <v>1920</v>
      </c>
      <c r="F448" s="2">
        <v>0</v>
      </c>
      <c r="G448" s="2">
        <v>0</v>
      </c>
      <c r="H448" s="3" t="s">
        <v>27</v>
      </c>
      <c r="I448" s="3" t="s">
        <v>1231</v>
      </c>
      <c r="J448" s="22" t="s">
        <v>1227</v>
      </c>
      <c r="K448" s="21" t="s">
        <v>1228</v>
      </c>
      <c r="L448" s="10">
        <v>7241</v>
      </c>
      <c r="M448" s="4">
        <v>85</v>
      </c>
      <c r="N448" s="2">
        <v>66</v>
      </c>
      <c r="O448" s="2">
        <v>4</v>
      </c>
      <c r="Q448" s="2">
        <v>1</v>
      </c>
      <c r="R448" s="2">
        <v>0</v>
      </c>
      <c r="S448" s="11">
        <v>1</v>
      </c>
      <c r="T448" s="11">
        <v>0</v>
      </c>
      <c r="U448" s="11">
        <v>0</v>
      </c>
      <c r="V448" s="2">
        <v>0</v>
      </c>
      <c r="W448" s="2">
        <v>1</v>
      </c>
      <c r="X448" s="2">
        <v>4</v>
      </c>
      <c r="Y448" s="2">
        <v>0</v>
      </c>
      <c r="Z448" s="26" t="s">
        <v>5167</v>
      </c>
      <c r="AA448" s="31">
        <v>1926.11</v>
      </c>
    </row>
    <row r="449" spans="1:27" ht="16" x14ac:dyDescent="0.2">
      <c r="A449" s="3" t="s">
        <v>1408</v>
      </c>
      <c r="B449" s="2" t="s">
        <v>1409</v>
      </c>
      <c r="C449" s="8">
        <v>9865</v>
      </c>
      <c r="D449" s="6">
        <v>1927</v>
      </c>
      <c r="E449" s="6">
        <v>1920</v>
      </c>
      <c r="F449" s="2">
        <v>0</v>
      </c>
      <c r="G449" s="2">
        <v>0</v>
      </c>
      <c r="H449" s="3" t="s">
        <v>27</v>
      </c>
      <c r="I449" s="3" t="s">
        <v>1231</v>
      </c>
      <c r="J449" s="22" t="s">
        <v>1227</v>
      </c>
      <c r="K449" s="21" t="s">
        <v>1228</v>
      </c>
      <c r="L449" s="10">
        <v>7241</v>
      </c>
      <c r="M449" s="4">
        <v>86</v>
      </c>
      <c r="N449" s="2">
        <v>66</v>
      </c>
      <c r="O449" s="2">
        <v>1</v>
      </c>
      <c r="Q449" s="2">
        <v>1</v>
      </c>
      <c r="R449" s="2">
        <v>0</v>
      </c>
      <c r="S449" s="11">
        <v>1</v>
      </c>
      <c r="T449" s="11">
        <v>0</v>
      </c>
      <c r="U449" s="11">
        <v>0</v>
      </c>
      <c r="V449" s="2">
        <v>0</v>
      </c>
      <c r="W449" s="2">
        <v>1</v>
      </c>
      <c r="X449" s="2">
        <v>0</v>
      </c>
      <c r="Y449" s="2">
        <v>0</v>
      </c>
      <c r="Z449" s="26" t="s">
        <v>5167</v>
      </c>
      <c r="AA449" s="31">
        <v>1927.01</v>
      </c>
    </row>
    <row r="450" spans="1:27" ht="16" x14ac:dyDescent="0.2">
      <c r="A450" s="3" t="s">
        <v>1412</v>
      </c>
      <c r="B450" s="2" t="s">
        <v>1413</v>
      </c>
      <c r="C450" s="8">
        <v>9865</v>
      </c>
      <c r="D450" s="6">
        <v>1927</v>
      </c>
      <c r="E450" s="6">
        <v>1920</v>
      </c>
      <c r="F450" s="2">
        <v>0</v>
      </c>
      <c r="G450" s="2">
        <v>0</v>
      </c>
      <c r="H450" s="3" t="s">
        <v>27</v>
      </c>
      <c r="I450" s="3" t="s">
        <v>1414</v>
      </c>
      <c r="J450" s="21" t="s">
        <v>1415</v>
      </c>
      <c r="K450" s="21" t="s">
        <v>1416</v>
      </c>
      <c r="L450" s="10">
        <v>9554</v>
      </c>
      <c r="M450" s="4">
        <v>10</v>
      </c>
      <c r="N450" s="2">
        <v>69</v>
      </c>
      <c r="O450" s="2">
        <v>4</v>
      </c>
      <c r="P450" s="2">
        <v>5</v>
      </c>
      <c r="Q450" s="2">
        <v>1</v>
      </c>
      <c r="R450" s="2">
        <v>1</v>
      </c>
      <c r="S450" s="11">
        <v>1</v>
      </c>
      <c r="T450" s="11">
        <v>0</v>
      </c>
      <c r="U450" s="11">
        <v>0</v>
      </c>
      <c r="V450" s="2">
        <v>0</v>
      </c>
      <c r="W450" s="2">
        <v>1</v>
      </c>
      <c r="X450" s="2">
        <v>0</v>
      </c>
      <c r="Y450" s="2">
        <v>0</v>
      </c>
      <c r="Z450" s="26" t="s">
        <v>5167</v>
      </c>
      <c r="AA450" s="31">
        <v>1927.02</v>
      </c>
    </row>
    <row r="451" spans="1:27" ht="16" x14ac:dyDescent="0.2">
      <c r="A451" s="3" t="s">
        <v>1417</v>
      </c>
      <c r="B451" s="2" t="s">
        <v>1418</v>
      </c>
      <c r="C451" s="8">
        <v>9984</v>
      </c>
      <c r="D451" s="6">
        <v>1927</v>
      </c>
      <c r="E451" s="6">
        <v>1920</v>
      </c>
      <c r="F451" s="2">
        <v>0</v>
      </c>
      <c r="G451" s="2">
        <v>0</v>
      </c>
      <c r="H451" s="3" t="s">
        <v>27</v>
      </c>
      <c r="I451" s="3" t="s">
        <v>1419</v>
      </c>
      <c r="J451" s="22" t="s">
        <v>1420</v>
      </c>
      <c r="K451" s="21" t="s">
        <v>1328</v>
      </c>
      <c r="L451" s="10">
        <v>6376</v>
      </c>
      <c r="M451" s="4">
        <v>118</v>
      </c>
      <c r="N451" s="2">
        <v>65</v>
      </c>
      <c r="O451" s="2">
        <v>4</v>
      </c>
      <c r="Q451" s="2">
        <v>0</v>
      </c>
      <c r="R451" s="2">
        <v>0</v>
      </c>
      <c r="S451" s="11">
        <v>1</v>
      </c>
      <c r="T451" s="11">
        <v>1</v>
      </c>
      <c r="U451" s="11">
        <v>1</v>
      </c>
      <c r="V451" s="2">
        <v>0</v>
      </c>
      <c r="W451" s="2">
        <v>1</v>
      </c>
      <c r="X451" s="2">
        <v>0</v>
      </c>
      <c r="Y451" s="2">
        <v>1</v>
      </c>
      <c r="Z451" s="26" t="s">
        <v>5167</v>
      </c>
      <c r="AA451" s="31">
        <v>1927.03</v>
      </c>
    </row>
    <row r="452" spans="1:27" ht="16" x14ac:dyDescent="0.2">
      <c r="A452" s="3" t="s">
        <v>1433</v>
      </c>
      <c r="B452" s="2" t="s">
        <v>1434</v>
      </c>
      <c r="C452" s="8">
        <v>9998</v>
      </c>
      <c r="D452" s="6">
        <v>1927</v>
      </c>
      <c r="E452" s="6">
        <v>1920</v>
      </c>
      <c r="F452" s="2">
        <v>0</v>
      </c>
      <c r="G452" s="2">
        <v>0</v>
      </c>
      <c r="H452" s="3" t="s">
        <v>27</v>
      </c>
      <c r="I452" s="3" t="s">
        <v>1435</v>
      </c>
      <c r="J452" s="21" t="s">
        <v>1436</v>
      </c>
      <c r="K452" s="21" t="s">
        <v>1437</v>
      </c>
      <c r="L452" s="10" t="s">
        <v>1438</v>
      </c>
      <c r="M452" s="4">
        <v>119</v>
      </c>
      <c r="N452" s="2">
        <v>65</v>
      </c>
      <c r="O452" s="2">
        <v>4</v>
      </c>
      <c r="Q452" s="2">
        <v>0</v>
      </c>
      <c r="R452" s="2">
        <v>0</v>
      </c>
      <c r="S452" s="11">
        <v>1</v>
      </c>
      <c r="T452" s="11">
        <v>0</v>
      </c>
      <c r="U452" s="11">
        <v>0</v>
      </c>
      <c r="V452" s="2">
        <v>0</v>
      </c>
      <c r="W452" s="2">
        <v>1</v>
      </c>
      <c r="X452" s="2">
        <v>0</v>
      </c>
      <c r="Y452" s="2">
        <v>1</v>
      </c>
      <c r="Z452" s="26" t="s">
        <v>5167</v>
      </c>
      <c r="AA452" s="31">
        <v>1927.04</v>
      </c>
    </row>
    <row r="453" spans="1:27" ht="16" x14ac:dyDescent="0.2">
      <c r="A453" s="3" t="s">
        <v>1431</v>
      </c>
      <c r="B453" s="2" t="s">
        <v>1432</v>
      </c>
      <c r="C453" s="8">
        <v>9998</v>
      </c>
      <c r="D453" s="6">
        <v>1927</v>
      </c>
      <c r="E453" s="6">
        <v>1920</v>
      </c>
      <c r="F453" s="2">
        <v>0</v>
      </c>
      <c r="G453" s="2">
        <v>0</v>
      </c>
      <c r="H453" s="3" t="s">
        <v>27</v>
      </c>
      <c r="I453" s="3" t="s">
        <v>1342</v>
      </c>
      <c r="J453" s="21" t="s">
        <v>1343</v>
      </c>
      <c r="K453" s="21" t="s">
        <v>1344</v>
      </c>
      <c r="L453" s="10">
        <v>7998</v>
      </c>
      <c r="M453" s="4">
        <v>66</v>
      </c>
      <c r="N453" s="2">
        <v>67</v>
      </c>
      <c r="O453" s="2">
        <v>4</v>
      </c>
      <c r="Q453" s="2">
        <v>0</v>
      </c>
      <c r="R453" s="2">
        <v>0</v>
      </c>
      <c r="S453" s="11">
        <v>1</v>
      </c>
      <c r="T453" s="11">
        <v>1</v>
      </c>
      <c r="U453" s="11">
        <v>1</v>
      </c>
      <c r="V453" s="2">
        <v>0</v>
      </c>
      <c r="W453" s="2">
        <v>1</v>
      </c>
      <c r="X453" s="2">
        <v>0</v>
      </c>
      <c r="Y453" s="2">
        <v>0</v>
      </c>
      <c r="Z453" s="26" t="s">
        <v>5167</v>
      </c>
      <c r="AA453" s="31">
        <v>1927.05</v>
      </c>
    </row>
    <row r="454" spans="1:27" ht="16" x14ac:dyDescent="0.2">
      <c r="A454" s="3" t="s">
        <v>1426</v>
      </c>
      <c r="B454" s="2" t="s">
        <v>1427</v>
      </c>
      <c r="C454" s="8">
        <v>9998</v>
      </c>
      <c r="D454" s="6">
        <v>1927</v>
      </c>
      <c r="E454" s="6">
        <v>1920</v>
      </c>
      <c r="F454" s="2">
        <v>0</v>
      </c>
      <c r="G454" s="2">
        <v>0</v>
      </c>
      <c r="H454" s="3" t="s">
        <v>27</v>
      </c>
      <c r="I454" s="3" t="s">
        <v>1428</v>
      </c>
      <c r="J454" s="21" t="s">
        <v>1429</v>
      </c>
      <c r="K454" s="21" t="s">
        <v>1430</v>
      </c>
      <c r="L454" s="10">
        <v>3829</v>
      </c>
      <c r="M454" s="4">
        <v>191</v>
      </c>
      <c r="N454" s="2">
        <v>61</v>
      </c>
      <c r="O454" s="2">
        <v>5</v>
      </c>
      <c r="Q454" s="2">
        <v>0</v>
      </c>
      <c r="R454" s="2">
        <v>0</v>
      </c>
      <c r="S454" s="11">
        <v>1</v>
      </c>
      <c r="T454" s="11">
        <v>0</v>
      </c>
      <c r="U454" s="11">
        <v>1</v>
      </c>
      <c r="V454" s="2">
        <v>0</v>
      </c>
      <c r="W454" s="2">
        <v>1</v>
      </c>
      <c r="X454" s="2">
        <v>0</v>
      </c>
      <c r="Y454" s="2">
        <v>0</v>
      </c>
      <c r="Z454" s="26" t="s">
        <v>5167</v>
      </c>
      <c r="AA454" s="31">
        <v>1927.06</v>
      </c>
    </row>
    <row r="455" spans="1:27" ht="16" x14ac:dyDescent="0.2">
      <c r="A455" s="3" t="s">
        <v>1410</v>
      </c>
      <c r="B455" s="2" t="s">
        <v>1411</v>
      </c>
      <c r="C455" s="8">
        <v>9998</v>
      </c>
      <c r="D455" s="6">
        <v>1927</v>
      </c>
      <c r="E455" s="6">
        <v>1920</v>
      </c>
      <c r="F455" s="2">
        <v>0</v>
      </c>
      <c r="G455" s="2">
        <v>0</v>
      </c>
      <c r="H455" s="3" t="s">
        <v>27</v>
      </c>
      <c r="I455" s="3" t="s">
        <v>1203</v>
      </c>
      <c r="J455" s="21" t="s">
        <v>1204</v>
      </c>
      <c r="K455" s="21" t="s">
        <v>1205</v>
      </c>
      <c r="L455" s="10">
        <v>5465</v>
      </c>
      <c r="M455" s="4">
        <v>149</v>
      </c>
      <c r="N455" s="2">
        <v>63</v>
      </c>
      <c r="O455" s="2">
        <v>4</v>
      </c>
      <c r="Q455" s="2">
        <v>0</v>
      </c>
      <c r="R455" s="2">
        <v>0</v>
      </c>
      <c r="S455" s="11">
        <v>1</v>
      </c>
      <c r="T455" s="11">
        <v>0</v>
      </c>
      <c r="U455" s="11">
        <v>0</v>
      </c>
      <c r="V455" s="2">
        <v>0</v>
      </c>
      <c r="W455" s="2">
        <v>1</v>
      </c>
      <c r="X455" s="2">
        <v>0</v>
      </c>
      <c r="Y455" s="2">
        <v>1</v>
      </c>
      <c r="Z455" s="26" t="s">
        <v>5167</v>
      </c>
      <c r="AA455" s="31">
        <v>1927.07</v>
      </c>
    </row>
    <row r="456" spans="1:27" ht="16" x14ac:dyDescent="0.2">
      <c r="A456" s="3" t="s">
        <v>1421</v>
      </c>
      <c r="B456" s="2" t="s">
        <v>1422</v>
      </c>
      <c r="C456" s="8">
        <v>9998</v>
      </c>
      <c r="D456" s="6">
        <v>1927</v>
      </c>
      <c r="E456" s="6">
        <v>1920</v>
      </c>
      <c r="F456" s="2">
        <v>0</v>
      </c>
      <c r="G456" s="2">
        <v>0</v>
      </c>
      <c r="H456" s="3" t="s">
        <v>27</v>
      </c>
      <c r="I456" s="3" t="s">
        <v>1423</v>
      </c>
      <c r="J456" s="21" t="s">
        <v>1424</v>
      </c>
      <c r="K456" s="21" t="s">
        <v>1425</v>
      </c>
      <c r="L456" s="10">
        <v>6086</v>
      </c>
      <c r="M456" s="4">
        <v>129</v>
      </c>
      <c r="N456" s="2">
        <v>64</v>
      </c>
      <c r="O456" s="2">
        <v>1</v>
      </c>
      <c r="P456" s="2">
        <v>4</v>
      </c>
      <c r="Q456" s="2">
        <v>0</v>
      </c>
      <c r="R456" s="2">
        <v>0</v>
      </c>
      <c r="S456" s="11">
        <v>1</v>
      </c>
      <c r="T456" s="11">
        <v>1</v>
      </c>
      <c r="U456" s="11">
        <v>1</v>
      </c>
      <c r="V456" s="2">
        <v>0</v>
      </c>
      <c r="W456" s="2">
        <v>1</v>
      </c>
      <c r="X456" s="2">
        <v>0</v>
      </c>
      <c r="Y456" s="2">
        <v>1</v>
      </c>
      <c r="Z456" s="26" t="s">
        <v>5167</v>
      </c>
      <c r="AA456" s="31">
        <v>1927.08</v>
      </c>
    </row>
    <row r="457" spans="1:27" ht="16" x14ac:dyDescent="0.2">
      <c r="A457" s="3" t="s">
        <v>3805</v>
      </c>
      <c r="B457" s="2" t="s">
        <v>3806</v>
      </c>
      <c r="C457" s="8">
        <v>10013</v>
      </c>
      <c r="D457" s="6">
        <v>1927</v>
      </c>
      <c r="E457" s="6">
        <v>1920</v>
      </c>
      <c r="F457" s="2">
        <v>1</v>
      </c>
      <c r="G457" s="2">
        <v>1</v>
      </c>
      <c r="H457" s="3" t="s">
        <v>3442</v>
      </c>
      <c r="I457" s="3" t="s">
        <v>1337</v>
      </c>
      <c r="J457" s="21" t="s">
        <v>1338</v>
      </c>
      <c r="K457" s="21" t="s">
        <v>1339</v>
      </c>
      <c r="L457" s="10">
        <v>6995</v>
      </c>
      <c r="M457" s="4">
        <v>99</v>
      </c>
      <c r="N457" s="2">
        <v>65</v>
      </c>
      <c r="O457" s="2">
        <v>1</v>
      </c>
      <c r="P457" s="2">
        <v>4</v>
      </c>
      <c r="Q457" s="2">
        <v>0</v>
      </c>
      <c r="R457" s="2">
        <v>0</v>
      </c>
      <c r="S457" s="11">
        <v>1</v>
      </c>
      <c r="T457" s="11">
        <v>0</v>
      </c>
      <c r="U457" s="11">
        <v>0</v>
      </c>
      <c r="V457" s="2">
        <v>1</v>
      </c>
      <c r="W457" s="2">
        <v>1</v>
      </c>
      <c r="X457" s="2">
        <v>0</v>
      </c>
      <c r="Y457" s="2">
        <v>1</v>
      </c>
      <c r="Z457" s="26" t="s">
        <v>5167</v>
      </c>
      <c r="AA457" s="31">
        <v>1927.09</v>
      </c>
    </row>
    <row r="458" spans="1:27" ht="16" x14ac:dyDescent="0.2">
      <c r="A458" s="3" t="s">
        <v>3802</v>
      </c>
      <c r="B458" s="2" t="s">
        <v>3803</v>
      </c>
      <c r="C458" s="8">
        <v>10187</v>
      </c>
      <c r="D458" s="6">
        <v>1927</v>
      </c>
      <c r="E458" s="6">
        <v>1920</v>
      </c>
      <c r="F458" s="2">
        <v>1</v>
      </c>
      <c r="G458" s="2">
        <v>1</v>
      </c>
      <c r="H458" s="3" t="s">
        <v>3442</v>
      </c>
      <c r="I458" s="3" t="s">
        <v>3804</v>
      </c>
      <c r="J458" s="22" t="s">
        <v>1455</v>
      </c>
      <c r="K458" s="21" t="s">
        <v>1456</v>
      </c>
      <c r="L458" s="10">
        <v>8920</v>
      </c>
      <c r="M458" s="4">
        <v>42</v>
      </c>
      <c r="N458" s="2">
        <v>68</v>
      </c>
      <c r="O458" s="2">
        <v>1</v>
      </c>
      <c r="P458" s="2">
        <v>4</v>
      </c>
      <c r="Q458" s="2">
        <v>1</v>
      </c>
      <c r="R458" s="2">
        <v>0</v>
      </c>
      <c r="S458" s="11">
        <v>1</v>
      </c>
      <c r="T458" s="11">
        <v>0</v>
      </c>
      <c r="U458" s="11">
        <v>0</v>
      </c>
      <c r="V458" s="2">
        <v>0</v>
      </c>
      <c r="W458" s="2">
        <v>1</v>
      </c>
      <c r="X458" s="2">
        <v>0</v>
      </c>
      <c r="Y458" s="2">
        <v>0</v>
      </c>
      <c r="Z458" s="26" t="s">
        <v>5167</v>
      </c>
      <c r="AA458" s="31">
        <v>1927.1</v>
      </c>
    </row>
    <row r="459" spans="1:27" ht="16" x14ac:dyDescent="0.2">
      <c r="A459" s="3" t="s">
        <v>3809</v>
      </c>
      <c r="B459" s="2" t="s">
        <v>3810</v>
      </c>
      <c r="C459" s="8">
        <v>10290</v>
      </c>
      <c r="D459" s="6">
        <v>1928</v>
      </c>
      <c r="E459" s="6">
        <v>1920</v>
      </c>
      <c r="F459" s="2">
        <v>1</v>
      </c>
      <c r="G459" s="2">
        <v>1</v>
      </c>
      <c r="H459" s="3" t="s">
        <v>3442</v>
      </c>
      <c r="I459" s="3" t="s">
        <v>5109</v>
      </c>
      <c r="J459" s="3" t="s">
        <v>5110</v>
      </c>
      <c r="K459" s="15" t="s">
        <v>5111</v>
      </c>
      <c r="L459" s="10">
        <v>6757</v>
      </c>
      <c r="M459" s="4">
        <f>12*9+8</f>
        <v>116</v>
      </c>
      <c r="N459" s="2">
        <v>65</v>
      </c>
      <c r="O459" s="2">
        <v>4</v>
      </c>
      <c r="Q459" s="2">
        <v>0</v>
      </c>
      <c r="R459" s="2">
        <v>0</v>
      </c>
      <c r="S459" s="11">
        <v>1</v>
      </c>
      <c r="T459" s="11">
        <v>1</v>
      </c>
      <c r="U459" s="11">
        <v>1</v>
      </c>
      <c r="V459" s="2">
        <v>0</v>
      </c>
      <c r="W459" s="2">
        <v>1</v>
      </c>
      <c r="X459" s="2">
        <v>0</v>
      </c>
      <c r="Y459" s="2">
        <v>1</v>
      </c>
      <c r="Z459" s="26" t="s">
        <v>5167</v>
      </c>
      <c r="AA459" s="31">
        <v>1928.01</v>
      </c>
    </row>
    <row r="460" spans="1:27" ht="16" x14ac:dyDescent="0.2">
      <c r="A460" s="3" t="s">
        <v>1445</v>
      </c>
      <c r="B460" s="2" t="s">
        <v>1446</v>
      </c>
      <c r="C460" s="8">
        <v>10327</v>
      </c>
      <c r="D460" s="6">
        <v>1928</v>
      </c>
      <c r="E460" s="6">
        <v>1920</v>
      </c>
      <c r="F460" s="2">
        <v>0</v>
      </c>
      <c r="G460" s="2">
        <v>0</v>
      </c>
      <c r="H460" s="3" t="s">
        <v>27</v>
      </c>
      <c r="I460" s="3" t="s">
        <v>1441</v>
      </c>
      <c r="J460" s="21" t="s">
        <v>1338</v>
      </c>
      <c r="K460" s="21" t="s">
        <v>1339</v>
      </c>
      <c r="L460" s="10">
        <v>6995</v>
      </c>
      <c r="M460" s="4">
        <v>109</v>
      </c>
      <c r="N460" s="2">
        <v>65</v>
      </c>
      <c r="O460" s="2">
        <v>4</v>
      </c>
      <c r="Q460" s="2">
        <v>0</v>
      </c>
      <c r="R460" s="2">
        <v>0</v>
      </c>
      <c r="S460" s="11">
        <v>1</v>
      </c>
      <c r="T460" s="11">
        <v>0</v>
      </c>
      <c r="U460" s="11">
        <v>0</v>
      </c>
      <c r="V460" s="2">
        <v>0</v>
      </c>
      <c r="W460" s="2">
        <v>1</v>
      </c>
      <c r="X460" s="2">
        <v>3</v>
      </c>
      <c r="Y460" s="2">
        <v>1</v>
      </c>
      <c r="Z460" s="26" t="s">
        <v>5167</v>
      </c>
      <c r="AA460" s="31">
        <v>1928.02</v>
      </c>
    </row>
    <row r="461" spans="1:27" ht="16" x14ac:dyDescent="0.2">
      <c r="A461" s="3" t="s">
        <v>1442</v>
      </c>
      <c r="B461" s="2" t="s">
        <v>1443</v>
      </c>
      <c r="C461" s="8">
        <v>10327</v>
      </c>
      <c r="D461" s="6">
        <v>1928</v>
      </c>
      <c r="E461" s="6">
        <v>1920</v>
      </c>
      <c r="F461" s="2">
        <v>0</v>
      </c>
      <c r="G461" s="2">
        <v>0</v>
      </c>
      <c r="H461" s="3" t="s">
        <v>27</v>
      </c>
      <c r="I461" s="3" t="s">
        <v>1444</v>
      </c>
      <c r="J461" s="3" t="s">
        <v>1576</v>
      </c>
      <c r="K461" s="3" t="s">
        <v>1577</v>
      </c>
      <c r="L461" s="10">
        <v>8300</v>
      </c>
      <c r="M461" s="4">
        <v>66</v>
      </c>
      <c r="N461" s="2">
        <v>67</v>
      </c>
      <c r="O461" s="2">
        <v>6</v>
      </c>
      <c r="Q461" s="2">
        <v>1</v>
      </c>
      <c r="R461" s="2">
        <v>1</v>
      </c>
      <c r="S461" s="11">
        <v>1</v>
      </c>
      <c r="T461" s="11">
        <v>1</v>
      </c>
      <c r="U461" s="11">
        <v>0</v>
      </c>
      <c r="V461" s="2">
        <v>0</v>
      </c>
      <c r="W461" s="2">
        <v>1</v>
      </c>
      <c r="X461" s="2">
        <v>0</v>
      </c>
      <c r="Y461" s="2">
        <v>0</v>
      </c>
      <c r="Z461" s="26" t="s">
        <v>5167</v>
      </c>
      <c r="AA461" s="31">
        <v>1928.03</v>
      </c>
    </row>
    <row r="462" spans="1:27" ht="16" x14ac:dyDescent="0.2">
      <c r="A462" s="3" t="s">
        <v>1439</v>
      </c>
      <c r="B462" s="2" t="s">
        <v>1440</v>
      </c>
      <c r="C462" s="8">
        <v>10327</v>
      </c>
      <c r="D462" s="6">
        <v>1928</v>
      </c>
      <c r="E462" s="6">
        <v>1920</v>
      </c>
      <c r="F462" s="2">
        <v>0</v>
      </c>
      <c r="G462" s="2">
        <v>0</v>
      </c>
      <c r="H462" s="3" t="s">
        <v>27</v>
      </c>
      <c r="I462" s="3" t="s">
        <v>1441</v>
      </c>
      <c r="J462" s="21" t="s">
        <v>1338</v>
      </c>
      <c r="K462" s="21" t="s">
        <v>1339</v>
      </c>
      <c r="L462" s="10">
        <v>6995</v>
      </c>
      <c r="M462" s="4">
        <v>109</v>
      </c>
      <c r="N462" s="2">
        <v>65</v>
      </c>
      <c r="O462" s="2">
        <v>4</v>
      </c>
      <c r="Q462" s="2">
        <v>0</v>
      </c>
      <c r="R462" s="2">
        <v>0</v>
      </c>
      <c r="S462" s="11">
        <v>1</v>
      </c>
      <c r="T462" s="11">
        <v>1</v>
      </c>
      <c r="U462" s="11">
        <v>0</v>
      </c>
      <c r="V462" s="2">
        <v>0</v>
      </c>
      <c r="W462" s="2">
        <v>1</v>
      </c>
      <c r="X462" s="2">
        <v>4</v>
      </c>
      <c r="Y462" s="2">
        <v>1</v>
      </c>
      <c r="Z462" s="26" t="s">
        <v>5167</v>
      </c>
      <c r="AA462" s="31">
        <v>1928.04</v>
      </c>
    </row>
    <row r="463" spans="1:27" ht="12.75" customHeight="1" x14ac:dyDescent="0.2">
      <c r="A463" s="3" t="s">
        <v>3811</v>
      </c>
      <c r="B463" s="2" t="s">
        <v>3812</v>
      </c>
      <c r="C463" s="8">
        <v>10327</v>
      </c>
      <c r="D463" s="6">
        <v>1928</v>
      </c>
      <c r="E463" s="6">
        <v>1920</v>
      </c>
      <c r="F463" s="2">
        <v>1</v>
      </c>
      <c r="G463" s="2">
        <v>1</v>
      </c>
      <c r="H463" s="3" t="s">
        <v>3442</v>
      </c>
      <c r="I463" s="3" t="s">
        <v>3804</v>
      </c>
      <c r="J463" s="22" t="s">
        <v>1455</v>
      </c>
      <c r="K463" s="21" t="s">
        <v>1456</v>
      </c>
      <c r="L463" s="10">
        <v>8920</v>
      </c>
      <c r="M463" s="4">
        <v>46</v>
      </c>
      <c r="N463" s="2">
        <v>68</v>
      </c>
      <c r="O463" s="2">
        <v>4</v>
      </c>
      <c r="Q463" s="2">
        <v>1</v>
      </c>
      <c r="R463" s="2">
        <v>0</v>
      </c>
      <c r="S463" s="11">
        <v>1</v>
      </c>
      <c r="T463" s="11">
        <v>1</v>
      </c>
      <c r="U463" s="11">
        <v>1</v>
      </c>
      <c r="V463" s="2">
        <v>1</v>
      </c>
      <c r="W463" s="2">
        <v>1</v>
      </c>
      <c r="X463" s="2">
        <v>3</v>
      </c>
      <c r="Y463" s="2">
        <v>0</v>
      </c>
      <c r="Z463" s="26" t="s">
        <v>5167</v>
      </c>
      <c r="AA463" s="31">
        <v>1928.05</v>
      </c>
    </row>
    <row r="464" spans="1:27" ht="16" x14ac:dyDescent="0.2">
      <c r="A464" s="3" t="s">
        <v>3807</v>
      </c>
      <c r="B464" s="2" t="s">
        <v>3808</v>
      </c>
      <c r="C464" s="8">
        <v>10383</v>
      </c>
      <c r="D464" s="6">
        <v>1928</v>
      </c>
      <c r="E464" s="6">
        <v>1920</v>
      </c>
      <c r="F464" s="2">
        <v>1</v>
      </c>
      <c r="G464" s="2">
        <v>1</v>
      </c>
      <c r="H464" s="3" t="s">
        <v>3442</v>
      </c>
      <c r="I464" s="3" t="s">
        <v>1342</v>
      </c>
      <c r="J464" s="21" t="s">
        <v>1343</v>
      </c>
      <c r="K464" s="21" t="s">
        <v>1344</v>
      </c>
      <c r="L464" s="10">
        <v>7998</v>
      </c>
      <c r="M464" s="4">
        <v>78</v>
      </c>
      <c r="N464" s="2">
        <v>67</v>
      </c>
      <c r="O464" s="2">
        <v>4</v>
      </c>
      <c r="Q464" s="2">
        <v>0</v>
      </c>
      <c r="R464" s="2">
        <v>0</v>
      </c>
      <c r="S464" s="11">
        <v>1</v>
      </c>
      <c r="T464" s="11">
        <v>1</v>
      </c>
      <c r="U464" s="11">
        <v>1</v>
      </c>
      <c r="V464" s="2">
        <v>1</v>
      </c>
      <c r="W464" s="2">
        <v>1</v>
      </c>
      <c r="X464" s="2">
        <v>3</v>
      </c>
      <c r="Y464" s="2">
        <v>0</v>
      </c>
      <c r="Z464" s="26" t="s">
        <v>5167</v>
      </c>
      <c r="AA464" s="31">
        <v>1928.06</v>
      </c>
    </row>
    <row r="465" spans="1:27" ht="16" x14ac:dyDescent="0.2">
      <c r="A465" s="3" t="s">
        <v>1457</v>
      </c>
      <c r="B465" s="2" t="s">
        <v>1458</v>
      </c>
      <c r="C465" s="8">
        <v>10595</v>
      </c>
      <c r="D465" s="6">
        <v>1929</v>
      </c>
      <c r="E465" s="6">
        <v>1920</v>
      </c>
      <c r="F465" s="2">
        <v>0</v>
      </c>
      <c r="G465" s="2">
        <v>0</v>
      </c>
      <c r="H465" s="3" t="s">
        <v>27</v>
      </c>
      <c r="I465" s="3" t="s">
        <v>1342</v>
      </c>
      <c r="J465" s="21" t="s">
        <v>1343</v>
      </c>
      <c r="K465" s="21" t="s">
        <v>1344</v>
      </c>
      <c r="L465" s="10">
        <v>7998</v>
      </c>
      <c r="M465" s="4">
        <v>85</v>
      </c>
      <c r="N465" s="2">
        <v>67</v>
      </c>
      <c r="O465" s="2">
        <v>4</v>
      </c>
      <c r="Q465" s="2">
        <v>0</v>
      </c>
      <c r="R465" s="2">
        <v>0</v>
      </c>
      <c r="S465" s="11">
        <v>1</v>
      </c>
      <c r="T465" s="11">
        <v>0</v>
      </c>
      <c r="U465" s="11">
        <v>0</v>
      </c>
      <c r="V465" s="2">
        <v>0</v>
      </c>
      <c r="W465" s="2">
        <v>1</v>
      </c>
      <c r="X465" s="2">
        <v>2</v>
      </c>
      <c r="Y465" s="2">
        <v>0</v>
      </c>
      <c r="Z465" s="26" t="s">
        <v>5167</v>
      </c>
      <c r="AA465" s="31">
        <v>1929.01</v>
      </c>
    </row>
    <row r="466" spans="1:27" ht="16" x14ac:dyDescent="0.2">
      <c r="A466" s="3" t="s">
        <v>1482</v>
      </c>
      <c r="B466" s="2" t="s">
        <v>1483</v>
      </c>
      <c r="C466" s="8">
        <v>10607</v>
      </c>
      <c r="D466" s="6">
        <v>1929</v>
      </c>
      <c r="E466" s="6">
        <v>1920</v>
      </c>
      <c r="F466" s="2">
        <v>0</v>
      </c>
      <c r="G466" s="2">
        <v>0</v>
      </c>
      <c r="H466" s="3" t="s">
        <v>27</v>
      </c>
      <c r="I466" s="3" t="s">
        <v>915</v>
      </c>
      <c r="J466" s="3" t="s">
        <v>4175</v>
      </c>
      <c r="K466" s="15"/>
      <c r="L466" s="4" t="s">
        <v>830</v>
      </c>
      <c r="M466" s="4">
        <v>358</v>
      </c>
      <c r="N466" s="2">
        <v>55</v>
      </c>
      <c r="O466" s="2">
        <v>5</v>
      </c>
      <c r="Q466" s="2">
        <v>0</v>
      </c>
      <c r="R466" s="2">
        <v>0</v>
      </c>
      <c r="S466" s="11">
        <v>0</v>
      </c>
      <c r="T466" s="11">
        <v>0</v>
      </c>
      <c r="U466" s="11">
        <v>0</v>
      </c>
      <c r="V466" s="2">
        <v>0</v>
      </c>
      <c r="W466" s="2">
        <v>0</v>
      </c>
      <c r="X466" s="2">
        <v>0</v>
      </c>
      <c r="Y466" s="2">
        <v>0</v>
      </c>
      <c r="Z466" s="26" t="s">
        <v>5167</v>
      </c>
      <c r="AA466" s="31">
        <v>1929.02</v>
      </c>
    </row>
    <row r="467" spans="1:27" ht="12.75" customHeight="1" x14ac:dyDescent="0.2">
      <c r="A467" s="3" t="s">
        <v>1447</v>
      </c>
      <c r="B467" s="2" t="s">
        <v>1448</v>
      </c>
      <c r="C467" s="8">
        <v>10642</v>
      </c>
      <c r="D467" s="6">
        <v>1929</v>
      </c>
      <c r="E467" s="6">
        <v>1920</v>
      </c>
      <c r="F467" s="2">
        <v>0</v>
      </c>
      <c r="G467" s="2">
        <v>0</v>
      </c>
      <c r="H467" s="3" t="s">
        <v>27</v>
      </c>
      <c r="I467" s="3" t="s">
        <v>1449</v>
      </c>
      <c r="J467" s="21" t="s">
        <v>1450</v>
      </c>
      <c r="K467" s="21" t="s">
        <v>1451</v>
      </c>
      <c r="L467" s="10">
        <v>1572</v>
      </c>
      <c r="M467" s="4">
        <v>298</v>
      </c>
      <c r="N467" s="2">
        <v>58</v>
      </c>
      <c r="O467" s="2">
        <v>5</v>
      </c>
      <c r="Q467" s="2">
        <v>0</v>
      </c>
      <c r="R467" s="2">
        <v>0</v>
      </c>
      <c r="S467" s="11">
        <v>0</v>
      </c>
      <c r="T467" s="11">
        <v>0</v>
      </c>
      <c r="U467" s="11">
        <v>0</v>
      </c>
      <c r="V467" s="2">
        <v>0</v>
      </c>
      <c r="W467" s="2">
        <v>0</v>
      </c>
      <c r="X467" s="2">
        <v>0</v>
      </c>
      <c r="Y467" s="2">
        <v>0</v>
      </c>
      <c r="Z467" s="26" t="s">
        <v>5167</v>
      </c>
      <c r="AA467" s="31">
        <v>1929.03</v>
      </c>
    </row>
    <row r="468" spans="1:27" ht="12.75" customHeight="1" x14ac:dyDescent="0.2">
      <c r="A468" s="3" t="s">
        <v>1478</v>
      </c>
      <c r="B468" s="2" t="s">
        <v>1479</v>
      </c>
      <c r="C468" s="8">
        <v>10642</v>
      </c>
      <c r="D468" s="6">
        <v>1929</v>
      </c>
      <c r="E468" s="6">
        <v>1920</v>
      </c>
      <c r="F468" s="2">
        <v>0</v>
      </c>
      <c r="G468" s="2">
        <v>0</v>
      </c>
      <c r="H468" s="3" t="s">
        <v>27</v>
      </c>
      <c r="I468" s="3" t="s">
        <v>1342</v>
      </c>
      <c r="J468" s="21" t="s">
        <v>1343</v>
      </c>
      <c r="K468" s="21" t="s">
        <v>1344</v>
      </c>
      <c r="L468" s="10">
        <v>7998</v>
      </c>
      <c r="M468" s="4">
        <v>87</v>
      </c>
      <c r="N468" s="2">
        <v>67</v>
      </c>
      <c r="O468" s="2">
        <v>4</v>
      </c>
      <c r="Q468" s="2">
        <v>0</v>
      </c>
      <c r="R468" s="2">
        <v>0</v>
      </c>
      <c r="S468" s="11">
        <v>1</v>
      </c>
      <c r="T468" s="11">
        <v>1</v>
      </c>
      <c r="U468" s="11">
        <v>0</v>
      </c>
      <c r="V468" s="2">
        <v>0</v>
      </c>
      <c r="W468" s="2">
        <v>1</v>
      </c>
      <c r="X468" s="2">
        <v>0</v>
      </c>
      <c r="Y468" s="2">
        <v>0</v>
      </c>
      <c r="Z468" s="26" t="s">
        <v>5167</v>
      </c>
      <c r="AA468" s="31">
        <v>1929.04</v>
      </c>
    </row>
    <row r="469" spans="1:27" ht="16" x14ac:dyDescent="0.2">
      <c r="A469" s="3" t="s">
        <v>1469</v>
      </c>
      <c r="B469" s="2" t="s">
        <v>1470</v>
      </c>
      <c r="C469" s="8">
        <v>10691</v>
      </c>
      <c r="D469" s="6">
        <v>1929</v>
      </c>
      <c r="E469" s="6">
        <v>1920</v>
      </c>
      <c r="F469" s="2">
        <v>0</v>
      </c>
      <c r="G469" s="2">
        <v>0</v>
      </c>
      <c r="H469" s="3" t="s">
        <v>27</v>
      </c>
      <c r="I469" s="3" t="s">
        <v>1471</v>
      </c>
      <c r="J469" s="21" t="s">
        <v>1472</v>
      </c>
      <c r="K469" s="21" t="s">
        <v>1473</v>
      </c>
      <c r="L469" s="10">
        <v>6432</v>
      </c>
      <c r="M469" s="4">
        <v>140</v>
      </c>
      <c r="N469" s="2">
        <v>65</v>
      </c>
      <c r="O469" s="2">
        <v>4</v>
      </c>
      <c r="P469" s="2">
        <v>1</v>
      </c>
      <c r="Q469" s="2">
        <v>1</v>
      </c>
      <c r="R469" s="2">
        <v>1</v>
      </c>
      <c r="S469" s="11">
        <v>0</v>
      </c>
      <c r="T469" s="11">
        <v>1</v>
      </c>
      <c r="U469" s="11">
        <v>0</v>
      </c>
      <c r="V469" s="2">
        <v>0</v>
      </c>
      <c r="W469" s="2">
        <v>0</v>
      </c>
      <c r="X469" s="2">
        <v>0</v>
      </c>
      <c r="Y469" s="2">
        <v>1</v>
      </c>
      <c r="Z469" s="26" t="s">
        <v>5167</v>
      </c>
      <c r="AA469" s="31">
        <v>1929.05</v>
      </c>
    </row>
    <row r="470" spans="1:27" ht="16" x14ac:dyDescent="0.2">
      <c r="A470" s="3" t="s">
        <v>1476</v>
      </c>
      <c r="B470" s="2" t="s">
        <v>1477</v>
      </c>
      <c r="C470" s="8">
        <v>10691</v>
      </c>
      <c r="D470" s="6">
        <v>1929</v>
      </c>
      <c r="E470" s="6">
        <v>1920</v>
      </c>
      <c r="F470" s="2">
        <v>0</v>
      </c>
      <c r="G470" s="2">
        <v>0</v>
      </c>
      <c r="H470" s="3" t="s">
        <v>27</v>
      </c>
      <c r="I470" s="3" t="s">
        <v>5046</v>
      </c>
      <c r="J470" s="3" t="s">
        <v>4692</v>
      </c>
      <c r="K470" s="3" t="s">
        <v>4693</v>
      </c>
      <c r="L470" s="10">
        <v>7461</v>
      </c>
      <c r="M470" s="4">
        <v>106</v>
      </c>
      <c r="N470" s="2">
        <v>66</v>
      </c>
      <c r="O470" s="2">
        <v>1</v>
      </c>
      <c r="P470" s="2">
        <v>4</v>
      </c>
      <c r="Q470" s="2">
        <v>0</v>
      </c>
      <c r="R470" s="2">
        <v>0</v>
      </c>
      <c r="S470" s="11">
        <v>0</v>
      </c>
      <c r="T470" s="11">
        <v>0</v>
      </c>
      <c r="U470" s="11">
        <v>0</v>
      </c>
      <c r="V470" s="2">
        <v>0</v>
      </c>
      <c r="W470" s="2">
        <v>1</v>
      </c>
      <c r="X470" s="2">
        <v>0</v>
      </c>
      <c r="Y470" s="2">
        <v>0</v>
      </c>
      <c r="Z470" s="26" t="s">
        <v>5167</v>
      </c>
      <c r="AA470" s="31">
        <v>1929.06</v>
      </c>
    </row>
    <row r="471" spans="1:27" ht="12.75" customHeight="1" x14ac:dyDescent="0.2">
      <c r="A471" s="3" t="s">
        <v>1464</v>
      </c>
      <c r="B471" s="2" t="s">
        <v>1465</v>
      </c>
      <c r="C471" s="8">
        <v>10726</v>
      </c>
      <c r="D471" s="6">
        <v>1929</v>
      </c>
      <c r="E471" s="6">
        <v>1920</v>
      </c>
      <c r="F471" s="2">
        <v>0</v>
      </c>
      <c r="G471" s="2">
        <v>0</v>
      </c>
      <c r="H471" s="3" t="s">
        <v>27</v>
      </c>
      <c r="I471" s="3" t="s">
        <v>1466</v>
      </c>
      <c r="J471" s="3" t="s">
        <v>1467</v>
      </c>
      <c r="K471" s="21" t="s">
        <v>1468</v>
      </c>
      <c r="L471" s="10">
        <v>9918</v>
      </c>
      <c r="M471" s="4">
        <v>26</v>
      </c>
      <c r="N471" s="2">
        <v>69</v>
      </c>
      <c r="O471" s="2">
        <v>5</v>
      </c>
      <c r="P471" s="2">
        <v>4</v>
      </c>
      <c r="Q471" s="2">
        <v>0</v>
      </c>
      <c r="R471" s="2">
        <v>0</v>
      </c>
      <c r="S471" s="11">
        <v>0</v>
      </c>
      <c r="T471" s="11">
        <v>0</v>
      </c>
      <c r="U471" s="11">
        <v>0</v>
      </c>
      <c r="V471" s="2">
        <v>0</v>
      </c>
      <c r="W471" s="2">
        <v>0</v>
      </c>
      <c r="X471" s="2">
        <v>0</v>
      </c>
      <c r="Y471" s="2">
        <v>0</v>
      </c>
      <c r="Z471" s="26" t="s">
        <v>5167</v>
      </c>
      <c r="AA471" s="31">
        <v>1929.07</v>
      </c>
    </row>
    <row r="472" spans="1:27" ht="16" x14ac:dyDescent="0.2">
      <c r="A472" s="3" t="s">
        <v>1480</v>
      </c>
      <c r="B472" s="2" t="s">
        <v>1481</v>
      </c>
      <c r="C472" s="8">
        <v>10740</v>
      </c>
      <c r="D472" s="6">
        <v>1929</v>
      </c>
      <c r="E472" s="6">
        <v>1920</v>
      </c>
      <c r="F472" s="2">
        <v>0</v>
      </c>
      <c r="G472" s="2">
        <v>0</v>
      </c>
      <c r="H472" s="3" t="s">
        <v>27</v>
      </c>
      <c r="I472" s="3" t="s">
        <v>968</v>
      </c>
      <c r="J472" s="22" t="s">
        <v>969</v>
      </c>
      <c r="K472" s="21" t="s">
        <v>970</v>
      </c>
      <c r="L472" s="10">
        <v>2372</v>
      </c>
      <c r="M472" s="4">
        <v>275</v>
      </c>
      <c r="N472" s="2">
        <v>59</v>
      </c>
      <c r="O472" s="2">
        <v>1</v>
      </c>
      <c r="Q472" s="2">
        <v>1</v>
      </c>
      <c r="R472" s="2">
        <v>0</v>
      </c>
      <c r="S472" s="11">
        <v>1</v>
      </c>
      <c r="T472" s="11">
        <v>1</v>
      </c>
      <c r="U472" s="11">
        <v>1</v>
      </c>
      <c r="V472" s="2">
        <v>0</v>
      </c>
      <c r="W472" s="2">
        <v>1</v>
      </c>
      <c r="X472" s="2">
        <v>3</v>
      </c>
      <c r="Y472" s="2">
        <v>0</v>
      </c>
      <c r="Z472" s="26" t="s">
        <v>5167</v>
      </c>
      <c r="AA472" s="31">
        <v>1929.08</v>
      </c>
    </row>
    <row r="473" spans="1:27" ht="12.75" customHeight="1" x14ac:dyDescent="0.2">
      <c r="A473" s="3" t="s">
        <v>3813</v>
      </c>
      <c r="B473" s="2" t="s">
        <v>3814</v>
      </c>
      <c r="C473" s="8">
        <v>10740</v>
      </c>
      <c r="D473" s="6">
        <v>1929</v>
      </c>
      <c r="E473" s="6">
        <v>1920</v>
      </c>
      <c r="F473" s="2">
        <v>2</v>
      </c>
      <c r="G473" s="2">
        <v>1</v>
      </c>
      <c r="H473" s="3" t="s">
        <v>3434</v>
      </c>
      <c r="I473" s="3" t="s">
        <v>3815</v>
      </c>
      <c r="J473" s="3" t="s">
        <v>3816</v>
      </c>
      <c r="K473" s="21" t="s">
        <v>3817</v>
      </c>
      <c r="L473" s="10">
        <v>9672</v>
      </c>
      <c r="M473" s="4">
        <f>11+24</f>
        <v>35</v>
      </c>
      <c r="N473" s="2">
        <v>69</v>
      </c>
      <c r="O473" s="2">
        <v>6</v>
      </c>
      <c r="Q473" s="2">
        <v>0</v>
      </c>
      <c r="R473" s="2">
        <v>0</v>
      </c>
      <c r="S473" s="11">
        <v>1</v>
      </c>
      <c r="T473" s="11">
        <v>1</v>
      </c>
      <c r="U473" s="11">
        <v>0</v>
      </c>
      <c r="V473" s="2">
        <v>0</v>
      </c>
      <c r="W473" s="2">
        <v>1</v>
      </c>
      <c r="X473" s="2">
        <v>0</v>
      </c>
      <c r="Y473" s="2">
        <v>0</v>
      </c>
      <c r="Z473" s="26" t="s">
        <v>5167</v>
      </c>
      <c r="AA473" s="31">
        <v>1929.09</v>
      </c>
    </row>
    <row r="474" spans="1:27" ht="12.75" customHeight="1" x14ac:dyDescent="0.2">
      <c r="A474" s="3" t="s">
        <v>1474</v>
      </c>
      <c r="B474" s="2" t="s">
        <v>1475</v>
      </c>
      <c r="C474" s="8">
        <v>10747</v>
      </c>
      <c r="D474" s="6">
        <v>1929</v>
      </c>
      <c r="E474" s="6">
        <v>1920</v>
      </c>
      <c r="F474" s="2">
        <v>0</v>
      </c>
      <c r="G474" s="2">
        <v>0</v>
      </c>
      <c r="H474" s="3" t="s">
        <v>27</v>
      </c>
      <c r="I474" s="3" t="s">
        <v>1454</v>
      </c>
      <c r="J474" s="21" t="s">
        <v>1455</v>
      </c>
      <c r="K474" s="21" t="s">
        <v>1456</v>
      </c>
      <c r="L474" s="10">
        <v>9554</v>
      </c>
      <c r="M474" s="4">
        <v>45</v>
      </c>
      <c r="N474" s="2">
        <v>69</v>
      </c>
      <c r="O474" s="2">
        <v>4</v>
      </c>
      <c r="P474" s="2">
        <v>1</v>
      </c>
      <c r="Q474" s="2">
        <v>1</v>
      </c>
      <c r="R474" s="2">
        <v>0</v>
      </c>
      <c r="S474" s="11">
        <v>1</v>
      </c>
      <c r="T474" s="11">
        <v>0</v>
      </c>
      <c r="U474" s="11">
        <v>0</v>
      </c>
      <c r="V474" s="2">
        <v>0</v>
      </c>
      <c r="W474" s="2">
        <v>1</v>
      </c>
      <c r="X474" s="2">
        <v>1</v>
      </c>
      <c r="Y474" s="2">
        <v>0</v>
      </c>
      <c r="Z474" s="26" t="s">
        <v>5167</v>
      </c>
      <c r="AA474" s="31">
        <v>1929.1</v>
      </c>
    </row>
    <row r="475" spans="1:27" ht="12.75" customHeight="1" x14ac:dyDescent="0.2">
      <c r="A475" s="3" t="s">
        <v>1459</v>
      </c>
      <c r="B475" s="2" t="s">
        <v>1460</v>
      </c>
      <c r="C475" s="8">
        <v>10691</v>
      </c>
      <c r="D475" s="6">
        <v>1929</v>
      </c>
      <c r="E475" s="6">
        <v>1920</v>
      </c>
      <c r="F475" s="2">
        <v>0</v>
      </c>
      <c r="G475" s="2">
        <v>0</v>
      </c>
      <c r="H475" s="3" t="s">
        <v>27</v>
      </c>
      <c r="I475" s="3" t="s">
        <v>3480</v>
      </c>
      <c r="J475" s="19" t="s">
        <v>1461</v>
      </c>
      <c r="K475" s="18" t="s">
        <v>1462</v>
      </c>
      <c r="L475" s="4" t="s">
        <v>1463</v>
      </c>
      <c r="M475" s="4">
        <f>(12*129)+11</f>
        <v>1559</v>
      </c>
      <c r="N475" s="2">
        <v>5</v>
      </c>
      <c r="O475" s="2">
        <v>4</v>
      </c>
      <c r="Q475" s="2">
        <v>0</v>
      </c>
      <c r="R475" s="2">
        <v>0</v>
      </c>
      <c r="S475" s="11">
        <v>1</v>
      </c>
      <c r="T475" s="11">
        <v>1</v>
      </c>
      <c r="U475" s="11">
        <v>0</v>
      </c>
      <c r="V475" s="2">
        <v>0</v>
      </c>
      <c r="W475" s="2">
        <v>1</v>
      </c>
      <c r="X475" s="2">
        <v>0</v>
      </c>
      <c r="Y475" s="2">
        <v>1</v>
      </c>
      <c r="Z475" s="26" t="s">
        <v>5167</v>
      </c>
      <c r="AA475" s="31">
        <v>1929.11</v>
      </c>
    </row>
    <row r="476" spans="1:27" ht="16" x14ac:dyDescent="0.2">
      <c r="A476" s="3" t="s">
        <v>1452</v>
      </c>
      <c r="B476" s="2" t="s">
        <v>1453</v>
      </c>
      <c r="C476" s="8">
        <v>10922</v>
      </c>
      <c r="D476" s="6">
        <v>1929</v>
      </c>
      <c r="E476" s="6">
        <v>1920</v>
      </c>
      <c r="F476" s="2">
        <v>0</v>
      </c>
      <c r="G476" s="2">
        <v>0</v>
      </c>
      <c r="H476" s="3" t="s">
        <v>27</v>
      </c>
      <c r="I476" s="3" t="s">
        <v>1454</v>
      </c>
      <c r="J476" s="21" t="s">
        <v>1455</v>
      </c>
      <c r="K476" s="21" t="s">
        <v>1456</v>
      </c>
      <c r="L476" s="10">
        <v>9554</v>
      </c>
      <c r="M476" s="4">
        <v>45</v>
      </c>
      <c r="N476" s="2">
        <v>69</v>
      </c>
      <c r="O476" s="2">
        <v>4</v>
      </c>
      <c r="Q476" s="2">
        <v>1</v>
      </c>
      <c r="R476" s="2">
        <v>0</v>
      </c>
      <c r="S476" s="11">
        <v>1</v>
      </c>
      <c r="T476" s="11">
        <v>0</v>
      </c>
      <c r="U476" s="11">
        <v>0</v>
      </c>
      <c r="V476" s="2">
        <v>0</v>
      </c>
      <c r="W476" s="2">
        <v>1</v>
      </c>
      <c r="X476" s="2">
        <v>3</v>
      </c>
      <c r="Y476" s="2">
        <v>0</v>
      </c>
      <c r="Z476" s="26" t="s">
        <v>5167</v>
      </c>
      <c r="AA476" s="31">
        <v>1929.12</v>
      </c>
    </row>
    <row r="477" spans="1:27" ht="12.75" customHeight="1" x14ac:dyDescent="0.2">
      <c r="A477" s="3" t="s">
        <v>1499</v>
      </c>
      <c r="B477" s="2" t="s">
        <v>1500</v>
      </c>
      <c r="C477" s="8">
        <v>10964</v>
      </c>
      <c r="D477" s="2">
        <v>1930</v>
      </c>
      <c r="E477" s="2">
        <v>1930</v>
      </c>
      <c r="F477" s="2">
        <v>0</v>
      </c>
      <c r="G477" s="2">
        <v>0</v>
      </c>
      <c r="H477" s="3" t="s">
        <v>27</v>
      </c>
      <c r="I477" s="3" t="s">
        <v>1501</v>
      </c>
      <c r="J477" s="3" t="s">
        <v>1501</v>
      </c>
      <c r="K477" s="21" t="s">
        <v>1502</v>
      </c>
      <c r="L477" s="10">
        <v>2364</v>
      </c>
      <c r="M477" s="4">
        <f>7+(12*23)</f>
        <v>283</v>
      </c>
      <c r="N477" s="2">
        <v>59</v>
      </c>
      <c r="O477" s="2">
        <v>4</v>
      </c>
      <c r="Q477" s="2">
        <v>0</v>
      </c>
      <c r="R477" s="2">
        <v>0</v>
      </c>
      <c r="S477" s="11">
        <v>1</v>
      </c>
      <c r="T477" s="11">
        <v>0</v>
      </c>
      <c r="U477" s="11">
        <v>0</v>
      </c>
      <c r="V477" s="2">
        <v>0</v>
      </c>
      <c r="W477" s="2">
        <v>1</v>
      </c>
      <c r="X477" s="2">
        <v>0</v>
      </c>
      <c r="Y477" s="2">
        <v>0</v>
      </c>
      <c r="Z477" s="26" t="s">
        <v>5167</v>
      </c>
      <c r="AA477" s="31">
        <v>1930.01</v>
      </c>
    </row>
    <row r="478" spans="1:27" ht="16" x14ac:dyDescent="0.2">
      <c r="A478" s="3" t="s">
        <v>1484</v>
      </c>
      <c r="B478" s="2" t="s">
        <v>1485</v>
      </c>
      <c r="C478" s="8">
        <v>10985</v>
      </c>
      <c r="D478" s="2">
        <v>1930</v>
      </c>
      <c r="E478" s="2">
        <v>1930</v>
      </c>
      <c r="F478" s="2">
        <v>0</v>
      </c>
      <c r="G478" s="2">
        <v>0</v>
      </c>
      <c r="H478" s="3" t="s">
        <v>27</v>
      </c>
      <c r="I478" s="3" t="s">
        <v>1337</v>
      </c>
      <c r="J478" s="3" t="s">
        <v>1486</v>
      </c>
      <c r="K478" s="21" t="s">
        <v>1339</v>
      </c>
      <c r="L478" s="10">
        <v>6995</v>
      </c>
      <c r="M478" s="4">
        <f>120+11</f>
        <v>131</v>
      </c>
      <c r="N478" s="2">
        <v>65</v>
      </c>
      <c r="O478" s="2">
        <v>4</v>
      </c>
      <c r="Q478" s="2">
        <v>0</v>
      </c>
      <c r="R478" s="2">
        <v>0</v>
      </c>
      <c r="S478" s="11">
        <v>1</v>
      </c>
      <c r="T478" s="11">
        <v>1</v>
      </c>
      <c r="U478" s="11">
        <v>1</v>
      </c>
      <c r="V478" s="2">
        <v>0</v>
      </c>
      <c r="W478" s="2">
        <v>1</v>
      </c>
      <c r="X478" s="2">
        <v>0</v>
      </c>
      <c r="Y478" s="2">
        <v>1</v>
      </c>
      <c r="Z478" s="26" t="s">
        <v>5167</v>
      </c>
      <c r="AA478" s="31">
        <v>1930.02</v>
      </c>
    </row>
    <row r="479" spans="1:27" ht="16" x14ac:dyDescent="0.2">
      <c r="A479" s="3" t="s">
        <v>1503</v>
      </c>
      <c r="B479" s="2" t="s">
        <v>1504</v>
      </c>
      <c r="C479" s="8">
        <v>11013</v>
      </c>
      <c r="D479" s="2">
        <v>1930</v>
      </c>
      <c r="E479" s="2">
        <v>1930</v>
      </c>
      <c r="F479" s="2">
        <v>0</v>
      </c>
      <c r="G479" s="2">
        <v>0</v>
      </c>
      <c r="H479" s="3" t="s">
        <v>27</v>
      </c>
      <c r="I479" s="3" t="s">
        <v>5049</v>
      </c>
      <c r="J479" s="3" t="s">
        <v>1505</v>
      </c>
      <c r="K479" s="21" t="s">
        <v>1506</v>
      </c>
      <c r="L479" s="10">
        <v>9191</v>
      </c>
      <c r="M479" s="4">
        <v>60</v>
      </c>
      <c r="N479" s="2">
        <v>68</v>
      </c>
      <c r="O479" s="2">
        <v>5</v>
      </c>
      <c r="P479" s="2">
        <v>1</v>
      </c>
      <c r="Q479" s="2">
        <v>1</v>
      </c>
      <c r="R479" s="2">
        <v>1</v>
      </c>
      <c r="S479" s="11">
        <v>1</v>
      </c>
      <c r="T479" s="11">
        <v>0</v>
      </c>
      <c r="U479" s="11">
        <v>1</v>
      </c>
      <c r="V479" s="2">
        <v>0</v>
      </c>
      <c r="W479" s="2">
        <v>1</v>
      </c>
      <c r="X479" s="2">
        <v>0</v>
      </c>
      <c r="Y479" s="2">
        <v>0</v>
      </c>
      <c r="Z479" s="26" t="s">
        <v>5167</v>
      </c>
      <c r="AA479" s="31">
        <v>1930.03</v>
      </c>
    </row>
    <row r="480" spans="1:27" ht="16" x14ac:dyDescent="0.2">
      <c r="A480" s="3" t="s">
        <v>1490</v>
      </c>
      <c r="B480" s="2" t="s">
        <v>1491</v>
      </c>
      <c r="C480" s="8">
        <v>11013</v>
      </c>
      <c r="D480" s="2">
        <v>1930</v>
      </c>
      <c r="E480" s="2">
        <v>1930</v>
      </c>
      <c r="F480" s="2">
        <v>0</v>
      </c>
      <c r="G480" s="2">
        <v>0</v>
      </c>
      <c r="H480" s="3" t="s">
        <v>27</v>
      </c>
      <c r="I480" s="3" t="s">
        <v>1307</v>
      </c>
      <c r="J480" s="3" t="s">
        <v>1308</v>
      </c>
      <c r="K480" s="21" t="s">
        <v>1309</v>
      </c>
      <c r="L480" s="10">
        <v>7898</v>
      </c>
      <c r="M480" s="4">
        <f>6+(8*12)</f>
        <v>102</v>
      </c>
      <c r="N480" s="2">
        <v>67</v>
      </c>
      <c r="O480" s="2">
        <v>4</v>
      </c>
      <c r="Q480" s="2">
        <v>1</v>
      </c>
      <c r="R480" s="2">
        <v>1</v>
      </c>
      <c r="S480" s="11">
        <v>1</v>
      </c>
      <c r="T480" s="11">
        <v>0</v>
      </c>
      <c r="U480" s="11">
        <v>0</v>
      </c>
      <c r="V480" s="2">
        <v>0</v>
      </c>
      <c r="W480" s="2">
        <v>1</v>
      </c>
      <c r="X480" s="2">
        <v>0</v>
      </c>
      <c r="Y480" s="2">
        <v>0</v>
      </c>
      <c r="Z480" s="26" t="s">
        <v>5167</v>
      </c>
      <c r="AA480" s="31">
        <v>1930.04</v>
      </c>
    </row>
    <row r="481" spans="1:27" ht="16" x14ac:dyDescent="0.2">
      <c r="A481" s="3" t="s">
        <v>1487</v>
      </c>
      <c r="B481" s="2" t="s">
        <v>1488</v>
      </c>
      <c r="C481" s="8">
        <v>11076</v>
      </c>
      <c r="D481" s="2">
        <v>1930</v>
      </c>
      <c r="E481" s="2">
        <v>1930</v>
      </c>
      <c r="F481" s="2">
        <v>0</v>
      </c>
      <c r="G481" s="2">
        <v>0</v>
      </c>
      <c r="H481" s="3" t="s">
        <v>27</v>
      </c>
      <c r="I481" s="3" t="s">
        <v>4888</v>
      </c>
      <c r="J481" s="3" t="s">
        <v>1489</v>
      </c>
      <c r="K481" s="21" t="s">
        <v>1456</v>
      </c>
      <c r="L481" s="10">
        <v>8920</v>
      </c>
      <c r="M481" s="4">
        <f>10+(5*12)</f>
        <v>70</v>
      </c>
      <c r="N481" s="2">
        <v>68</v>
      </c>
      <c r="O481" s="2">
        <v>4</v>
      </c>
      <c r="Q481" s="2">
        <v>1</v>
      </c>
      <c r="R481" s="2">
        <v>0</v>
      </c>
      <c r="S481" s="11">
        <v>1</v>
      </c>
      <c r="T481" s="11">
        <v>1</v>
      </c>
      <c r="U481" s="11">
        <v>0</v>
      </c>
      <c r="V481" s="2">
        <v>0</v>
      </c>
      <c r="W481" s="2">
        <v>1</v>
      </c>
      <c r="X481" s="2">
        <v>0</v>
      </c>
      <c r="Y481" s="2">
        <v>0</v>
      </c>
      <c r="Z481" s="26" t="s">
        <v>5167</v>
      </c>
      <c r="AA481" s="31">
        <v>1930.05</v>
      </c>
    </row>
    <row r="482" spans="1:27" ht="16" x14ac:dyDescent="0.2">
      <c r="A482" s="3" t="s">
        <v>1496</v>
      </c>
      <c r="B482" s="2" t="s">
        <v>1497</v>
      </c>
      <c r="C482" s="8">
        <v>11097</v>
      </c>
      <c r="D482" s="2">
        <v>1930</v>
      </c>
      <c r="E482" s="2">
        <v>1930</v>
      </c>
      <c r="F482" s="2">
        <v>0</v>
      </c>
      <c r="G482" s="2">
        <v>0</v>
      </c>
      <c r="H482" s="3" t="s">
        <v>27</v>
      </c>
      <c r="I482" s="3" t="s">
        <v>3728</v>
      </c>
      <c r="J482" s="3" t="s">
        <v>1498</v>
      </c>
      <c r="K482" s="21" t="s">
        <v>1269</v>
      </c>
      <c r="L482" s="10">
        <v>6096</v>
      </c>
      <c r="M482" s="4">
        <f>(12*13)+8</f>
        <v>164</v>
      </c>
      <c r="N482" s="2">
        <v>64</v>
      </c>
      <c r="O482" s="2">
        <v>4</v>
      </c>
      <c r="Q482" s="2">
        <v>1</v>
      </c>
      <c r="R482" s="2">
        <v>0</v>
      </c>
      <c r="S482" s="11">
        <v>1</v>
      </c>
      <c r="T482" s="11">
        <v>1</v>
      </c>
      <c r="U482" s="11">
        <v>1</v>
      </c>
      <c r="V482" s="2">
        <v>0</v>
      </c>
      <c r="W482" s="2">
        <v>1</v>
      </c>
      <c r="X482" s="2">
        <v>0</v>
      </c>
      <c r="Y482" s="2">
        <v>1</v>
      </c>
      <c r="Z482" s="26" t="s">
        <v>5167</v>
      </c>
      <c r="AA482" s="31">
        <v>1930.06</v>
      </c>
    </row>
    <row r="483" spans="1:27" ht="16" x14ac:dyDescent="0.2">
      <c r="A483" s="3" t="s">
        <v>1492</v>
      </c>
      <c r="B483" s="2" t="s">
        <v>1493</v>
      </c>
      <c r="C483" s="8">
        <v>11104</v>
      </c>
      <c r="D483" s="2">
        <v>1930</v>
      </c>
      <c r="E483" s="2">
        <v>1930</v>
      </c>
      <c r="F483" s="2">
        <v>0</v>
      </c>
      <c r="G483" s="2">
        <v>0</v>
      </c>
      <c r="H483" s="3" t="s">
        <v>27</v>
      </c>
      <c r="I483" s="3" t="s">
        <v>4889</v>
      </c>
      <c r="J483" s="3" t="s">
        <v>1494</v>
      </c>
      <c r="K483" s="21" t="s">
        <v>1495</v>
      </c>
      <c r="L483" s="10">
        <v>9637</v>
      </c>
      <c r="M483" s="4">
        <f>4*12</f>
        <v>48</v>
      </c>
      <c r="N483" s="2">
        <v>69</v>
      </c>
      <c r="O483" s="2">
        <v>5</v>
      </c>
      <c r="P483" s="2">
        <v>4</v>
      </c>
      <c r="Q483" s="2">
        <v>1</v>
      </c>
      <c r="R483" s="2">
        <v>0</v>
      </c>
      <c r="S483" s="11">
        <v>0</v>
      </c>
      <c r="T483" s="11">
        <v>1</v>
      </c>
      <c r="U483" s="11">
        <v>0</v>
      </c>
      <c r="V483" s="2">
        <v>0</v>
      </c>
      <c r="W483" s="2">
        <v>0</v>
      </c>
      <c r="X483" s="2">
        <v>0</v>
      </c>
      <c r="Y483" s="2">
        <v>0</v>
      </c>
      <c r="Z483" s="26" t="s">
        <v>5167</v>
      </c>
      <c r="AA483" s="31">
        <v>1930.07</v>
      </c>
    </row>
    <row r="484" spans="1:27" ht="16" x14ac:dyDescent="0.2">
      <c r="A484" s="3" t="s">
        <v>3818</v>
      </c>
      <c r="B484" s="2" t="s">
        <v>3819</v>
      </c>
      <c r="C484" s="8">
        <v>11111</v>
      </c>
      <c r="D484" s="2">
        <v>1930</v>
      </c>
      <c r="E484" s="2">
        <v>1930</v>
      </c>
      <c r="F484" s="2">
        <v>1</v>
      </c>
      <c r="G484" s="2">
        <v>1</v>
      </c>
      <c r="H484" s="3" t="s">
        <v>3442</v>
      </c>
      <c r="I484" s="3" t="s">
        <v>5051</v>
      </c>
      <c r="J484" s="3" t="s">
        <v>3820</v>
      </c>
      <c r="K484" s="21" t="s">
        <v>3821</v>
      </c>
      <c r="L484" s="10">
        <v>9162</v>
      </c>
      <c r="M484" s="4">
        <f>4+(5*12)</f>
        <v>64</v>
      </c>
      <c r="N484" s="2">
        <v>68</v>
      </c>
      <c r="O484" s="2">
        <v>4</v>
      </c>
      <c r="Q484" s="2">
        <v>0</v>
      </c>
      <c r="R484" s="2">
        <v>0</v>
      </c>
      <c r="S484" s="11">
        <v>1</v>
      </c>
      <c r="T484" s="11">
        <v>0</v>
      </c>
      <c r="U484" s="11">
        <v>1</v>
      </c>
      <c r="V484" s="2">
        <v>0</v>
      </c>
      <c r="W484" s="2">
        <v>1</v>
      </c>
      <c r="X484" s="2">
        <v>0</v>
      </c>
      <c r="Y484" s="2">
        <v>0</v>
      </c>
      <c r="Z484" s="26" t="s">
        <v>5167</v>
      </c>
      <c r="AA484" s="31">
        <v>1930.08</v>
      </c>
    </row>
    <row r="485" spans="1:27" ht="16" x14ac:dyDescent="0.2">
      <c r="A485" s="3" t="s">
        <v>1530</v>
      </c>
      <c r="B485" s="2" t="s">
        <v>1531</v>
      </c>
      <c r="C485" s="8">
        <v>11328</v>
      </c>
      <c r="D485" s="2">
        <v>1931</v>
      </c>
      <c r="E485" s="2">
        <v>1930</v>
      </c>
      <c r="F485" s="2">
        <v>0</v>
      </c>
      <c r="G485" s="2">
        <v>0</v>
      </c>
      <c r="H485" s="3" t="s">
        <v>27</v>
      </c>
      <c r="I485" s="3" t="s">
        <v>4888</v>
      </c>
      <c r="J485" s="3" t="s">
        <v>1532</v>
      </c>
      <c r="K485" s="21" t="s">
        <v>1456</v>
      </c>
      <c r="L485" s="10">
        <v>8920</v>
      </c>
      <c r="M485" s="4">
        <f>(6*12)+7</f>
        <v>79</v>
      </c>
      <c r="N485" s="2">
        <v>68</v>
      </c>
      <c r="O485" s="2">
        <v>5</v>
      </c>
      <c r="Q485" s="2">
        <v>1</v>
      </c>
      <c r="R485" s="2">
        <v>0</v>
      </c>
      <c r="S485" s="11">
        <v>1</v>
      </c>
      <c r="T485" s="11">
        <v>1</v>
      </c>
      <c r="U485" s="11">
        <v>1</v>
      </c>
      <c r="V485" s="2">
        <v>0</v>
      </c>
      <c r="W485" s="2">
        <v>1</v>
      </c>
      <c r="X485" s="2">
        <v>0</v>
      </c>
      <c r="Y485" s="2">
        <v>0</v>
      </c>
      <c r="Z485" s="26" t="s">
        <v>5167</v>
      </c>
      <c r="AA485" s="31">
        <v>1931.01</v>
      </c>
    </row>
    <row r="486" spans="1:27" ht="16" x14ac:dyDescent="0.2">
      <c r="A486" s="3" t="s">
        <v>1507</v>
      </c>
      <c r="B486" s="2" t="s">
        <v>1508</v>
      </c>
      <c r="C486" s="8">
        <v>11349</v>
      </c>
      <c r="D486" s="2">
        <v>1931</v>
      </c>
      <c r="E486" s="2">
        <v>1930</v>
      </c>
      <c r="F486" s="2">
        <v>0</v>
      </c>
      <c r="G486" s="2">
        <v>0</v>
      </c>
      <c r="H486" s="3" t="s">
        <v>27</v>
      </c>
      <c r="I486" s="3" t="s">
        <v>4890</v>
      </c>
      <c r="J486" s="3" t="s">
        <v>1509</v>
      </c>
      <c r="K486" s="21" t="s">
        <v>1510</v>
      </c>
      <c r="L486" s="10">
        <v>10377</v>
      </c>
      <c r="M486" s="4">
        <f>24+8</f>
        <v>32</v>
      </c>
      <c r="N486" s="2">
        <v>70</v>
      </c>
      <c r="O486" s="2">
        <v>4</v>
      </c>
      <c r="Q486" s="2">
        <v>0</v>
      </c>
      <c r="R486" s="2">
        <v>0</v>
      </c>
      <c r="S486" s="11">
        <v>1</v>
      </c>
      <c r="T486" s="11">
        <v>1</v>
      </c>
      <c r="U486" s="11">
        <v>0</v>
      </c>
      <c r="V486" s="2">
        <v>0</v>
      </c>
      <c r="W486" s="2">
        <v>1</v>
      </c>
      <c r="X486" s="2">
        <v>0</v>
      </c>
      <c r="Y486" s="2">
        <v>0</v>
      </c>
      <c r="Z486" s="26" t="s">
        <v>5167</v>
      </c>
      <c r="AA486" s="31">
        <v>1931.02</v>
      </c>
    </row>
    <row r="487" spans="1:27" ht="16" x14ac:dyDescent="0.2">
      <c r="A487" s="3" t="s">
        <v>3826</v>
      </c>
      <c r="B487" s="2" t="s">
        <v>3827</v>
      </c>
      <c r="C487" s="8">
        <v>11378</v>
      </c>
      <c r="D487" s="2">
        <v>1931</v>
      </c>
      <c r="E487" s="2">
        <v>1930</v>
      </c>
      <c r="F487" s="2">
        <v>1</v>
      </c>
      <c r="G487" s="2">
        <v>1</v>
      </c>
      <c r="H487" s="3" t="s">
        <v>3442</v>
      </c>
      <c r="I487" s="3" t="s">
        <v>5095</v>
      </c>
      <c r="J487" s="3" t="s">
        <v>3828</v>
      </c>
      <c r="K487" s="21" t="s">
        <v>1328</v>
      </c>
      <c r="L487" s="10">
        <v>6376</v>
      </c>
      <c r="M487" s="4">
        <f>(13*12)+8</f>
        <v>164</v>
      </c>
      <c r="N487" s="2">
        <v>65</v>
      </c>
      <c r="O487" s="2">
        <v>4</v>
      </c>
      <c r="Q487" s="2">
        <v>0</v>
      </c>
      <c r="R487" s="2">
        <v>0</v>
      </c>
      <c r="S487" s="11">
        <v>1</v>
      </c>
      <c r="T487" s="11">
        <v>1</v>
      </c>
      <c r="U487" s="11">
        <v>1</v>
      </c>
      <c r="V487" s="2">
        <v>0</v>
      </c>
      <c r="W487" s="2">
        <v>1</v>
      </c>
      <c r="X487" s="2">
        <v>0</v>
      </c>
      <c r="Y487" s="2">
        <v>1</v>
      </c>
      <c r="Z487" s="26" t="s">
        <v>5167</v>
      </c>
      <c r="AA487" s="31">
        <v>1931.03</v>
      </c>
    </row>
    <row r="488" spans="1:27" ht="16" x14ac:dyDescent="0.2">
      <c r="A488" s="3" t="s">
        <v>1527</v>
      </c>
      <c r="B488" s="2" t="s">
        <v>1528</v>
      </c>
      <c r="C488" s="8">
        <v>11378</v>
      </c>
      <c r="D488" s="2">
        <v>1931</v>
      </c>
      <c r="E488" s="2">
        <v>1930</v>
      </c>
      <c r="F488" s="2">
        <v>0</v>
      </c>
      <c r="G488" s="2">
        <v>0</v>
      </c>
      <c r="H488" s="3" t="s">
        <v>27</v>
      </c>
      <c r="I488" s="3" t="s">
        <v>1529</v>
      </c>
      <c r="J488" s="22" t="s">
        <v>1227</v>
      </c>
      <c r="K488" s="21" t="s">
        <v>1228</v>
      </c>
      <c r="L488" s="10">
        <v>7241</v>
      </c>
      <c r="M488" s="4">
        <f>(12*11)+4</f>
        <v>136</v>
      </c>
      <c r="N488" s="2">
        <v>66</v>
      </c>
      <c r="O488" s="2">
        <v>6</v>
      </c>
      <c r="P488" s="2">
        <v>5</v>
      </c>
      <c r="Q488" s="2">
        <v>1</v>
      </c>
      <c r="R488" s="2">
        <v>1</v>
      </c>
      <c r="S488" s="11">
        <v>1</v>
      </c>
      <c r="T488" s="11">
        <v>0</v>
      </c>
      <c r="U488" s="11">
        <v>1</v>
      </c>
      <c r="V488" s="2">
        <v>0</v>
      </c>
      <c r="W488" s="2">
        <v>1</v>
      </c>
      <c r="X488" s="2">
        <v>0</v>
      </c>
      <c r="Y488" s="2">
        <v>0</v>
      </c>
      <c r="Z488" s="26" t="s">
        <v>5167</v>
      </c>
      <c r="AA488" s="31">
        <v>1931.04</v>
      </c>
    </row>
    <row r="489" spans="1:27" ht="16" x14ac:dyDescent="0.2">
      <c r="A489" s="3" t="s">
        <v>1516</v>
      </c>
      <c r="B489" s="2" t="s">
        <v>1517</v>
      </c>
      <c r="C489" s="8">
        <v>11384</v>
      </c>
      <c r="D489" s="2">
        <v>1931</v>
      </c>
      <c r="E489" s="2">
        <v>1930</v>
      </c>
      <c r="F489" s="2">
        <v>0</v>
      </c>
      <c r="G489" s="2">
        <v>0</v>
      </c>
      <c r="H489" s="3" t="s">
        <v>27</v>
      </c>
      <c r="I489" s="3" t="s">
        <v>1337</v>
      </c>
      <c r="J489" s="3" t="s">
        <v>1518</v>
      </c>
      <c r="K489" s="21" t="s">
        <v>1339</v>
      </c>
      <c r="L489" s="10">
        <v>6995</v>
      </c>
      <c r="M489" s="4">
        <f>1+(12*12)</f>
        <v>145</v>
      </c>
      <c r="N489" s="2">
        <v>65</v>
      </c>
      <c r="O489" s="2">
        <v>1</v>
      </c>
      <c r="P489" s="2">
        <v>4</v>
      </c>
      <c r="Q489" s="2">
        <v>0</v>
      </c>
      <c r="R489" s="2">
        <v>0</v>
      </c>
      <c r="S489" s="11">
        <v>1</v>
      </c>
      <c r="T489" s="11">
        <v>1</v>
      </c>
      <c r="U489" s="11">
        <v>0</v>
      </c>
      <c r="V489" s="2">
        <v>0</v>
      </c>
      <c r="W489" s="2">
        <v>1</v>
      </c>
      <c r="X489" s="2">
        <v>0</v>
      </c>
      <c r="Y489" s="2">
        <v>1</v>
      </c>
      <c r="Z489" s="26" t="s">
        <v>5167</v>
      </c>
      <c r="AA489" s="31">
        <v>1931.05</v>
      </c>
    </row>
    <row r="490" spans="1:27" ht="16" x14ac:dyDescent="0.2">
      <c r="A490" s="3" t="s">
        <v>1511</v>
      </c>
      <c r="B490" s="2" t="s">
        <v>1512</v>
      </c>
      <c r="C490" s="8">
        <v>11426</v>
      </c>
      <c r="D490" s="2">
        <v>1931</v>
      </c>
      <c r="E490" s="2">
        <v>1930</v>
      </c>
      <c r="F490" s="2">
        <v>0</v>
      </c>
      <c r="G490" s="2">
        <v>0</v>
      </c>
      <c r="H490" s="3" t="s">
        <v>27</v>
      </c>
      <c r="I490" s="3" t="s">
        <v>4890</v>
      </c>
      <c r="J490" s="3" t="s">
        <v>1743</v>
      </c>
      <c r="K490" s="3" t="s">
        <v>1510</v>
      </c>
      <c r="L490" s="10">
        <v>10377</v>
      </c>
      <c r="M490" s="4">
        <f>11+24</f>
        <v>35</v>
      </c>
      <c r="N490" s="2">
        <v>70</v>
      </c>
      <c r="O490" s="2">
        <v>5</v>
      </c>
      <c r="Q490" s="2">
        <v>0</v>
      </c>
      <c r="R490" s="2">
        <v>0</v>
      </c>
      <c r="S490" s="11">
        <v>1</v>
      </c>
      <c r="T490" s="11">
        <v>1</v>
      </c>
      <c r="U490" s="11">
        <v>0</v>
      </c>
      <c r="V490" s="2">
        <v>0</v>
      </c>
      <c r="W490" s="2">
        <v>1</v>
      </c>
      <c r="X490" s="2">
        <v>0</v>
      </c>
      <c r="Y490" s="2">
        <v>0</v>
      </c>
      <c r="Z490" s="26" t="s">
        <v>5167</v>
      </c>
      <c r="AA490" s="31">
        <v>1931.06</v>
      </c>
    </row>
    <row r="491" spans="1:27" ht="16" x14ac:dyDescent="0.2">
      <c r="A491" s="3" t="s">
        <v>3824</v>
      </c>
      <c r="B491" s="2" t="s">
        <v>3825</v>
      </c>
      <c r="C491" s="8">
        <v>11468</v>
      </c>
      <c r="D491" s="2">
        <v>1931</v>
      </c>
      <c r="E491" s="2">
        <v>1930</v>
      </c>
      <c r="F491" s="2">
        <v>1</v>
      </c>
      <c r="G491" s="2">
        <v>1</v>
      </c>
      <c r="H491" s="3" t="s">
        <v>3442</v>
      </c>
      <c r="I491" s="3" t="s">
        <v>1262</v>
      </c>
      <c r="J491" s="3" t="s">
        <v>3769</v>
      </c>
      <c r="K491" s="21" t="s">
        <v>1152</v>
      </c>
      <c r="L491" s="10">
        <v>6486</v>
      </c>
      <c r="M491" s="4">
        <f>8+(12*13)</f>
        <v>164</v>
      </c>
      <c r="N491" s="2">
        <v>65</v>
      </c>
      <c r="O491" s="2">
        <v>4</v>
      </c>
      <c r="Q491" s="2">
        <v>1</v>
      </c>
      <c r="R491" s="2">
        <v>0</v>
      </c>
      <c r="S491" s="2">
        <v>1</v>
      </c>
      <c r="T491" s="2">
        <v>0</v>
      </c>
      <c r="W491" s="2">
        <v>1</v>
      </c>
      <c r="X491" s="2">
        <v>2</v>
      </c>
      <c r="Y491" s="2">
        <v>1</v>
      </c>
      <c r="Z491" s="26" t="s">
        <v>5167</v>
      </c>
      <c r="AA491" s="31">
        <v>1931.07</v>
      </c>
    </row>
    <row r="492" spans="1:27" ht="16" x14ac:dyDescent="0.2">
      <c r="A492" s="3" t="s">
        <v>1519</v>
      </c>
      <c r="B492" s="2" t="s">
        <v>1520</v>
      </c>
      <c r="C492" s="8">
        <v>11468</v>
      </c>
      <c r="D492" s="2">
        <v>1931</v>
      </c>
      <c r="E492" s="2">
        <v>1930</v>
      </c>
      <c r="F492" s="2">
        <v>0</v>
      </c>
      <c r="G492" s="2">
        <v>0</v>
      </c>
      <c r="H492" s="3" t="s">
        <v>27</v>
      </c>
      <c r="I492" s="3" t="s">
        <v>4891</v>
      </c>
      <c r="J492" s="3" t="s">
        <v>1521</v>
      </c>
      <c r="K492" s="21" t="s">
        <v>1416</v>
      </c>
      <c r="L492" s="10">
        <v>9554</v>
      </c>
      <c r="M492" s="4">
        <f>3+(5*12)</f>
        <v>63</v>
      </c>
      <c r="N492" s="2">
        <v>69</v>
      </c>
      <c r="O492" s="2">
        <v>1</v>
      </c>
      <c r="Q492" s="2">
        <v>1</v>
      </c>
      <c r="R492" s="2">
        <v>0</v>
      </c>
      <c r="S492" s="11">
        <v>1</v>
      </c>
      <c r="T492" s="11">
        <v>1</v>
      </c>
      <c r="U492" s="11">
        <v>0</v>
      </c>
      <c r="V492" s="2">
        <v>0</v>
      </c>
      <c r="W492" s="2">
        <v>1</v>
      </c>
      <c r="X492" s="2">
        <v>0</v>
      </c>
      <c r="Y492" s="2">
        <v>0</v>
      </c>
      <c r="Z492" s="26" t="s">
        <v>5167</v>
      </c>
      <c r="AA492" s="31">
        <v>1931.08</v>
      </c>
    </row>
    <row r="493" spans="1:27" ht="16" x14ac:dyDescent="0.2">
      <c r="A493" s="3" t="s">
        <v>1525</v>
      </c>
      <c r="B493" s="2" t="s">
        <v>1526</v>
      </c>
      <c r="C493" s="8">
        <v>11468</v>
      </c>
      <c r="D493" s="2">
        <v>1931</v>
      </c>
      <c r="E493" s="2">
        <v>1930</v>
      </c>
      <c r="F493" s="2">
        <v>0</v>
      </c>
      <c r="G493" s="2">
        <v>0</v>
      </c>
      <c r="H493" s="3" t="s">
        <v>27</v>
      </c>
      <c r="I493" s="3" t="s">
        <v>968</v>
      </c>
      <c r="J493" s="3" t="s">
        <v>969</v>
      </c>
      <c r="K493" s="21" t="s">
        <v>970</v>
      </c>
      <c r="L493" s="10">
        <v>2372</v>
      </c>
      <c r="M493" s="4">
        <f>(24*12)+11</f>
        <v>299</v>
      </c>
      <c r="N493" s="2">
        <v>59</v>
      </c>
      <c r="O493" s="2">
        <v>2</v>
      </c>
      <c r="Q493" s="2">
        <v>1</v>
      </c>
      <c r="R493" s="2">
        <v>0</v>
      </c>
      <c r="S493" s="11">
        <v>1</v>
      </c>
      <c r="T493" s="11">
        <v>1</v>
      </c>
      <c r="U493" s="11">
        <v>1</v>
      </c>
      <c r="V493" s="2">
        <v>0</v>
      </c>
      <c r="W493" s="2">
        <v>1</v>
      </c>
      <c r="X493" s="2">
        <v>4</v>
      </c>
      <c r="Y493" s="2">
        <v>0</v>
      </c>
      <c r="Z493" s="26" t="s">
        <v>5167</v>
      </c>
      <c r="AA493" s="31">
        <v>1931.09</v>
      </c>
    </row>
    <row r="494" spans="1:27" ht="16" x14ac:dyDescent="0.2">
      <c r="A494" s="3" t="s">
        <v>1513</v>
      </c>
      <c r="B494" s="2" t="s">
        <v>1514</v>
      </c>
      <c r="C494" s="8">
        <v>11650</v>
      </c>
      <c r="D494" s="2">
        <v>1931</v>
      </c>
      <c r="E494" s="2">
        <v>1930</v>
      </c>
      <c r="F494" s="2">
        <v>0</v>
      </c>
      <c r="G494" s="2">
        <v>0</v>
      </c>
      <c r="H494" s="3" t="s">
        <v>27</v>
      </c>
      <c r="I494" s="3" t="s">
        <v>1515</v>
      </c>
      <c r="J494" s="3" t="s">
        <v>2104</v>
      </c>
      <c r="K494" s="15"/>
      <c r="L494" s="4" t="s">
        <v>688</v>
      </c>
      <c r="M494" s="4">
        <f>(44*12)+9</f>
        <v>537</v>
      </c>
      <c r="N494" s="2">
        <v>49</v>
      </c>
      <c r="O494" s="2">
        <v>5</v>
      </c>
      <c r="P494" s="2">
        <v>4</v>
      </c>
      <c r="Q494" s="2">
        <v>1</v>
      </c>
      <c r="R494" s="2">
        <v>1</v>
      </c>
      <c r="S494" s="11">
        <v>1</v>
      </c>
      <c r="T494" s="11">
        <v>0</v>
      </c>
      <c r="U494" s="11">
        <v>0</v>
      </c>
      <c r="V494" s="2">
        <v>0</v>
      </c>
      <c r="W494" s="2">
        <v>0</v>
      </c>
      <c r="X494" s="2">
        <v>0</v>
      </c>
      <c r="Y494" s="2">
        <v>1</v>
      </c>
      <c r="Z494" s="26" t="s">
        <v>5167</v>
      </c>
      <c r="AA494" s="31">
        <v>1931.1</v>
      </c>
    </row>
    <row r="495" spans="1:27" ht="16" x14ac:dyDescent="0.2">
      <c r="A495" s="3" t="s">
        <v>1522</v>
      </c>
      <c r="B495" s="2" t="s">
        <v>1523</v>
      </c>
      <c r="C495" s="8">
        <v>11650</v>
      </c>
      <c r="D495" s="2">
        <v>1931</v>
      </c>
      <c r="E495" s="2">
        <v>1930</v>
      </c>
      <c r="F495" s="2">
        <v>0</v>
      </c>
      <c r="G495" s="2">
        <v>0</v>
      </c>
      <c r="H495" s="3" t="s">
        <v>27</v>
      </c>
      <c r="I495" s="3" t="s">
        <v>4888</v>
      </c>
      <c r="J495" s="3" t="s">
        <v>1524</v>
      </c>
      <c r="K495" s="21" t="s">
        <v>1456</v>
      </c>
      <c r="L495" s="10">
        <v>8920</v>
      </c>
      <c r="M495" s="4">
        <f>(7*12)+5</f>
        <v>89</v>
      </c>
      <c r="N495" s="2">
        <v>68</v>
      </c>
      <c r="O495" s="2">
        <v>4</v>
      </c>
      <c r="P495" s="2">
        <v>1</v>
      </c>
      <c r="Q495" s="2">
        <v>1</v>
      </c>
      <c r="R495" s="2">
        <v>0</v>
      </c>
      <c r="S495" s="11">
        <v>1</v>
      </c>
      <c r="T495" s="11">
        <v>1</v>
      </c>
      <c r="U495" s="11">
        <v>1</v>
      </c>
      <c r="V495" s="2">
        <v>0</v>
      </c>
      <c r="W495" s="2">
        <v>1</v>
      </c>
      <c r="X495" s="2">
        <v>0</v>
      </c>
      <c r="Y495" s="2">
        <v>0</v>
      </c>
      <c r="Z495" s="26" t="s">
        <v>5167</v>
      </c>
      <c r="AA495" s="31">
        <v>1931.11</v>
      </c>
    </row>
    <row r="496" spans="1:27" ht="16" x14ac:dyDescent="0.2">
      <c r="A496" s="3" t="s">
        <v>3822</v>
      </c>
      <c r="B496" s="2" t="s">
        <v>3823</v>
      </c>
      <c r="C496" s="8">
        <v>11650</v>
      </c>
      <c r="D496" s="2">
        <v>1931</v>
      </c>
      <c r="E496" s="2">
        <v>1930</v>
      </c>
      <c r="F496" s="2">
        <v>1</v>
      </c>
      <c r="G496" s="2">
        <v>1</v>
      </c>
      <c r="H496" s="3" t="s">
        <v>3442</v>
      </c>
      <c r="I496" s="3" t="s">
        <v>4892</v>
      </c>
      <c r="J496" s="3" t="s">
        <v>1303</v>
      </c>
      <c r="K496" s="21" t="s">
        <v>1304</v>
      </c>
      <c r="L496" s="10">
        <v>7364</v>
      </c>
      <c r="M496" s="4">
        <f>9+(12*11)</f>
        <v>141</v>
      </c>
      <c r="N496" s="2">
        <v>66</v>
      </c>
      <c r="O496" s="2">
        <v>4</v>
      </c>
      <c r="Q496" s="2">
        <v>1</v>
      </c>
      <c r="R496" s="2">
        <v>0</v>
      </c>
      <c r="S496" s="11">
        <v>1</v>
      </c>
      <c r="T496" s="11">
        <v>0</v>
      </c>
      <c r="U496" s="11">
        <v>1</v>
      </c>
      <c r="V496" s="2">
        <v>0</v>
      </c>
      <c r="W496" s="2">
        <v>1</v>
      </c>
      <c r="X496" s="2">
        <v>3</v>
      </c>
      <c r="Y496" s="2">
        <v>0</v>
      </c>
      <c r="Z496" s="26" t="s">
        <v>5167</v>
      </c>
      <c r="AA496" s="31">
        <v>1931.12</v>
      </c>
    </row>
    <row r="497" spans="1:27" ht="16" x14ac:dyDescent="0.2">
      <c r="A497" s="3" t="s">
        <v>3829</v>
      </c>
      <c r="B497" s="2" t="s">
        <v>3830</v>
      </c>
      <c r="C497" s="8">
        <v>11692</v>
      </c>
      <c r="D497" s="2">
        <v>1932</v>
      </c>
      <c r="E497" s="2">
        <v>1930</v>
      </c>
      <c r="F497" s="2">
        <v>1</v>
      </c>
      <c r="G497" s="2">
        <v>1</v>
      </c>
      <c r="H497" s="3" t="s">
        <v>3442</v>
      </c>
      <c r="I497" s="3" t="s">
        <v>5051</v>
      </c>
      <c r="J497" s="3" t="s">
        <v>3820</v>
      </c>
      <c r="K497" s="21" t="s">
        <v>3821</v>
      </c>
      <c r="L497" s="10">
        <v>9162</v>
      </c>
      <c r="M497" s="4">
        <f>11+(12*6)</f>
        <v>83</v>
      </c>
      <c r="N497" s="2">
        <v>68</v>
      </c>
      <c r="O497" s="2">
        <v>4</v>
      </c>
      <c r="Q497" s="2">
        <v>0</v>
      </c>
      <c r="R497" s="2">
        <v>0</v>
      </c>
      <c r="S497" s="11">
        <v>1</v>
      </c>
      <c r="T497" s="11">
        <v>0</v>
      </c>
      <c r="U497" s="11">
        <v>1</v>
      </c>
      <c r="V497" s="2">
        <v>0</v>
      </c>
      <c r="W497" s="2">
        <v>1</v>
      </c>
      <c r="X497" s="2">
        <v>0</v>
      </c>
      <c r="Y497" s="2">
        <v>0</v>
      </c>
      <c r="Z497" s="26" t="s">
        <v>5167</v>
      </c>
      <c r="AA497" s="31">
        <v>1932.01</v>
      </c>
    </row>
    <row r="498" spans="1:27" ht="16" x14ac:dyDescent="0.2">
      <c r="A498" s="3" t="s">
        <v>1559</v>
      </c>
      <c r="B498" s="2" t="s">
        <v>1560</v>
      </c>
      <c r="C498" s="8">
        <v>11692</v>
      </c>
      <c r="D498" s="2">
        <v>1932</v>
      </c>
      <c r="E498" s="2">
        <v>1930</v>
      </c>
      <c r="F498" s="2">
        <v>0</v>
      </c>
      <c r="G498" s="2">
        <v>0</v>
      </c>
      <c r="H498" s="3" t="s">
        <v>27</v>
      </c>
      <c r="I498" s="3" t="s">
        <v>4893</v>
      </c>
      <c r="J498" s="3" t="s">
        <v>1561</v>
      </c>
      <c r="K498" s="21" t="s">
        <v>1562</v>
      </c>
      <c r="L498" s="10">
        <v>9175</v>
      </c>
      <c r="M498" s="4">
        <v>83</v>
      </c>
      <c r="N498" s="2">
        <v>68</v>
      </c>
      <c r="O498" s="2">
        <v>6</v>
      </c>
      <c r="Q498" s="2">
        <v>0</v>
      </c>
      <c r="R498" s="2">
        <v>0</v>
      </c>
      <c r="S498" s="11">
        <v>0</v>
      </c>
      <c r="T498" s="11">
        <v>1</v>
      </c>
      <c r="U498" s="11">
        <v>0</v>
      </c>
      <c r="V498" s="2">
        <v>0</v>
      </c>
      <c r="W498" s="2">
        <v>0</v>
      </c>
      <c r="X498" s="2">
        <v>0</v>
      </c>
      <c r="Y498" s="2">
        <v>0</v>
      </c>
      <c r="Z498" s="26" t="s">
        <v>5167</v>
      </c>
      <c r="AA498" s="31">
        <v>1932.02</v>
      </c>
    </row>
    <row r="499" spans="1:27" ht="16" x14ac:dyDescent="0.2">
      <c r="A499" s="3" t="s">
        <v>1536</v>
      </c>
      <c r="B499" s="2" t="s">
        <v>1537</v>
      </c>
      <c r="C499" s="8">
        <v>11734</v>
      </c>
      <c r="D499" s="2">
        <v>1932</v>
      </c>
      <c r="E499" s="2">
        <v>1930</v>
      </c>
      <c r="F499" s="2">
        <v>0</v>
      </c>
      <c r="G499" s="2">
        <v>0</v>
      </c>
      <c r="H499" s="3" t="s">
        <v>27</v>
      </c>
      <c r="I499" s="3" t="s">
        <v>5079</v>
      </c>
      <c r="J499" s="3" t="s">
        <v>1538</v>
      </c>
      <c r="K499" s="21" t="s">
        <v>1539</v>
      </c>
      <c r="L499" s="10">
        <v>9681</v>
      </c>
      <c r="M499" s="4">
        <f>7+(12*5)</f>
        <v>67</v>
      </c>
      <c r="N499" s="2">
        <v>69</v>
      </c>
      <c r="O499" s="2">
        <v>1</v>
      </c>
      <c r="Q499" s="2">
        <v>0</v>
      </c>
      <c r="R499" s="2">
        <v>0</v>
      </c>
      <c r="S499" s="11">
        <v>0</v>
      </c>
      <c r="T499" s="11">
        <v>1</v>
      </c>
      <c r="U499" s="11">
        <v>0</v>
      </c>
      <c r="V499" s="2">
        <v>0</v>
      </c>
      <c r="W499" s="2">
        <v>1</v>
      </c>
      <c r="X499" s="2">
        <v>0</v>
      </c>
      <c r="Y499" s="2">
        <v>0</v>
      </c>
      <c r="Z499" s="26" t="s">
        <v>5167</v>
      </c>
      <c r="AA499" s="31">
        <v>1932.03</v>
      </c>
    </row>
    <row r="500" spans="1:27" ht="16" x14ac:dyDescent="0.2">
      <c r="A500" s="3" t="s">
        <v>1540</v>
      </c>
      <c r="B500" s="2" t="s">
        <v>1541</v>
      </c>
      <c r="C500" s="8">
        <v>11762</v>
      </c>
      <c r="D500" s="2">
        <v>1932</v>
      </c>
      <c r="E500" s="2">
        <v>1930</v>
      </c>
      <c r="F500" s="2">
        <v>0</v>
      </c>
      <c r="G500" s="2">
        <v>0</v>
      </c>
      <c r="H500" s="3" t="s">
        <v>27</v>
      </c>
      <c r="I500" s="3" t="s">
        <v>4894</v>
      </c>
      <c r="J500" s="3" t="s">
        <v>1542</v>
      </c>
      <c r="K500" s="21" t="s">
        <v>1339</v>
      </c>
      <c r="L500" s="10">
        <v>6995</v>
      </c>
      <c r="M500" s="4">
        <f>11+144</f>
        <v>155</v>
      </c>
      <c r="N500" s="2">
        <v>65</v>
      </c>
      <c r="O500" s="2">
        <v>4</v>
      </c>
      <c r="Q500" s="2">
        <v>0</v>
      </c>
      <c r="R500" s="2">
        <v>0</v>
      </c>
      <c r="S500" s="11">
        <v>1</v>
      </c>
      <c r="T500" s="11">
        <v>1</v>
      </c>
      <c r="U500" s="11">
        <v>0</v>
      </c>
      <c r="V500" s="2">
        <v>0</v>
      </c>
      <c r="W500" s="2">
        <v>1</v>
      </c>
      <c r="X500" s="2">
        <v>0</v>
      </c>
      <c r="Y500" s="2">
        <v>1</v>
      </c>
      <c r="Z500" s="26" t="s">
        <v>5167</v>
      </c>
      <c r="AA500" s="31">
        <v>1932.04</v>
      </c>
    </row>
    <row r="501" spans="1:27" ht="16" x14ac:dyDescent="0.2">
      <c r="A501" s="3" t="s">
        <v>3839</v>
      </c>
      <c r="B501" s="2" t="s">
        <v>3840</v>
      </c>
      <c r="C501" s="8">
        <v>11769</v>
      </c>
      <c r="D501" s="2">
        <v>1932</v>
      </c>
      <c r="E501" s="2">
        <v>1930</v>
      </c>
      <c r="F501" s="2">
        <v>2</v>
      </c>
      <c r="G501" s="2">
        <v>1</v>
      </c>
      <c r="H501" s="3" t="s">
        <v>3434</v>
      </c>
      <c r="I501" s="3" t="s">
        <v>4891</v>
      </c>
      <c r="J501" s="3" t="s">
        <v>1634</v>
      </c>
      <c r="K501" s="21" t="s">
        <v>1416</v>
      </c>
      <c r="L501" s="10">
        <v>9554</v>
      </c>
      <c r="M501" s="4">
        <f>(6*12)+1</f>
        <v>73</v>
      </c>
      <c r="N501" s="2">
        <v>69</v>
      </c>
      <c r="O501" s="2">
        <v>4</v>
      </c>
      <c r="Q501" s="2">
        <v>1</v>
      </c>
      <c r="R501" s="2">
        <v>0</v>
      </c>
      <c r="S501" s="11">
        <v>1</v>
      </c>
      <c r="T501" s="11">
        <v>0</v>
      </c>
      <c r="U501" s="11">
        <v>0</v>
      </c>
      <c r="V501" s="2">
        <v>1</v>
      </c>
      <c r="W501" s="2">
        <v>1</v>
      </c>
      <c r="X501" s="2">
        <v>2</v>
      </c>
      <c r="Y501" s="2">
        <v>0</v>
      </c>
      <c r="Z501" s="26" t="s">
        <v>5167</v>
      </c>
      <c r="AA501" s="31">
        <v>1932.05</v>
      </c>
    </row>
    <row r="502" spans="1:27" ht="16" x14ac:dyDescent="0.2">
      <c r="A502" s="3" t="s">
        <v>3831</v>
      </c>
      <c r="B502" s="2" t="s">
        <v>3832</v>
      </c>
      <c r="C502" s="8">
        <v>11790</v>
      </c>
      <c r="D502" s="2">
        <v>1932</v>
      </c>
      <c r="E502" s="2">
        <v>1930</v>
      </c>
      <c r="F502" s="2">
        <v>1</v>
      </c>
      <c r="G502" s="2">
        <v>1</v>
      </c>
      <c r="H502" s="3" t="s">
        <v>3442</v>
      </c>
      <c r="I502" s="3" t="s">
        <v>4894</v>
      </c>
      <c r="J502" s="3" t="s">
        <v>1338</v>
      </c>
      <c r="K502" s="21" t="s">
        <v>1339</v>
      </c>
      <c r="L502" s="10">
        <v>6995</v>
      </c>
      <c r="M502" s="4">
        <f>(12*13)+2</f>
        <v>158</v>
      </c>
      <c r="N502" s="2">
        <v>65</v>
      </c>
      <c r="O502" s="2">
        <v>5</v>
      </c>
      <c r="Q502" s="2">
        <v>0</v>
      </c>
      <c r="R502" s="2">
        <v>0</v>
      </c>
      <c r="S502" s="11">
        <v>1</v>
      </c>
      <c r="T502" s="11">
        <v>1</v>
      </c>
      <c r="U502" s="11">
        <v>0</v>
      </c>
      <c r="V502" s="2">
        <v>0</v>
      </c>
      <c r="W502" s="2">
        <v>1</v>
      </c>
      <c r="X502" s="2">
        <v>4</v>
      </c>
      <c r="Y502" s="2">
        <v>1</v>
      </c>
      <c r="Z502" s="26" t="s">
        <v>5167</v>
      </c>
      <c r="AA502" s="31">
        <v>1932.06</v>
      </c>
    </row>
    <row r="503" spans="1:27" ht="16" x14ac:dyDescent="0.2">
      <c r="A503" s="3" t="s">
        <v>1543</v>
      </c>
      <c r="B503" s="2" t="s">
        <v>1544</v>
      </c>
      <c r="C503" s="8">
        <v>11742</v>
      </c>
      <c r="D503" s="2">
        <v>1932</v>
      </c>
      <c r="E503" s="2">
        <v>1930</v>
      </c>
      <c r="F503" s="2">
        <v>0</v>
      </c>
      <c r="G503" s="2">
        <v>0</v>
      </c>
      <c r="H503" s="3" t="s">
        <v>27</v>
      </c>
      <c r="I503" s="3" t="s">
        <v>4895</v>
      </c>
      <c r="J503" s="3" t="s">
        <v>1545</v>
      </c>
      <c r="K503" s="21" t="s">
        <v>1546</v>
      </c>
      <c r="L503" s="10">
        <v>9925</v>
      </c>
      <c r="M503" s="4">
        <f>11+(12*4)</f>
        <v>59</v>
      </c>
      <c r="N503" s="2">
        <v>69</v>
      </c>
      <c r="O503" s="2">
        <v>4</v>
      </c>
      <c r="Q503" s="2">
        <v>0</v>
      </c>
      <c r="R503" s="2">
        <v>0</v>
      </c>
      <c r="S503" s="11">
        <v>1</v>
      </c>
      <c r="T503" s="11">
        <v>1</v>
      </c>
      <c r="U503" s="11">
        <v>0</v>
      </c>
      <c r="V503" s="2">
        <v>0</v>
      </c>
      <c r="W503" s="2">
        <v>1</v>
      </c>
      <c r="X503" s="2">
        <v>0</v>
      </c>
      <c r="Y503" s="2">
        <v>0</v>
      </c>
      <c r="Z503" s="26" t="s">
        <v>5167</v>
      </c>
      <c r="AA503" s="31">
        <v>1932.07</v>
      </c>
    </row>
    <row r="504" spans="1:27" ht="16" x14ac:dyDescent="0.2">
      <c r="A504" s="3" t="s">
        <v>1556</v>
      </c>
      <c r="B504" s="2" t="s">
        <v>1557</v>
      </c>
      <c r="C504" s="8">
        <v>11825</v>
      </c>
      <c r="D504" s="2">
        <v>1932</v>
      </c>
      <c r="E504" s="2">
        <v>1930</v>
      </c>
      <c r="F504" s="2">
        <v>0</v>
      </c>
      <c r="G504" s="2">
        <v>0</v>
      </c>
      <c r="H504" s="3" t="s">
        <v>27</v>
      </c>
      <c r="I504" s="3" t="s">
        <v>4890</v>
      </c>
      <c r="J504" s="3" t="s">
        <v>1558</v>
      </c>
      <c r="K504" s="21" t="s">
        <v>1510</v>
      </c>
      <c r="L504" s="10">
        <v>10377</v>
      </c>
      <c r="M504" s="4">
        <v>48</v>
      </c>
      <c r="N504" s="2">
        <v>70</v>
      </c>
      <c r="O504" s="2">
        <v>4</v>
      </c>
      <c r="Q504" s="2">
        <v>0</v>
      </c>
      <c r="R504" s="2">
        <v>0</v>
      </c>
      <c r="S504" s="11">
        <v>1</v>
      </c>
      <c r="T504" s="11">
        <v>0</v>
      </c>
      <c r="U504" s="11">
        <v>0</v>
      </c>
      <c r="V504" s="2">
        <v>0</v>
      </c>
      <c r="W504" s="2">
        <v>1</v>
      </c>
      <c r="X504" s="2">
        <v>0</v>
      </c>
      <c r="Y504" s="2">
        <v>0</v>
      </c>
      <c r="Z504" s="26" t="s">
        <v>5167</v>
      </c>
      <c r="AA504" s="31">
        <v>1932.08</v>
      </c>
    </row>
    <row r="505" spans="1:27" ht="16" x14ac:dyDescent="0.2">
      <c r="A505" s="3" t="s">
        <v>1533</v>
      </c>
      <c r="B505" s="2" t="s">
        <v>1534</v>
      </c>
      <c r="C505" s="8">
        <v>11832</v>
      </c>
      <c r="D505" s="2">
        <v>1932</v>
      </c>
      <c r="E505" s="2">
        <v>1930</v>
      </c>
      <c r="F505" s="2">
        <v>0</v>
      </c>
      <c r="G505" s="2">
        <v>0</v>
      </c>
      <c r="H505" s="3" t="s">
        <v>27</v>
      </c>
      <c r="I505" s="3" t="s">
        <v>779</v>
      </c>
      <c r="J505" s="3" t="s">
        <v>1535</v>
      </c>
      <c r="K505" s="15"/>
      <c r="L505" s="4" t="s">
        <v>780</v>
      </c>
      <c r="M505" s="4">
        <f>(41*12)+10</f>
        <v>502</v>
      </c>
      <c r="N505" s="2">
        <v>51</v>
      </c>
      <c r="O505" s="2">
        <v>4</v>
      </c>
      <c r="P505" s="2">
        <v>5</v>
      </c>
      <c r="Q505" s="2">
        <v>1</v>
      </c>
      <c r="R505" s="2">
        <v>0</v>
      </c>
      <c r="S505" s="11">
        <v>1</v>
      </c>
      <c r="T505" s="11">
        <v>0</v>
      </c>
      <c r="U505" s="11">
        <v>0</v>
      </c>
      <c r="V505" s="2">
        <v>0</v>
      </c>
      <c r="W505" s="2">
        <v>1</v>
      </c>
      <c r="X505" s="2">
        <v>0</v>
      </c>
      <c r="Y505" s="2">
        <v>0</v>
      </c>
      <c r="Z505" s="26" t="s">
        <v>5167</v>
      </c>
      <c r="AA505" s="31">
        <v>1932.09</v>
      </c>
    </row>
    <row r="506" spans="1:27" ht="16" x14ac:dyDescent="0.2">
      <c r="A506" s="3" t="s">
        <v>1547</v>
      </c>
      <c r="B506" s="2" t="s">
        <v>1548</v>
      </c>
      <c r="C506" s="8">
        <v>11840</v>
      </c>
      <c r="D506" s="2">
        <v>1932</v>
      </c>
      <c r="E506" s="2">
        <v>1930</v>
      </c>
      <c r="F506" s="2">
        <v>0</v>
      </c>
      <c r="G506" s="2">
        <v>0</v>
      </c>
      <c r="H506" s="3" t="s">
        <v>27</v>
      </c>
      <c r="I506" s="3" t="s">
        <v>5043</v>
      </c>
      <c r="J506" s="3" t="s">
        <v>1549</v>
      </c>
      <c r="K506" s="21"/>
      <c r="L506" s="10">
        <v>11387</v>
      </c>
      <c r="M506" s="4">
        <f>14</f>
        <v>14</v>
      </c>
      <c r="N506" s="2">
        <v>71</v>
      </c>
      <c r="O506" s="2">
        <v>6</v>
      </c>
      <c r="Q506" s="2">
        <v>0</v>
      </c>
      <c r="R506" s="2">
        <v>0</v>
      </c>
      <c r="S506" s="11">
        <v>1</v>
      </c>
      <c r="T506" s="11">
        <v>0</v>
      </c>
      <c r="U506" s="11">
        <v>0</v>
      </c>
      <c r="V506" s="2">
        <v>0</v>
      </c>
      <c r="W506" s="2">
        <v>1</v>
      </c>
      <c r="X506" s="2">
        <v>0</v>
      </c>
      <c r="Y506" s="2">
        <v>0</v>
      </c>
      <c r="Z506" s="26" t="s">
        <v>5167</v>
      </c>
      <c r="AA506" s="31">
        <v>1932.1</v>
      </c>
    </row>
    <row r="507" spans="1:27" ht="16" x14ac:dyDescent="0.2">
      <c r="A507" s="3" t="s">
        <v>3833</v>
      </c>
      <c r="B507" s="2" t="s">
        <v>3834</v>
      </c>
      <c r="C507" s="8">
        <v>11840</v>
      </c>
      <c r="D507" s="2">
        <v>1932</v>
      </c>
      <c r="E507" s="2">
        <v>1930</v>
      </c>
      <c r="F507" s="2">
        <v>1</v>
      </c>
      <c r="G507" s="2">
        <v>1</v>
      </c>
      <c r="H507" s="3" t="s">
        <v>3442</v>
      </c>
      <c r="I507" s="3" t="s">
        <v>3835</v>
      </c>
      <c r="J507" s="3" t="s">
        <v>3835</v>
      </c>
      <c r="K507" s="21" t="s">
        <v>3836</v>
      </c>
      <c r="L507" s="10">
        <v>6080</v>
      </c>
      <c r="M507" s="4">
        <f>(15*12)+9</f>
        <v>189</v>
      </c>
      <c r="N507" s="2">
        <v>64</v>
      </c>
      <c r="O507" s="2">
        <v>5</v>
      </c>
      <c r="Q507" s="2">
        <v>0</v>
      </c>
      <c r="R507" s="2">
        <v>0</v>
      </c>
      <c r="S507" s="11">
        <v>1</v>
      </c>
      <c r="T507" s="11">
        <v>0</v>
      </c>
      <c r="U507" s="11">
        <v>0</v>
      </c>
      <c r="V507" s="2">
        <v>0</v>
      </c>
      <c r="W507" s="2">
        <v>1</v>
      </c>
      <c r="X507" s="2">
        <v>2</v>
      </c>
      <c r="Y507" s="2">
        <v>1</v>
      </c>
      <c r="Z507" s="26" t="s">
        <v>5167</v>
      </c>
      <c r="AA507" s="31">
        <v>1932.11</v>
      </c>
    </row>
    <row r="508" spans="1:27" ht="16" x14ac:dyDescent="0.2">
      <c r="A508" s="3" t="s">
        <v>1563</v>
      </c>
      <c r="B508" s="2" t="s">
        <v>1564</v>
      </c>
      <c r="C508" s="8">
        <v>12000</v>
      </c>
      <c r="D508" s="2">
        <v>1932</v>
      </c>
      <c r="E508" s="2">
        <v>1930</v>
      </c>
      <c r="F508" s="2">
        <v>0</v>
      </c>
      <c r="G508" s="2">
        <v>0</v>
      </c>
      <c r="H508" s="3" t="s">
        <v>27</v>
      </c>
      <c r="I508" s="3" t="s">
        <v>5042</v>
      </c>
      <c r="J508" s="3" t="s">
        <v>5041</v>
      </c>
      <c r="K508" s="3" t="s">
        <v>1304</v>
      </c>
      <c r="L508" s="10">
        <v>7364</v>
      </c>
      <c r="M508" s="4">
        <f>9+144</f>
        <v>153</v>
      </c>
      <c r="N508" s="2">
        <v>66</v>
      </c>
      <c r="O508" s="2">
        <v>6</v>
      </c>
      <c r="Q508" s="2">
        <v>1</v>
      </c>
      <c r="R508" s="2">
        <v>0</v>
      </c>
      <c r="S508" s="11">
        <v>1</v>
      </c>
      <c r="T508" s="11">
        <v>0</v>
      </c>
      <c r="U508" s="11">
        <v>0</v>
      </c>
      <c r="V508" s="2">
        <v>0</v>
      </c>
      <c r="W508" s="2">
        <v>1</v>
      </c>
      <c r="X508" s="2">
        <v>0</v>
      </c>
      <c r="Y508" s="2">
        <v>0</v>
      </c>
      <c r="Z508" s="26" t="s">
        <v>5167</v>
      </c>
      <c r="AA508" s="31">
        <v>1932.12</v>
      </c>
    </row>
    <row r="509" spans="1:27" ht="16" x14ac:dyDescent="0.2">
      <c r="A509" s="3" t="s">
        <v>3837</v>
      </c>
      <c r="B509" s="2" t="s">
        <v>3838</v>
      </c>
      <c r="C509" s="8">
        <v>12000</v>
      </c>
      <c r="D509" s="2">
        <v>1932</v>
      </c>
      <c r="E509" s="2">
        <v>1930</v>
      </c>
      <c r="F509" s="2">
        <v>1</v>
      </c>
      <c r="G509" s="2">
        <v>1</v>
      </c>
      <c r="H509" s="3" t="s">
        <v>3442</v>
      </c>
      <c r="I509" s="3" t="s">
        <v>1529</v>
      </c>
      <c r="J509" s="22" t="s">
        <v>1227</v>
      </c>
      <c r="K509" s="21" t="s">
        <v>1228</v>
      </c>
      <c r="L509" s="10">
        <v>7241</v>
      </c>
      <c r="M509" s="4">
        <f>(13*12)+1</f>
        <v>157</v>
      </c>
      <c r="N509" s="2">
        <v>66</v>
      </c>
      <c r="O509" s="2">
        <v>1</v>
      </c>
      <c r="Q509" s="2">
        <v>1</v>
      </c>
      <c r="R509" s="2">
        <v>0</v>
      </c>
      <c r="S509" s="11">
        <v>1</v>
      </c>
      <c r="T509" s="11">
        <v>1</v>
      </c>
      <c r="U509" s="11">
        <v>1</v>
      </c>
      <c r="V509" s="2">
        <v>0</v>
      </c>
      <c r="W509" s="2">
        <v>1</v>
      </c>
      <c r="X509" s="2">
        <v>2</v>
      </c>
      <c r="Y509" s="2">
        <v>0</v>
      </c>
      <c r="Z509" s="26" t="s">
        <v>5167</v>
      </c>
      <c r="AA509" s="31">
        <v>1932.13</v>
      </c>
    </row>
    <row r="510" spans="1:27" ht="16" x14ac:dyDescent="0.2">
      <c r="A510" s="3" t="s">
        <v>1565</v>
      </c>
      <c r="B510" s="2" t="s">
        <v>1566</v>
      </c>
      <c r="C510" s="8">
        <v>12000</v>
      </c>
      <c r="D510" s="2">
        <v>1932</v>
      </c>
      <c r="E510" s="2">
        <v>1930</v>
      </c>
      <c r="F510" s="2">
        <v>0</v>
      </c>
      <c r="G510" s="2">
        <v>0</v>
      </c>
      <c r="H510" s="3" t="s">
        <v>27</v>
      </c>
      <c r="I510" s="3" t="s">
        <v>5042</v>
      </c>
      <c r="J510" s="3" t="s">
        <v>5041</v>
      </c>
      <c r="K510" s="3" t="s">
        <v>1304</v>
      </c>
      <c r="L510" s="10">
        <v>7364</v>
      </c>
      <c r="M510" s="4">
        <f>9+144</f>
        <v>153</v>
      </c>
      <c r="N510" s="2">
        <v>66</v>
      </c>
      <c r="O510" s="2">
        <v>4</v>
      </c>
      <c r="Q510" s="2">
        <v>1</v>
      </c>
      <c r="R510" s="2">
        <v>0</v>
      </c>
      <c r="S510" s="11">
        <v>1</v>
      </c>
      <c r="T510" s="11">
        <v>0</v>
      </c>
      <c r="U510" s="11">
        <v>0</v>
      </c>
      <c r="V510" s="2">
        <v>0</v>
      </c>
      <c r="W510" s="2">
        <v>1</v>
      </c>
      <c r="X510" s="2">
        <v>0</v>
      </c>
      <c r="Y510" s="2">
        <v>0</v>
      </c>
      <c r="Z510" s="26" t="s">
        <v>5167</v>
      </c>
      <c r="AA510" s="31">
        <v>1932.14</v>
      </c>
    </row>
    <row r="511" spans="1:27" ht="16" x14ac:dyDescent="0.2">
      <c r="A511" s="3" t="s">
        <v>3841</v>
      </c>
      <c r="B511" s="2" t="s">
        <v>3842</v>
      </c>
      <c r="C511" s="8">
        <v>12028</v>
      </c>
      <c r="D511" s="2">
        <v>1932</v>
      </c>
      <c r="E511" s="2">
        <v>1930</v>
      </c>
      <c r="F511" s="2">
        <v>1</v>
      </c>
      <c r="G511" s="2">
        <v>1</v>
      </c>
      <c r="H511" s="3" t="s">
        <v>3442</v>
      </c>
      <c r="I511" s="3" t="s">
        <v>1529</v>
      </c>
      <c r="J511" s="3" t="s">
        <v>3843</v>
      </c>
      <c r="K511" s="21" t="s">
        <v>1228</v>
      </c>
      <c r="L511" s="10">
        <v>7241</v>
      </c>
      <c r="M511" s="4">
        <f>2+(13*12)</f>
        <v>158</v>
      </c>
      <c r="N511" s="2">
        <v>66</v>
      </c>
      <c r="O511" s="2">
        <v>1</v>
      </c>
      <c r="Q511" s="2">
        <v>1</v>
      </c>
      <c r="R511" s="2">
        <v>0</v>
      </c>
      <c r="S511" s="11">
        <v>1</v>
      </c>
      <c r="T511" s="11">
        <v>1</v>
      </c>
      <c r="U511" s="11">
        <v>1</v>
      </c>
      <c r="V511" s="2">
        <v>0</v>
      </c>
      <c r="W511" s="2">
        <v>1</v>
      </c>
      <c r="X511" s="2">
        <v>2</v>
      </c>
      <c r="Y511" s="2">
        <v>0</v>
      </c>
      <c r="Z511" s="26" t="s">
        <v>5167</v>
      </c>
      <c r="AA511" s="31">
        <v>1932.15</v>
      </c>
    </row>
    <row r="512" spans="1:27" ht="16" x14ac:dyDescent="0.2">
      <c r="A512" s="3" t="s">
        <v>1550</v>
      </c>
      <c r="B512" s="2" t="s">
        <v>1551</v>
      </c>
      <c r="C512" s="8">
        <v>12028</v>
      </c>
      <c r="D512" s="2">
        <v>1932</v>
      </c>
      <c r="E512" s="2">
        <v>1930</v>
      </c>
      <c r="F512" s="2">
        <v>0</v>
      </c>
      <c r="G512" s="2">
        <v>0</v>
      </c>
      <c r="H512" s="3" t="s">
        <v>27</v>
      </c>
      <c r="I512" s="3" t="s">
        <v>4896</v>
      </c>
      <c r="J512" s="3" t="s">
        <v>1524</v>
      </c>
      <c r="K512" s="21" t="s">
        <v>1456</v>
      </c>
      <c r="L512" s="10">
        <v>8920</v>
      </c>
      <c r="M512" s="4">
        <f>6+(12*8)</f>
        <v>102</v>
      </c>
      <c r="N512" s="2">
        <v>68</v>
      </c>
      <c r="O512" s="2">
        <v>1</v>
      </c>
      <c r="Q512" s="2">
        <v>1</v>
      </c>
      <c r="R512" s="2">
        <v>0</v>
      </c>
      <c r="S512" s="11">
        <v>1</v>
      </c>
      <c r="T512" s="11">
        <v>1</v>
      </c>
      <c r="U512" s="11">
        <v>0</v>
      </c>
      <c r="V512" s="2">
        <v>0</v>
      </c>
      <c r="W512" s="2">
        <v>1</v>
      </c>
      <c r="X512" s="2">
        <v>0</v>
      </c>
      <c r="Y512" s="2">
        <v>0</v>
      </c>
      <c r="Z512" s="26" t="s">
        <v>5167</v>
      </c>
      <c r="AA512" s="31">
        <v>1932.16</v>
      </c>
    </row>
    <row r="513" spans="1:27" ht="16" x14ac:dyDescent="0.2">
      <c r="A513" s="3" t="s">
        <v>1567</v>
      </c>
      <c r="B513" s="2" t="s">
        <v>1568</v>
      </c>
      <c r="C513" s="8">
        <v>12028</v>
      </c>
      <c r="D513" s="2">
        <v>1932</v>
      </c>
      <c r="E513" s="2">
        <v>1930</v>
      </c>
      <c r="F513" s="2">
        <v>0</v>
      </c>
      <c r="G513" s="2">
        <v>0</v>
      </c>
      <c r="H513" s="3" t="s">
        <v>27</v>
      </c>
      <c r="I513" s="3" t="s">
        <v>1569</v>
      </c>
      <c r="J513" s="3" t="s">
        <v>1569</v>
      </c>
      <c r="K513" s="21" t="s">
        <v>1570</v>
      </c>
      <c r="L513" s="10">
        <v>10369</v>
      </c>
      <c r="M513" s="4">
        <f>7+(12*4)</f>
        <v>55</v>
      </c>
      <c r="N513" s="2">
        <v>70</v>
      </c>
      <c r="O513" s="2">
        <v>4</v>
      </c>
      <c r="Q513" s="2">
        <v>0</v>
      </c>
      <c r="R513" s="2">
        <v>0</v>
      </c>
      <c r="S513" s="11">
        <v>0</v>
      </c>
      <c r="T513" s="11">
        <v>1</v>
      </c>
      <c r="U513" s="11">
        <v>1</v>
      </c>
      <c r="V513" s="2">
        <v>0</v>
      </c>
      <c r="W513" s="2">
        <v>0</v>
      </c>
      <c r="X513" s="2">
        <v>0</v>
      </c>
      <c r="Y513" s="2">
        <v>0</v>
      </c>
      <c r="Z513" s="26" t="s">
        <v>5167</v>
      </c>
      <c r="AA513" s="31">
        <v>1932.17</v>
      </c>
    </row>
    <row r="514" spans="1:27" ht="16" x14ac:dyDescent="0.2">
      <c r="A514" s="3" t="s">
        <v>1552</v>
      </c>
      <c r="B514" s="2" t="s">
        <v>1553</v>
      </c>
      <c r="C514" s="8">
        <v>12028</v>
      </c>
      <c r="D514" s="2">
        <v>1932</v>
      </c>
      <c r="E514" s="2">
        <v>1930</v>
      </c>
      <c r="F514" s="2">
        <v>0</v>
      </c>
      <c r="G514" s="2">
        <v>0</v>
      </c>
      <c r="H514" s="3" t="s">
        <v>27</v>
      </c>
      <c r="I514" s="3" t="s">
        <v>5076</v>
      </c>
      <c r="J514" s="3" t="s">
        <v>1554</v>
      </c>
      <c r="K514" s="21" t="s">
        <v>1555</v>
      </c>
      <c r="L514" s="10">
        <v>6246</v>
      </c>
      <c r="M514" s="4">
        <f>10+(12*15)</f>
        <v>190</v>
      </c>
      <c r="N514" s="2">
        <v>64</v>
      </c>
      <c r="O514" s="2">
        <v>1</v>
      </c>
      <c r="Q514" s="2">
        <v>1</v>
      </c>
      <c r="R514" s="2">
        <v>0</v>
      </c>
      <c r="S514" s="11">
        <v>1</v>
      </c>
      <c r="T514" s="11">
        <v>1</v>
      </c>
      <c r="U514" s="11">
        <v>1</v>
      </c>
      <c r="V514" s="2">
        <v>0</v>
      </c>
      <c r="W514" s="2">
        <v>1</v>
      </c>
      <c r="X514" s="2">
        <v>0</v>
      </c>
      <c r="Y514" s="2">
        <v>1</v>
      </c>
      <c r="Z514" s="26" t="s">
        <v>5167</v>
      </c>
      <c r="AA514" s="31">
        <v>1932.18</v>
      </c>
    </row>
    <row r="515" spans="1:27" ht="16" x14ac:dyDescent="0.2">
      <c r="A515" s="3" t="s">
        <v>1571</v>
      </c>
      <c r="B515" s="2" t="s">
        <v>1572</v>
      </c>
      <c r="C515" s="8">
        <v>12000</v>
      </c>
      <c r="D515" s="2">
        <v>1932</v>
      </c>
      <c r="E515" s="2">
        <v>1930</v>
      </c>
      <c r="F515" s="2">
        <v>0</v>
      </c>
      <c r="G515" s="2">
        <v>0</v>
      </c>
      <c r="H515" s="3" t="s">
        <v>27</v>
      </c>
      <c r="I515" s="3" t="s">
        <v>1118</v>
      </c>
      <c r="J515" s="3" t="s">
        <v>1573</v>
      </c>
      <c r="K515" s="21" t="s">
        <v>1120</v>
      </c>
      <c r="L515" s="10">
        <v>2373</v>
      </c>
      <c r="M515" s="4">
        <f>5+(12*26)</f>
        <v>317</v>
      </c>
      <c r="N515" s="2">
        <v>59</v>
      </c>
      <c r="O515" s="2">
        <v>1</v>
      </c>
      <c r="P515" s="2">
        <v>6</v>
      </c>
      <c r="Q515" s="2">
        <v>1</v>
      </c>
      <c r="R515" s="2">
        <v>1</v>
      </c>
      <c r="S515" s="11">
        <v>1</v>
      </c>
      <c r="T515" s="11">
        <v>0</v>
      </c>
      <c r="U515" s="11">
        <v>1</v>
      </c>
      <c r="V515" s="2">
        <v>0</v>
      </c>
      <c r="W515" s="2">
        <v>1</v>
      </c>
      <c r="X515" s="2">
        <v>0</v>
      </c>
      <c r="Y515" s="2">
        <v>0</v>
      </c>
      <c r="Z515" s="26" t="s">
        <v>5167</v>
      </c>
      <c r="AA515" s="31">
        <v>1932.19</v>
      </c>
    </row>
    <row r="516" spans="1:27" ht="16" x14ac:dyDescent="0.2">
      <c r="A516" s="3" t="s">
        <v>3844</v>
      </c>
      <c r="B516" s="2" t="s">
        <v>3845</v>
      </c>
      <c r="C516" s="8">
        <v>12063</v>
      </c>
      <c r="D516" s="2">
        <v>1933</v>
      </c>
      <c r="E516" s="2">
        <v>1930</v>
      </c>
      <c r="F516" s="2">
        <v>1</v>
      </c>
      <c r="G516" s="2">
        <v>1</v>
      </c>
      <c r="H516" s="3" t="s">
        <v>3442</v>
      </c>
      <c r="I516" s="3" t="s">
        <v>4892</v>
      </c>
      <c r="J516" s="3" t="s">
        <v>1303</v>
      </c>
      <c r="K516" s="21" t="s">
        <v>1304</v>
      </c>
      <c r="L516" s="10">
        <v>7364</v>
      </c>
      <c r="M516" s="4">
        <f>11+(12*12)</f>
        <v>155</v>
      </c>
      <c r="N516" s="2">
        <v>66</v>
      </c>
      <c r="O516" s="2">
        <v>4</v>
      </c>
      <c r="Q516" s="2">
        <v>1</v>
      </c>
      <c r="R516" s="2">
        <v>0</v>
      </c>
      <c r="S516" s="11">
        <v>0</v>
      </c>
      <c r="T516" s="11">
        <v>0</v>
      </c>
      <c r="U516" s="11">
        <v>0</v>
      </c>
      <c r="V516" s="2">
        <v>0</v>
      </c>
      <c r="W516" s="2">
        <v>1</v>
      </c>
      <c r="X516" s="2">
        <v>3</v>
      </c>
      <c r="Y516" s="2">
        <v>0</v>
      </c>
      <c r="Z516" s="26" t="s">
        <v>5167</v>
      </c>
      <c r="AA516" s="31">
        <v>1933.01</v>
      </c>
    </row>
    <row r="517" spans="1:27" ht="16" x14ac:dyDescent="0.2">
      <c r="A517" s="3" t="s">
        <v>1578</v>
      </c>
      <c r="B517" s="2" t="s">
        <v>1579</v>
      </c>
      <c r="C517" s="8">
        <v>12126</v>
      </c>
      <c r="D517" s="2">
        <v>1933</v>
      </c>
      <c r="E517" s="2">
        <v>1930</v>
      </c>
      <c r="F517" s="2">
        <v>0</v>
      </c>
      <c r="G517" s="2">
        <v>0</v>
      </c>
      <c r="H517" s="3" t="s">
        <v>27</v>
      </c>
      <c r="I517" s="3" t="s">
        <v>4888</v>
      </c>
      <c r="J517" s="3" t="s">
        <v>1580</v>
      </c>
      <c r="K517" s="21" t="s">
        <v>1456</v>
      </c>
      <c r="L517" s="10">
        <v>8920</v>
      </c>
      <c r="M517" s="4">
        <f>9+(12*8)</f>
        <v>105</v>
      </c>
      <c r="N517" s="2">
        <v>68</v>
      </c>
      <c r="O517" s="2">
        <v>4</v>
      </c>
      <c r="Q517" s="2">
        <v>1</v>
      </c>
      <c r="R517" s="2">
        <v>0</v>
      </c>
      <c r="S517" s="11">
        <v>1</v>
      </c>
      <c r="T517" s="11">
        <v>1</v>
      </c>
      <c r="U517" s="11">
        <v>1</v>
      </c>
      <c r="V517" s="2">
        <v>0</v>
      </c>
      <c r="W517" s="2">
        <v>1</v>
      </c>
      <c r="X517" s="2">
        <v>1</v>
      </c>
      <c r="Y517" s="2">
        <v>0</v>
      </c>
      <c r="Z517" s="26" t="s">
        <v>5167</v>
      </c>
      <c r="AA517" s="31">
        <v>1933.02</v>
      </c>
    </row>
    <row r="518" spans="1:27" ht="16" x14ac:dyDescent="0.2">
      <c r="A518" s="3" t="s">
        <v>1594</v>
      </c>
      <c r="B518" s="2" t="s">
        <v>1595</v>
      </c>
      <c r="C518" s="8">
        <v>12126</v>
      </c>
      <c r="D518" s="2">
        <v>1933</v>
      </c>
      <c r="E518" s="2">
        <v>1930</v>
      </c>
      <c r="F518" s="2">
        <v>0</v>
      </c>
      <c r="G518" s="2">
        <v>0</v>
      </c>
      <c r="H518" s="3" t="s">
        <v>27</v>
      </c>
      <c r="I518" s="3" t="s">
        <v>4891</v>
      </c>
      <c r="J518" s="3" t="s">
        <v>1596</v>
      </c>
      <c r="K518" s="21" t="s">
        <v>1416</v>
      </c>
      <c r="L518" s="10">
        <v>9554</v>
      </c>
      <c r="M518" s="4">
        <f>11+(12*6)</f>
        <v>83</v>
      </c>
      <c r="N518" s="2">
        <v>69</v>
      </c>
      <c r="O518" s="2">
        <v>4</v>
      </c>
      <c r="Q518" s="2">
        <v>1</v>
      </c>
      <c r="R518" s="2">
        <v>0</v>
      </c>
      <c r="S518" s="11">
        <v>1</v>
      </c>
      <c r="T518" s="11">
        <v>1</v>
      </c>
      <c r="U518" s="11">
        <v>0</v>
      </c>
      <c r="V518" s="2">
        <v>0</v>
      </c>
      <c r="W518" s="2">
        <v>1</v>
      </c>
      <c r="X518" s="2">
        <v>0</v>
      </c>
      <c r="Y518" s="2">
        <v>0</v>
      </c>
      <c r="Z518" s="26" t="s">
        <v>5167</v>
      </c>
      <c r="AA518" s="31">
        <v>1933.03</v>
      </c>
    </row>
    <row r="519" spans="1:27" ht="16" x14ac:dyDescent="0.2">
      <c r="A519" s="3" t="s">
        <v>1599</v>
      </c>
      <c r="B519" s="2" t="s">
        <v>1600</v>
      </c>
      <c r="C519" s="8">
        <v>12154</v>
      </c>
      <c r="D519" s="2">
        <v>1933</v>
      </c>
      <c r="E519" s="2">
        <v>1930</v>
      </c>
      <c r="F519" s="2">
        <v>0</v>
      </c>
      <c r="G519" s="2">
        <v>0</v>
      </c>
      <c r="H519" s="3" t="s">
        <v>27</v>
      </c>
      <c r="I519" s="3" t="s">
        <v>5048</v>
      </c>
      <c r="J519" s="3" t="s">
        <v>1601</v>
      </c>
      <c r="K519" s="21" t="s">
        <v>1236</v>
      </c>
      <c r="L519" s="10">
        <v>3351</v>
      </c>
      <c r="M519" s="4">
        <f>1+(24*12)</f>
        <v>289</v>
      </c>
      <c r="N519" s="2">
        <v>60</v>
      </c>
      <c r="O519" s="2">
        <v>5</v>
      </c>
      <c r="P519" s="2">
        <v>6</v>
      </c>
      <c r="Q519" s="2">
        <v>1</v>
      </c>
      <c r="R519" s="2">
        <v>0</v>
      </c>
      <c r="S519" s="11">
        <v>1</v>
      </c>
      <c r="T519" s="11">
        <v>0</v>
      </c>
      <c r="U519" s="11">
        <v>1</v>
      </c>
      <c r="V519" s="2">
        <v>0</v>
      </c>
      <c r="W519" s="2">
        <v>1</v>
      </c>
      <c r="X519" s="2">
        <v>0</v>
      </c>
      <c r="Y519" s="2">
        <v>0</v>
      </c>
      <c r="Z519" s="26" t="s">
        <v>5167</v>
      </c>
      <c r="AA519" s="31">
        <v>1933.04</v>
      </c>
    </row>
    <row r="520" spans="1:27" ht="16" x14ac:dyDescent="0.2">
      <c r="A520" s="3" t="s">
        <v>1597</v>
      </c>
      <c r="B520" s="2" t="s">
        <v>1598</v>
      </c>
      <c r="C520" s="8">
        <v>12154</v>
      </c>
      <c r="D520" s="2">
        <v>1933</v>
      </c>
      <c r="E520" s="2">
        <v>1930</v>
      </c>
      <c r="F520" s="2">
        <v>0</v>
      </c>
      <c r="G520" s="2">
        <v>0</v>
      </c>
      <c r="H520" s="3" t="s">
        <v>27</v>
      </c>
      <c r="I520" s="3" t="s">
        <v>4888</v>
      </c>
      <c r="J520" s="3" t="s">
        <v>1489</v>
      </c>
      <c r="K520" s="21" t="s">
        <v>1456</v>
      </c>
      <c r="L520" s="10">
        <v>8920</v>
      </c>
      <c r="M520" s="4">
        <f>10+(12*8)</f>
        <v>106</v>
      </c>
      <c r="N520" s="2">
        <v>68</v>
      </c>
      <c r="O520" s="2">
        <v>1</v>
      </c>
      <c r="P520" s="2">
        <v>4</v>
      </c>
      <c r="Q520" s="2">
        <v>1</v>
      </c>
      <c r="R520" s="2">
        <v>0</v>
      </c>
      <c r="S520" s="11">
        <v>1</v>
      </c>
      <c r="T520" s="11">
        <v>1</v>
      </c>
      <c r="U520" s="11">
        <v>1</v>
      </c>
      <c r="V520" s="2">
        <v>0</v>
      </c>
      <c r="W520" s="2">
        <v>1</v>
      </c>
      <c r="X520" s="2">
        <v>0</v>
      </c>
      <c r="Y520" s="2">
        <v>0</v>
      </c>
      <c r="Z520" s="26" t="s">
        <v>5167</v>
      </c>
      <c r="AA520" s="31">
        <v>1933.05</v>
      </c>
    </row>
    <row r="521" spans="1:27" ht="16" x14ac:dyDescent="0.2">
      <c r="A521" s="3" t="s">
        <v>1583</v>
      </c>
      <c r="B521" s="2" t="s">
        <v>1584</v>
      </c>
      <c r="C521" s="8">
        <v>12182</v>
      </c>
      <c r="D521" s="2">
        <v>1933</v>
      </c>
      <c r="E521" s="2">
        <v>1930</v>
      </c>
      <c r="F521" s="2">
        <v>0</v>
      </c>
      <c r="G521" s="2">
        <v>0</v>
      </c>
      <c r="H521" s="3" t="s">
        <v>27</v>
      </c>
      <c r="I521" s="3" t="s">
        <v>4897</v>
      </c>
      <c r="J521" s="3" t="s">
        <v>1585</v>
      </c>
      <c r="K521" s="21" t="s">
        <v>1586</v>
      </c>
      <c r="L521" s="10">
        <v>10315</v>
      </c>
      <c r="M521" s="4">
        <f>2+60</f>
        <v>62</v>
      </c>
      <c r="N521" s="2">
        <v>70</v>
      </c>
      <c r="O521" s="2">
        <v>5</v>
      </c>
      <c r="P521" s="2">
        <v>6</v>
      </c>
      <c r="Q521" s="2">
        <v>0</v>
      </c>
      <c r="R521" s="2">
        <v>0</v>
      </c>
      <c r="S521" s="11">
        <v>1</v>
      </c>
      <c r="T521" s="11">
        <v>1</v>
      </c>
      <c r="U521" s="11">
        <v>1</v>
      </c>
      <c r="V521" s="2">
        <v>0</v>
      </c>
      <c r="W521" s="2">
        <v>1</v>
      </c>
      <c r="X521" s="2">
        <v>0</v>
      </c>
      <c r="Y521" s="2">
        <v>0</v>
      </c>
      <c r="Z521" s="26" t="s">
        <v>5167</v>
      </c>
      <c r="AA521" s="31">
        <v>1933.06</v>
      </c>
    </row>
    <row r="522" spans="1:27" ht="16" x14ac:dyDescent="0.2">
      <c r="A522" s="3" t="s">
        <v>1587</v>
      </c>
      <c r="B522" s="2" t="s">
        <v>1588</v>
      </c>
      <c r="C522" s="8">
        <v>12182</v>
      </c>
      <c r="D522" s="2">
        <v>1933</v>
      </c>
      <c r="E522" s="2">
        <v>1930</v>
      </c>
      <c r="F522" s="2">
        <v>0</v>
      </c>
      <c r="G522" s="2">
        <v>0</v>
      </c>
      <c r="H522" s="3" t="s">
        <v>27</v>
      </c>
      <c r="I522" s="3" t="s">
        <v>4888</v>
      </c>
      <c r="J522" s="3" t="s">
        <v>1589</v>
      </c>
      <c r="K522" s="21" t="s">
        <v>1456</v>
      </c>
      <c r="L522" s="10">
        <v>8920</v>
      </c>
      <c r="M522" s="4">
        <f>11+(12*8)</f>
        <v>107</v>
      </c>
      <c r="N522" s="2">
        <v>68</v>
      </c>
      <c r="O522" s="2">
        <v>1</v>
      </c>
      <c r="Q522" s="2">
        <v>1</v>
      </c>
      <c r="R522" s="2">
        <v>0</v>
      </c>
      <c r="S522" s="11">
        <v>1</v>
      </c>
      <c r="T522" s="11">
        <v>1</v>
      </c>
      <c r="U522" s="11">
        <v>1</v>
      </c>
      <c r="V522" s="2">
        <v>0</v>
      </c>
      <c r="W522" s="2">
        <v>1</v>
      </c>
      <c r="X522" s="2">
        <v>0</v>
      </c>
      <c r="Y522" s="2">
        <v>0</v>
      </c>
      <c r="Z522" s="26" t="s">
        <v>5167</v>
      </c>
      <c r="AA522" s="31">
        <v>1933.07</v>
      </c>
    </row>
    <row r="523" spans="1:27" ht="16" x14ac:dyDescent="0.2">
      <c r="A523" s="3" t="s">
        <v>1574</v>
      </c>
      <c r="B523" s="2" t="s">
        <v>1575</v>
      </c>
      <c r="C523" s="8">
        <v>12133</v>
      </c>
      <c r="D523" s="2">
        <v>1933</v>
      </c>
      <c r="E523" s="2">
        <v>1930</v>
      </c>
      <c r="F523" s="2">
        <v>0</v>
      </c>
      <c r="G523" s="2">
        <v>0</v>
      </c>
      <c r="H523" s="3" t="s">
        <v>27</v>
      </c>
      <c r="I523" s="3" t="s">
        <v>4898</v>
      </c>
      <c r="J523" s="3" t="s">
        <v>1576</v>
      </c>
      <c r="K523" s="3" t="s">
        <v>1577</v>
      </c>
      <c r="L523" s="10">
        <v>8300</v>
      </c>
      <c r="M523" s="4">
        <f>6+(12*10)</f>
        <v>126</v>
      </c>
      <c r="N523" s="2">
        <v>67</v>
      </c>
      <c r="O523" s="2">
        <v>5</v>
      </c>
      <c r="Q523" s="2">
        <v>0</v>
      </c>
      <c r="R523" s="2">
        <v>0</v>
      </c>
      <c r="S523" s="11">
        <v>1</v>
      </c>
      <c r="T523" s="11">
        <v>1</v>
      </c>
      <c r="U523" s="11">
        <v>0</v>
      </c>
      <c r="V523" s="2">
        <v>0</v>
      </c>
      <c r="W523" s="2">
        <v>1</v>
      </c>
      <c r="X523" s="2">
        <v>0</v>
      </c>
      <c r="Y523" s="2">
        <v>0</v>
      </c>
      <c r="Z523" s="26" t="s">
        <v>5167</v>
      </c>
      <c r="AA523" s="31">
        <v>1933.08</v>
      </c>
    </row>
    <row r="524" spans="1:27" ht="16" x14ac:dyDescent="0.2">
      <c r="A524" s="3" t="s">
        <v>1590</v>
      </c>
      <c r="B524" s="2" t="s">
        <v>1591</v>
      </c>
      <c r="C524" s="8">
        <v>12203</v>
      </c>
      <c r="D524" s="2">
        <v>1933</v>
      </c>
      <c r="E524" s="2">
        <v>1930</v>
      </c>
      <c r="F524" s="2">
        <v>0</v>
      </c>
      <c r="G524" s="2">
        <v>0</v>
      </c>
      <c r="H524" s="3" t="s">
        <v>27</v>
      </c>
      <c r="I524" s="3" t="s">
        <v>5080</v>
      </c>
      <c r="J524" s="3" t="s">
        <v>1592</v>
      </c>
      <c r="K524" s="21" t="s">
        <v>1593</v>
      </c>
      <c r="L524" s="10">
        <v>11870</v>
      </c>
      <c r="M524" s="4">
        <f>11</f>
        <v>11</v>
      </c>
      <c r="N524" s="2">
        <v>72</v>
      </c>
      <c r="O524" s="2">
        <v>6</v>
      </c>
      <c r="Q524" s="2">
        <v>0</v>
      </c>
      <c r="R524" s="2">
        <v>0</v>
      </c>
      <c r="S524" s="11">
        <v>1</v>
      </c>
      <c r="T524" s="11">
        <v>0</v>
      </c>
      <c r="U524" s="11">
        <v>0</v>
      </c>
      <c r="V524" s="2">
        <v>0</v>
      </c>
      <c r="W524" s="2">
        <v>1</v>
      </c>
      <c r="X524" s="2">
        <v>3</v>
      </c>
      <c r="Y524" s="2">
        <v>1</v>
      </c>
      <c r="Z524" s="26" t="s">
        <v>5167</v>
      </c>
      <c r="AA524" s="31">
        <v>1933.09</v>
      </c>
    </row>
    <row r="525" spans="1:27" ht="16" x14ac:dyDescent="0.2">
      <c r="A525" s="3" t="s">
        <v>1602</v>
      </c>
      <c r="B525" s="2" t="s">
        <v>1603</v>
      </c>
      <c r="C525" s="8">
        <v>12203</v>
      </c>
      <c r="D525" s="2">
        <v>1933</v>
      </c>
      <c r="E525" s="2">
        <v>1930</v>
      </c>
      <c r="F525" s="2">
        <v>0</v>
      </c>
      <c r="G525" s="2">
        <v>0</v>
      </c>
      <c r="H525" s="3" t="s">
        <v>27</v>
      </c>
      <c r="I525" s="3" t="s">
        <v>5080</v>
      </c>
      <c r="J525" s="3" t="s">
        <v>1604</v>
      </c>
      <c r="K525" s="21" t="s">
        <v>1593</v>
      </c>
      <c r="L525" s="10">
        <v>11870</v>
      </c>
      <c r="M525" s="4">
        <v>11</v>
      </c>
      <c r="N525" s="2">
        <v>72</v>
      </c>
      <c r="O525" s="2">
        <v>6</v>
      </c>
      <c r="Q525" s="2">
        <v>0</v>
      </c>
      <c r="R525" s="2">
        <v>0</v>
      </c>
      <c r="S525" s="11">
        <v>1</v>
      </c>
      <c r="T525" s="11">
        <v>0</v>
      </c>
      <c r="U525" s="11">
        <v>0</v>
      </c>
      <c r="V525" s="2">
        <v>0</v>
      </c>
      <c r="W525" s="2">
        <v>1</v>
      </c>
      <c r="X525" s="2">
        <v>0</v>
      </c>
      <c r="Y525" s="2">
        <v>1</v>
      </c>
      <c r="Z525" s="26" t="s">
        <v>5167</v>
      </c>
      <c r="AA525" s="31">
        <v>1933.1</v>
      </c>
    </row>
    <row r="526" spans="1:27" ht="16" x14ac:dyDescent="0.2">
      <c r="A526" s="3" t="s">
        <v>1581</v>
      </c>
      <c r="B526" s="2" t="s">
        <v>1582</v>
      </c>
      <c r="C526" s="8">
        <v>12203</v>
      </c>
      <c r="D526" s="2">
        <v>1933</v>
      </c>
      <c r="E526" s="2">
        <v>1930</v>
      </c>
      <c r="F526" s="2">
        <v>0</v>
      </c>
      <c r="G526" s="2">
        <v>0</v>
      </c>
      <c r="H526" s="3" t="s">
        <v>27</v>
      </c>
      <c r="I526" s="3" t="s">
        <v>4896</v>
      </c>
      <c r="J526" s="3" t="s">
        <v>1455</v>
      </c>
      <c r="K526" s="21" t="s">
        <v>1456</v>
      </c>
      <c r="L526" s="10">
        <v>8920</v>
      </c>
      <c r="M526" s="4">
        <f>11+(12*8)</f>
        <v>107</v>
      </c>
      <c r="N526" s="2">
        <v>68</v>
      </c>
      <c r="O526" s="2">
        <v>4</v>
      </c>
      <c r="Q526" s="2">
        <v>1</v>
      </c>
      <c r="R526" s="2">
        <v>0</v>
      </c>
      <c r="S526" s="11">
        <v>1</v>
      </c>
      <c r="T526" s="11">
        <v>1</v>
      </c>
      <c r="U526" s="11">
        <v>1</v>
      </c>
      <c r="V526" s="2">
        <v>0</v>
      </c>
      <c r="W526" s="2">
        <v>1</v>
      </c>
      <c r="X526" s="2">
        <v>4</v>
      </c>
      <c r="Y526" s="2">
        <v>0</v>
      </c>
      <c r="Z526" s="26" t="s">
        <v>5167</v>
      </c>
      <c r="AA526" s="31">
        <v>1933.11</v>
      </c>
    </row>
    <row r="527" spans="1:27" ht="16" x14ac:dyDescent="0.2">
      <c r="A527" s="3" t="s">
        <v>3846</v>
      </c>
      <c r="B527" s="2" t="s">
        <v>3847</v>
      </c>
      <c r="C527" s="8">
        <v>12364</v>
      </c>
      <c r="D527" s="2">
        <v>1933</v>
      </c>
      <c r="E527" s="2">
        <v>1930</v>
      </c>
      <c r="F527" s="2">
        <v>1</v>
      </c>
      <c r="G527" s="2">
        <v>1</v>
      </c>
      <c r="H527" s="3" t="s">
        <v>3442</v>
      </c>
      <c r="I527" s="3" t="s">
        <v>4705</v>
      </c>
      <c r="J527" s="3" t="s">
        <v>3848</v>
      </c>
      <c r="K527" s="21" t="s">
        <v>1849</v>
      </c>
      <c r="L527" s="10">
        <v>11126</v>
      </c>
      <c r="M527" s="4">
        <f>5+36</f>
        <v>41</v>
      </c>
      <c r="N527" s="2">
        <v>71</v>
      </c>
      <c r="O527" s="2">
        <v>1</v>
      </c>
      <c r="Q527" s="2">
        <v>1</v>
      </c>
      <c r="R527" s="2">
        <v>0</v>
      </c>
      <c r="S527" s="11">
        <v>1</v>
      </c>
      <c r="T527" s="11">
        <v>1</v>
      </c>
      <c r="U527" s="11">
        <v>1</v>
      </c>
      <c r="V527" s="2">
        <v>0</v>
      </c>
      <c r="W527" s="2">
        <v>1</v>
      </c>
      <c r="X527" s="2">
        <v>0</v>
      </c>
      <c r="Y527" s="2">
        <v>0</v>
      </c>
      <c r="Z527" s="26" t="s">
        <v>5167</v>
      </c>
      <c r="AA527" s="31">
        <v>1933.12</v>
      </c>
    </row>
    <row r="528" spans="1:27" ht="16" x14ac:dyDescent="0.2">
      <c r="A528" s="3" t="s">
        <v>1605</v>
      </c>
      <c r="B528" s="2" t="s">
        <v>1606</v>
      </c>
      <c r="C528" s="8">
        <v>12427</v>
      </c>
      <c r="D528" s="2">
        <v>1934</v>
      </c>
      <c r="E528" s="2">
        <v>1930</v>
      </c>
      <c r="F528" s="2">
        <v>0</v>
      </c>
      <c r="G528" s="2">
        <v>0</v>
      </c>
      <c r="H528" s="3" t="s">
        <v>27</v>
      </c>
      <c r="I528" s="3" t="s">
        <v>5049</v>
      </c>
      <c r="J528" s="3" t="s">
        <v>1607</v>
      </c>
      <c r="K528" s="21" t="s">
        <v>1506</v>
      </c>
      <c r="L528" s="10">
        <v>9191</v>
      </c>
      <c r="M528" s="4">
        <f>11+(12*8)</f>
        <v>107</v>
      </c>
      <c r="N528" s="2">
        <v>68</v>
      </c>
      <c r="O528" s="2">
        <v>5</v>
      </c>
      <c r="Q528" s="2">
        <v>1</v>
      </c>
      <c r="R528" s="2">
        <v>0</v>
      </c>
      <c r="S528" s="11">
        <v>1</v>
      </c>
      <c r="T528" s="11">
        <v>1</v>
      </c>
      <c r="U528" s="11">
        <v>0</v>
      </c>
      <c r="V528" s="2">
        <v>0</v>
      </c>
      <c r="W528" s="2">
        <v>1</v>
      </c>
      <c r="X528" s="2">
        <v>1</v>
      </c>
      <c r="Y528" s="2">
        <v>0</v>
      </c>
      <c r="Z528" s="26" t="s">
        <v>5167</v>
      </c>
      <c r="AA528" s="31">
        <v>1934.01</v>
      </c>
    </row>
    <row r="529" spans="1:27" ht="16" x14ac:dyDescent="0.2">
      <c r="A529" s="3" t="s">
        <v>3857</v>
      </c>
      <c r="B529" s="2" t="s">
        <v>3858</v>
      </c>
      <c r="C529" s="8">
        <v>12455</v>
      </c>
      <c r="D529" s="2">
        <v>1934</v>
      </c>
      <c r="E529" s="2">
        <v>1930</v>
      </c>
      <c r="F529" s="2">
        <v>1</v>
      </c>
      <c r="G529" s="2">
        <v>1</v>
      </c>
      <c r="H529" s="3" t="s">
        <v>3442</v>
      </c>
      <c r="I529" s="3" t="s">
        <v>1529</v>
      </c>
      <c r="J529" s="22" t="s">
        <v>1227</v>
      </c>
      <c r="K529" s="21" t="s">
        <v>1228</v>
      </c>
      <c r="L529" s="10">
        <v>7241</v>
      </c>
      <c r="M529" s="4">
        <f>(12*14)+4</f>
        <v>172</v>
      </c>
      <c r="N529" s="2">
        <v>66</v>
      </c>
      <c r="O529" s="2">
        <v>5</v>
      </c>
      <c r="P529" s="2">
        <v>1</v>
      </c>
      <c r="Q529" s="2">
        <v>1</v>
      </c>
      <c r="R529" s="2">
        <v>1</v>
      </c>
      <c r="S529" s="11">
        <v>1</v>
      </c>
      <c r="T529" s="11">
        <v>0</v>
      </c>
      <c r="U529" s="11">
        <v>0</v>
      </c>
      <c r="V529" s="2">
        <v>0</v>
      </c>
      <c r="W529" s="2">
        <v>1</v>
      </c>
      <c r="X529" s="2">
        <v>0</v>
      </c>
      <c r="Y529" s="2">
        <v>0</v>
      </c>
      <c r="Z529" s="26" t="s">
        <v>5167</v>
      </c>
      <c r="AA529" s="31">
        <v>1934.02</v>
      </c>
    </row>
    <row r="530" spans="1:27" ht="16" x14ac:dyDescent="0.2">
      <c r="A530" s="3" t="s">
        <v>3849</v>
      </c>
      <c r="B530" s="2" t="s">
        <v>3850</v>
      </c>
      <c r="C530" s="8">
        <v>12455</v>
      </c>
      <c r="D530" s="2">
        <v>1934</v>
      </c>
      <c r="E530" s="2">
        <v>1930</v>
      </c>
      <c r="F530" s="2">
        <v>2</v>
      </c>
      <c r="G530" s="2">
        <v>1</v>
      </c>
      <c r="H530" s="3" t="s">
        <v>3434</v>
      </c>
      <c r="I530" s="3" t="s">
        <v>4900</v>
      </c>
      <c r="J530" s="3" t="s">
        <v>3851</v>
      </c>
      <c r="K530" s="21" t="s">
        <v>3852</v>
      </c>
      <c r="L530" s="10">
        <v>12221</v>
      </c>
      <c r="M530" s="4">
        <v>8</v>
      </c>
      <c r="N530" s="2">
        <v>73</v>
      </c>
      <c r="O530" s="2">
        <v>6</v>
      </c>
      <c r="Q530" s="2">
        <v>0</v>
      </c>
      <c r="R530" s="2">
        <v>0</v>
      </c>
      <c r="S530" s="11">
        <v>1</v>
      </c>
      <c r="T530" s="11">
        <v>0</v>
      </c>
      <c r="U530" s="11">
        <v>0</v>
      </c>
      <c r="V530" s="2">
        <v>1</v>
      </c>
      <c r="W530" s="2">
        <v>1</v>
      </c>
      <c r="X530" s="2">
        <v>0</v>
      </c>
      <c r="Y530" s="2">
        <v>1</v>
      </c>
      <c r="Z530" s="26" t="s">
        <v>5167</v>
      </c>
      <c r="AA530" s="31">
        <v>1934.03</v>
      </c>
    </row>
    <row r="531" spans="1:27" ht="16" x14ac:dyDescent="0.2">
      <c r="A531" s="3" t="s">
        <v>1621</v>
      </c>
      <c r="B531" s="2" t="s">
        <v>1622</v>
      </c>
      <c r="C531" s="8">
        <v>12462</v>
      </c>
      <c r="D531" s="2">
        <v>1934</v>
      </c>
      <c r="E531" s="2">
        <v>1930</v>
      </c>
      <c r="F531" s="2">
        <v>0</v>
      </c>
      <c r="G531" s="2">
        <v>0</v>
      </c>
      <c r="H531" s="3" t="s">
        <v>27</v>
      </c>
      <c r="I531" s="3" t="s">
        <v>4890</v>
      </c>
      <c r="J531" s="3" t="s">
        <v>1623</v>
      </c>
      <c r="K531" s="21" t="s">
        <v>1510</v>
      </c>
      <c r="L531" s="10">
        <v>10377</v>
      </c>
      <c r="M531" s="4">
        <v>67</v>
      </c>
      <c r="N531" s="2">
        <v>70</v>
      </c>
      <c r="O531" s="2">
        <v>6</v>
      </c>
      <c r="Q531" s="2">
        <v>0</v>
      </c>
      <c r="R531" s="2">
        <v>0</v>
      </c>
      <c r="S531" s="11">
        <v>1</v>
      </c>
      <c r="T531" s="11">
        <v>1</v>
      </c>
      <c r="U531" s="11">
        <v>1</v>
      </c>
      <c r="V531" s="2">
        <v>0</v>
      </c>
      <c r="W531" s="2">
        <v>1</v>
      </c>
      <c r="X531" s="2">
        <v>0</v>
      </c>
      <c r="Y531" s="2">
        <v>0</v>
      </c>
      <c r="Z531" s="26" t="s">
        <v>5167</v>
      </c>
      <c r="AA531" s="31">
        <v>1934.04</v>
      </c>
    </row>
    <row r="532" spans="1:27" ht="16" x14ac:dyDescent="0.2">
      <c r="A532" s="3" t="s">
        <v>1617</v>
      </c>
      <c r="B532" s="2" t="s">
        <v>1618</v>
      </c>
      <c r="C532" s="8">
        <v>12483</v>
      </c>
      <c r="D532" s="2">
        <v>1934</v>
      </c>
      <c r="E532" s="2">
        <v>1930</v>
      </c>
      <c r="F532" s="2">
        <v>0</v>
      </c>
      <c r="G532" s="2">
        <v>0</v>
      </c>
      <c r="H532" s="3" t="s">
        <v>27</v>
      </c>
      <c r="I532" s="3" t="s">
        <v>1619</v>
      </c>
      <c r="J532" s="3" t="s">
        <v>1619</v>
      </c>
      <c r="K532" s="3" t="s">
        <v>1620</v>
      </c>
      <c r="L532" s="10">
        <v>8921</v>
      </c>
      <c r="M532" s="4">
        <f>9+(9*12)</f>
        <v>117</v>
      </c>
      <c r="N532" s="2">
        <v>68</v>
      </c>
      <c r="O532" s="2">
        <v>1</v>
      </c>
      <c r="Q532" s="2">
        <v>0</v>
      </c>
      <c r="R532" s="2">
        <v>0</v>
      </c>
      <c r="S532" s="11">
        <v>1</v>
      </c>
      <c r="T532" s="11">
        <v>0</v>
      </c>
      <c r="U532" s="11">
        <v>1</v>
      </c>
      <c r="V532" s="2">
        <v>0</v>
      </c>
      <c r="W532" s="2">
        <v>1</v>
      </c>
      <c r="X532" s="2">
        <v>0</v>
      </c>
      <c r="Y532" s="2">
        <v>0</v>
      </c>
      <c r="Z532" s="26" t="s">
        <v>5167</v>
      </c>
      <c r="AA532" s="31">
        <v>1934.05</v>
      </c>
    </row>
    <row r="533" spans="1:27" ht="16" x14ac:dyDescent="0.2">
      <c r="A533" s="3" t="s">
        <v>1611</v>
      </c>
      <c r="B533" s="2" t="s">
        <v>1612</v>
      </c>
      <c r="C533" s="8">
        <v>12560</v>
      </c>
      <c r="D533" s="2">
        <v>1934</v>
      </c>
      <c r="E533" s="2">
        <v>1930</v>
      </c>
      <c r="F533" s="2">
        <v>0</v>
      </c>
      <c r="G533" s="2">
        <v>0</v>
      </c>
      <c r="H533" s="3" t="s">
        <v>27</v>
      </c>
      <c r="I533" s="3" t="s">
        <v>1342</v>
      </c>
      <c r="J533" s="3" t="s">
        <v>1613</v>
      </c>
      <c r="K533" s="21" t="s">
        <v>1344</v>
      </c>
      <c r="L533" s="10">
        <v>7998</v>
      </c>
      <c r="M533" s="4">
        <f>6+144</f>
        <v>150</v>
      </c>
      <c r="N533" s="2">
        <v>67</v>
      </c>
      <c r="O533" s="2">
        <v>4</v>
      </c>
      <c r="Q533" s="2">
        <v>0</v>
      </c>
      <c r="R533" s="2">
        <v>0</v>
      </c>
      <c r="S533" s="11">
        <v>1</v>
      </c>
      <c r="T533" s="11">
        <v>1</v>
      </c>
      <c r="U533" s="11">
        <v>1</v>
      </c>
      <c r="V533" s="2">
        <v>0</v>
      </c>
      <c r="W533" s="2">
        <v>1</v>
      </c>
      <c r="X533" s="2">
        <v>1</v>
      </c>
      <c r="Y533" s="2">
        <v>0</v>
      </c>
      <c r="Z533" s="26" t="s">
        <v>5167</v>
      </c>
      <c r="AA533" s="31">
        <v>1934.06</v>
      </c>
    </row>
    <row r="534" spans="1:27" ht="16" x14ac:dyDescent="0.2">
      <c r="A534" s="3" t="s">
        <v>1624</v>
      </c>
      <c r="B534" s="2" t="s">
        <v>1625</v>
      </c>
      <c r="C534" s="8">
        <v>12567</v>
      </c>
      <c r="D534" s="2">
        <v>1934</v>
      </c>
      <c r="E534" s="2">
        <v>1930</v>
      </c>
      <c r="F534" s="2">
        <v>0</v>
      </c>
      <c r="G534" s="2">
        <v>0</v>
      </c>
      <c r="H534" s="3" t="s">
        <v>27</v>
      </c>
      <c r="I534" s="3" t="s">
        <v>4899</v>
      </c>
      <c r="J534" s="3" t="s">
        <v>1626</v>
      </c>
      <c r="K534" s="21" t="s">
        <v>1627</v>
      </c>
      <c r="L534" s="10">
        <v>12506</v>
      </c>
      <c r="M534" s="4">
        <v>2</v>
      </c>
      <c r="N534" s="2">
        <v>73</v>
      </c>
      <c r="O534" s="2">
        <v>4</v>
      </c>
      <c r="Q534" s="2">
        <v>1</v>
      </c>
      <c r="R534" s="2">
        <v>0</v>
      </c>
      <c r="S534" s="11">
        <v>1</v>
      </c>
      <c r="T534" s="11">
        <v>1</v>
      </c>
      <c r="U534" s="11">
        <v>1</v>
      </c>
      <c r="V534" s="2">
        <v>0</v>
      </c>
      <c r="W534" s="2">
        <v>1</v>
      </c>
      <c r="X534" s="2">
        <v>0</v>
      </c>
      <c r="Y534" s="2">
        <v>1</v>
      </c>
      <c r="Z534" s="26" t="s">
        <v>5167</v>
      </c>
      <c r="AA534" s="31">
        <v>1934.07</v>
      </c>
    </row>
    <row r="535" spans="1:27" ht="16" x14ac:dyDescent="0.2">
      <c r="A535" s="3" t="s">
        <v>3853</v>
      </c>
      <c r="B535" s="2" t="s">
        <v>3854</v>
      </c>
      <c r="C535" s="8">
        <v>12574</v>
      </c>
      <c r="D535" s="2">
        <v>1934</v>
      </c>
      <c r="E535" s="2">
        <v>1930</v>
      </c>
      <c r="F535" s="2">
        <v>2</v>
      </c>
      <c r="G535" s="2">
        <v>1</v>
      </c>
      <c r="H535" s="3" t="s">
        <v>3434</v>
      </c>
      <c r="I535" s="3" t="s">
        <v>5081</v>
      </c>
      <c r="J535" s="3" t="s">
        <v>3855</v>
      </c>
      <c r="K535" s="21" t="s">
        <v>3856</v>
      </c>
      <c r="L535" s="10">
        <v>12133</v>
      </c>
      <c r="M535" s="4">
        <v>15</v>
      </c>
      <c r="N535" s="2">
        <v>73</v>
      </c>
      <c r="O535" s="2">
        <v>4</v>
      </c>
      <c r="Q535" s="2">
        <v>1</v>
      </c>
      <c r="R535" s="2">
        <v>0</v>
      </c>
      <c r="S535" s="11">
        <v>1</v>
      </c>
      <c r="T535" s="11">
        <v>1</v>
      </c>
      <c r="U535" s="11">
        <v>1</v>
      </c>
      <c r="V535" s="2">
        <v>1</v>
      </c>
      <c r="W535" s="2">
        <v>1</v>
      </c>
      <c r="X535" s="2">
        <v>0</v>
      </c>
      <c r="Y535" s="2">
        <v>1</v>
      </c>
      <c r="Z535" s="26" t="s">
        <v>5167</v>
      </c>
      <c r="AA535" s="31">
        <v>1934.08</v>
      </c>
    </row>
    <row r="536" spans="1:27" ht="16" x14ac:dyDescent="0.2">
      <c r="A536" s="3" t="s">
        <v>1608</v>
      </c>
      <c r="B536" s="2" t="s">
        <v>1609</v>
      </c>
      <c r="C536" s="8">
        <v>12728</v>
      </c>
      <c r="D536" s="2">
        <v>1934</v>
      </c>
      <c r="E536" s="2">
        <v>1930</v>
      </c>
      <c r="F536" s="2">
        <v>0</v>
      </c>
      <c r="G536" s="2">
        <v>0</v>
      </c>
      <c r="H536" s="3" t="s">
        <v>27</v>
      </c>
      <c r="I536" s="3" t="s">
        <v>4901</v>
      </c>
      <c r="J536" s="3" t="s">
        <v>1610</v>
      </c>
      <c r="K536" s="21" t="s">
        <v>1288</v>
      </c>
      <c r="L536" s="10">
        <v>7462</v>
      </c>
      <c r="M536" s="4">
        <f>5+(12*14)</f>
        <v>173</v>
      </c>
      <c r="N536" s="2">
        <v>66</v>
      </c>
      <c r="O536" s="2">
        <v>5</v>
      </c>
      <c r="Q536" s="2">
        <v>1</v>
      </c>
      <c r="R536" s="2">
        <v>0</v>
      </c>
      <c r="S536" s="11">
        <v>0</v>
      </c>
      <c r="T536" s="11">
        <v>1</v>
      </c>
      <c r="U536" s="11">
        <v>1</v>
      </c>
      <c r="V536" s="2">
        <v>0</v>
      </c>
      <c r="W536" s="2">
        <v>0</v>
      </c>
      <c r="X536" s="2">
        <v>0</v>
      </c>
      <c r="Y536" s="2">
        <v>0</v>
      </c>
      <c r="Z536" s="26" t="s">
        <v>5167</v>
      </c>
      <c r="AA536" s="31">
        <v>1934.09</v>
      </c>
    </row>
    <row r="537" spans="1:27" ht="16" x14ac:dyDescent="0.2">
      <c r="A537" s="3" t="s">
        <v>1614</v>
      </c>
      <c r="B537" s="2" t="s">
        <v>1615</v>
      </c>
      <c r="C537" s="8">
        <v>12756</v>
      </c>
      <c r="D537" s="2">
        <v>1934</v>
      </c>
      <c r="E537" s="2">
        <v>1930</v>
      </c>
      <c r="F537" s="2">
        <v>0</v>
      </c>
      <c r="G537" s="2">
        <v>0</v>
      </c>
      <c r="H537" s="3" t="s">
        <v>27</v>
      </c>
      <c r="I537" s="3" t="s">
        <v>1616</v>
      </c>
      <c r="J537" s="3" t="s">
        <v>1415</v>
      </c>
      <c r="K537" s="21" t="s">
        <v>1416</v>
      </c>
      <c r="L537" s="10">
        <v>9554</v>
      </c>
      <c r="M537" s="4">
        <f>(12*8)+10</f>
        <v>106</v>
      </c>
      <c r="N537" s="2">
        <v>69</v>
      </c>
      <c r="O537" s="2">
        <v>5</v>
      </c>
      <c r="Q537" s="2">
        <v>1</v>
      </c>
      <c r="R537" s="2">
        <v>0</v>
      </c>
      <c r="S537" s="11">
        <v>1</v>
      </c>
      <c r="T537" s="11">
        <v>1</v>
      </c>
      <c r="U537" s="11">
        <v>1</v>
      </c>
      <c r="V537" s="2">
        <v>0</v>
      </c>
      <c r="W537" s="2">
        <v>1</v>
      </c>
      <c r="X537" s="2">
        <v>0</v>
      </c>
      <c r="Y537" s="2">
        <v>0</v>
      </c>
      <c r="Z537" s="26" t="s">
        <v>5167</v>
      </c>
      <c r="AA537" s="31">
        <v>1934.1</v>
      </c>
    </row>
    <row r="538" spans="1:27" ht="16" x14ac:dyDescent="0.2">
      <c r="A538" s="3" t="s">
        <v>3876</v>
      </c>
      <c r="B538" s="2" t="s">
        <v>3877</v>
      </c>
      <c r="C538" s="8">
        <v>12791</v>
      </c>
      <c r="D538" s="2">
        <v>1935</v>
      </c>
      <c r="E538" s="2">
        <v>1930</v>
      </c>
      <c r="F538" s="2">
        <v>2</v>
      </c>
      <c r="G538" s="2">
        <v>1</v>
      </c>
      <c r="H538" s="3" t="s">
        <v>3434</v>
      </c>
      <c r="I538" s="3" t="s">
        <v>3878</v>
      </c>
      <c r="J538" s="3" t="s">
        <v>3879</v>
      </c>
      <c r="K538" s="3" t="s">
        <v>3862</v>
      </c>
      <c r="L538" s="10">
        <v>12221</v>
      </c>
      <c r="M538" s="4">
        <f>7+12</f>
        <v>19</v>
      </c>
      <c r="N538" s="2">
        <v>73</v>
      </c>
      <c r="O538" s="2">
        <v>6</v>
      </c>
      <c r="Q538" s="2">
        <v>1</v>
      </c>
      <c r="R538" s="2">
        <v>1</v>
      </c>
      <c r="S538" s="11">
        <v>1</v>
      </c>
      <c r="T538" s="11">
        <v>1</v>
      </c>
      <c r="U538" s="11">
        <v>1</v>
      </c>
      <c r="V538" s="2">
        <v>1</v>
      </c>
      <c r="W538" s="2">
        <v>1</v>
      </c>
      <c r="X538" s="2">
        <v>1</v>
      </c>
      <c r="Y538" s="2">
        <v>1</v>
      </c>
      <c r="Z538" s="26" t="s">
        <v>5167</v>
      </c>
      <c r="AA538" s="31">
        <v>1935.01</v>
      </c>
    </row>
    <row r="539" spans="1:27" ht="16" x14ac:dyDescent="0.2">
      <c r="A539" s="3" t="s">
        <v>1639</v>
      </c>
      <c r="B539" s="2" t="s">
        <v>1640</v>
      </c>
      <c r="C539" s="8">
        <v>12833</v>
      </c>
      <c r="D539" s="2">
        <v>1935</v>
      </c>
      <c r="E539" s="2">
        <v>1930</v>
      </c>
      <c r="F539" s="2">
        <v>0</v>
      </c>
      <c r="G539" s="2">
        <v>0</v>
      </c>
      <c r="H539" s="3" t="s">
        <v>27</v>
      </c>
      <c r="I539" s="3" t="s">
        <v>5052</v>
      </c>
      <c r="J539" s="3" t="s">
        <v>1641</v>
      </c>
      <c r="K539" s="21" t="s">
        <v>1642</v>
      </c>
      <c r="L539" s="10">
        <v>12208</v>
      </c>
      <c r="M539" s="4">
        <v>20</v>
      </c>
      <c r="N539" s="2">
        <v>73</v>
      </c>
      <c r="O539" s="2">
        <v>4</v>
      </c>
      <c r="Q539" s="2">
        <v>1</v>
      </c>
      <c r="R539" s="2">
        <v>1</v>
      </c>
      <c r="S539" s="11">
        <v>1</v>
      </c>
      <c r="T539" s="11">
        <v>1</v>
      </c>
      <c r="U539" s="11">
        <v>0</v>
      </c>
      <c r="V539" s="2">
        <v>0</v>
      </c>
      <c r="W539" s="2">
        <v>1</v>
      </c>
      <c r="X539" s="2">
        <v>4</v>
      </c>
      <c r="Y539" s="2">
        <v>1</v>
      </c>
      <c r="Z539" s="26" t="s">
        <v>5167</v>
      </c>
      <c r="AA539" s="31">
        <v>1935.02</v>
      </c>
    </row>
    <row r="540" spans="1:27" ht="16" x14ac:dyDescent="0.2">
      <c r="A540" s="3" t="s">
        <v>3880</v>
      </c>
      <c r="B540" s="2" t="s">
        <v>3881</v>
      </c>
      <c r="C540" s="8">
        <v>12833</v>
      </c>
      <c r="D540" s="2">
        <v>1935</v>
      </c>
      <c r="E540" s="2">
        <v>1930</v>
      </c>
      <c r="F540" s="2">
        <v>2</v>
      </c>
      <c r="G540" s="2">
        <v>1</v>
      </c>
      <c r="H540" s="3" t="s">
        <v>3434</v>
      </c>
      <c r="I540" s="3" t="s">
        <v>5052</v>
      </c>
      <c r="J540" s="3" t="s">
        <v>1641</v>
      </c>
      <c r="K540" s="21" t="s">
        <v>1642</v>
      </c>
      <c r="L540" s="10">
        <v>12208</v>
      </c>
      <c r="M540" s="4">
        <v>20</v>
      </c>
      <c r="N540" s="2">
        <v>73</v>
      </c>
      <c r="O540" s="2">
        <v>4</v>
      </c>
      <c r="Q540" s="2">
        <v>1</v>
      </c>
      <c r="R540" s="2">
        <v>1</v>
      </c>
      <c r="S540" s="11">
        <v>1</v>
      </c>
      <c r="T540" s="11">
        <v>0</v>
      </c>
      <c r="U540" s="11">
        <v>0</v>
      </c>
      <c r="V540" s="2">
        <v>1</v>
      </c>
      <c r="W540" s="2">
        <v>1</v>
      </c>
      <c r="X540" s="2">
        <v>4</v>
      </c>
      <c r="Y540" s="2">
        <v>1</v>
      </c>
      <c r="Z540" s="26" t="s">
        <v>5167</v>
      </c>
      <c r="AA540" s="31">
        <v>1935.03</v>
      </c>
    </row>
    <row r="541" spans="1:27" ht="16" x14ac:dyDescent="0.2">
      <c r="A541" s="3" t="s">
        <v>1628</v>
      </c>
      <c r="B541" s="2" t="s">
        <v>1629</v>
      </c>
      <c r="C541" s="8">
        <v>12875</v>
      </c>
      <c r="D541" s="2">
        <v>1935</v>
      </c>
      <c r="E541" s="2">
        <v>1930</v>
      </c>
      <c r="F541" s="2">
        <v>0</v>
      </c>
      <c r="G541" s="2">
        <v>0</v>
      </c>
      <c r="H541" s="3" t="s">
        <v>27</v>
      </c>
      <c r="I541" s="3" t="s">
        <v>4904</v>
      </c>
      <c r="J541" s="3" t="s">
        <v>1630</v>
      </c>
      <c r="K541" s="21" t="s">
        <v>1631</v>
      </c>
      <c r="L541" s="10">
        <v>12116</v>
      </c>
      <c r="M541" s="4">
        <v>25</v>
      </c>
      <c r="N541" s="2">
        <v>72</v>
      </c>
      <c r="O541" s="2">
        <v>4</v>
      </c>
      <c r="Q541" s="2">
        <v>0</v>
      </c>
      <c r="R541" s="2">
        <v>0</v>
      </c>
      <c r="S541" s="11">
        <v>1</v>
      </c>
      <c r="T541" s="11">
        <v>1</v>
      </c>
      <c r="U541" s="11">
        <v>0</v>
      </c>
      <c r="V541" s="2">
        <v>0</v>
      </c>
      <c r="W541" s="2">
        <v>0</v>
      </c>
      <c r="X541" s="2">
        <v>0</v>
      </c>
      <c r="Y541" s="2">
        <v>1</v>
      </c>
      <c r="Z541" s="26" t="s">
        <v>5167</v>
      </c>
      <c r="AA541" s="31">
        <v>1935.04</v>
      </c>
    </row>
    <row r="542" spans="1:27" ht="16" x14ac:dyDescent="0.2">
      <c r="A542" s="3" t="s">
        <v>3882</v>
      </c>
      <c r="B542" s="2" t="s">
        <v>3883</v>
      </c>
      <c r="C542" s="8">
        <v>12910</v>
      </c>
      <c r="D542" s="2">
        <v>1935</v>
      </c>
      <c r="E542" s="2">
        <v>1930</v>
      </c>
      <c r="F542" s="2">
        <v>2</v>
      </c>
      <c r="G542" s="2">
        <v>1</v>
      </c>
      <c r="H542" s="3" t="s">
        <v>3434</v>
      </c>
      <c r="I542" s="3" t="s">
        <v>3884</v>
      </c>
      <c r="J542" s="3" t="s">
        <v>3885</v>
      </c>
      <c r="K542" s="3" t="s">
        <v>3886</v>
      </c>
      <c r="L542" s="10">
        <v>12597</v>
      </c>
      <c r="M542" s="4">
        <v>11</v>
      </c>
      <c r="N542" s="2">
        <v>73</v>
      </c>
      <c r="O542" s="2">
        <v>4</v>
      </c>
      <c r="P542" s="2">
        <v>5</v>
      </c>
      <c r="Q542" s="2">
        <v>0</v>
      </c>
      <c r="R542" s="2">
        <v>0</v>
      </c>
      <c r="S542" s="11">
        <v>1</v>
      </c>
      <c r="T542" s="11">
        <v>1</v>
      </c>
      <c r="U542" s="11">
        <v>0</v>
      </c>
      <c r="V542" s="2">
        <v>1</v>
      </c>
      <c r="W542" s="2">
        <v>0</v>
      </c>
      <c r="X542" s="2">
        <v>4</v>
      </c>
      <c r="Y542" s="2">
        <v>1</v>
      </c>
      <c r="Z542" s="26" t="s">
        <v>5167</v>
      </c>
      <c r="AA542" s="31">
        <v>1935.05</v>
      </c>
    </row>
    <row r="543" spans="1:27" ht="16" x14ac:dyDescent="0.2">
      <c r="A543" s="3" t="s">
        <v>3887</v>
      </c>
      <c r="B543" s="2" t="s">
        <v>3888</v>
      </c>
      <c r="C543" s="8">
        <v>12924</v>
      </c>
      <c r="D543" s="2">
        <v>1935</v>
      </c>
      <c r="E543" s="2">
        <v>1930</v>
      </c>
      <c r="F543" s="2">
        <v>1</v>
      </c>
      <c r="G543" s="2">
        <v>1</v>
      </c>
      <c r="H543" s="3" t="s">
        <v>3442</v>
      </c>
      <c r="I543" s="3" t="s">
        <v>3889</v>
      </c>
      <c r="J543" s="3" t="s">
        <v>3889</v>
      </c>
      <c r="K543" s="21" t="s">
        <v>3890</v>
      </c>
      <c r="L543" s="10">
        <v>9597</v>
      </c>
      <c r="M543" s="4">
        <f>(9*12)+1</f>
        <v>109</v>
      </c>
      <c r="N543" s="2">
        <v>69</v>
      </c>
      <c r="O543" s="2">
        <v>4</v>
      </c>
      <c r="P543" s="2">
        <v>1</v>
      </c>
      <c r="Q543" s="2">
        <v>0</v>
      </c>
      <c r="R543" s="2">
        <v>0</v>
      </c>
      <c r="S543" s="11">
        <v>0</v>
      </c>
      <c r="T543" s="11">
        <v>0</v>
      </c>
      <c r="U543" s="11">
        <v>0</v>
      </c>
      <c r="V543" s="2">
        <v>0</v>
      </c>
      <c r="W543" s="2">
        <v>0</v>
      </c>
      <c r="X543" s="2">
        <v>0</v>
      </c>
      <c r="Y543" s="2">
        <v>0</v>
      </c>
      <c r="Z543" s="26" t="s">
        <v>5167</v>
      </c>
      <c r="AA543" s="31">
        <v>1935.06</v>
      </c>
    </row>
    <row r="544" spans="1:27" ht="16" x14ac:dyDescent="0.2">
      <c r="A544" s="3" t="s">
        <v>3859</v>
      </c>
      <c r="B544" s="2" t="s">
        <v>3860</v>
      </c>
      <c r="C544" s="8">
        <v>12931</v>
      </c>
      <c r="D544" s="2">
        <v>1935</v>
      </c>
      <c r="E544" s="2">
        <v>1930</v>
      </c>
      <c r="F544" s="2">
        <v>2</v>
      </c>
      <c r="G544" s="2">
        <v>1</v>
      </c>
      <c r="H544" s="3" t="s">
        <v>3434</v>
      </c>
      <c r="I544" s="3" t="s">
        <v>3878</v>
      </c>
      <c r="J544" s="3" t="s">
        <v>3861</v>
      </c>
      <c r="K544" s="21" t="s">
        <v>3862</v>
      </c>
      <c r="L544" s="10">
        <v>12221</v>
      </c>
      <c r="M544" s="4">
        <v>23</v>
      </c>
      <c r="N544" s="2">
        <v>73</v>
      </c>
      <c r="O544" s="2">
        <v>6</v>
      </c>
      <c r="P544" s="2">
        <v>5</v>
      </c>
      <c r="Q544" s="2">
        <v>1</v>
      </c>
      <c r="R544" s="2">
        <v>1</v>
      </c>
      <c r="S544" s="11">
        <v>1</v>
      </c>
      <c r="T544" s="11">
        <v>1</v>
      </c>
      <c r="U544" s="11">
        <v>1</v>
      </c>
      <c r="V544" s="2">
        <v>1</v>
      </c>
      <c r="W544" s="2">
        <v>1</v>
      </c>
      <c r="X544" s="2">
        <v>0</v>
      </c>
      <c r="Y544" s="2">
        <v>1</v>
      </c>
      <c r="Z544" s="26" t="s">
        <v>5167</v>
      </c>
      <c r="AA544" s="31">
        <v>1935.07</v>
      </c>
    </row>
    <row r="545" spans="1:27" ht="16" x14ac:dyDescent="0.2">
      <c r="A545" s="3" t="s">
        <v>3873</v>
      </c>
      <c r="B545" s="2" t="s">
        <v>3874</v>
      </c>
      <c r="C545" s="8">
        <v>12931</v>
      </c>
      <c r="D545" s="2">
        <v>1935</v>
      </c>
      <c r="E545" s="2">
        <v>1930</v>
      </c>
      <c r="F545" s="2">
        <v>2</v>
      </c>
      <c r="G545" s="2">
        <v>1</v>
      </c>
      <c r="H545" s="3" t="s">
        <v>3434</v>
      </c>
      <c r="I545" s="3" t="s">
        <v>5012</v>
      </c>
      <c r="J545" s="3" t="s">
        <v>3875</v>
      </c>
      <c r="K545" s="21" t="s">
        <v>5011</v>
      </c>
      <c r="L545" s="10">
        <v>12598</v>
      </c>
      <c r="M545" s="4">
        <v>11</v>
      </c>
      <c r="N545" s="2">
        <v>73</v>
      </c>
      <c r="O545" s="2">
        <v>4</v>
      </c>
      <c r="Q545" s="2">
        <v>0</v>
      </c>
      <c r="R545" s="2">
        <v>0</v>
      </c>
      <c r="S545" s="11">
        <v>0</v>
      </c>
      <c r="T545" s="11">
        <v>1</v>
      </c>
      <c r="U545" s="11">
        <v>1</v>
      </c>
      <c r="V545" s="2">
        <v>1</v>
      </c>
      <c r="W545" s="2">
        <v>0</v>
      </c>
      <c r="X545" s="2">
        <v>0</v>
      </c>
      <c r="Y545" s="2">
        <v>1</v>
      </c>
      <c r="Z545" s="26" t="s">
        <v>5167</v>
      </c>
      <c r="AA545" s="31">
        <v>1935.08</v>
      </c>
    </row>
    <row r="546" spans="1:27" ht="16" x14ac:dyDescent="0.2">
      <c r="A546" s="3" t="s">
        <v>1635</v>
      </c>
      <c r="B546" s="2" t="s">
        <v>1636</v>
      </c>
      <c r="C546" s="8">
        <v>12931</v>
      </c>
      <c r="D546" s="2">
        <v>1935</v>
      </c>
      <c r="E546" s="2">
        <v>1930</v>
      </c>
      <c r="F546" s="2">
        <v>0</v>
      </c>
      <c r="G546" s="2">
        <v>0</v>
      </c>
      <c r="H546" s="3" t="s">
        <v>27</v>
      </c>
      <c r="I546" s="3" t="s">
        <v>3784</v>
      </c>
      <c r="J546" s="21" t="s">
        <v>1637</v>
      </c>
      <c r="K546" s="21" t="s">
        <v>1638</v>
      </c>
      <c r="L546" s="10">
        <v>5383</v>
      </c>
      <c r="M546" s="4">
        <f>8+(12*20)</f>
        <v>248</v>
      </c>
      <c r="N546" s="2">
        <v>63</v>
      </c>
      <c r="O546" s="2">
        <v>6</v>
      </c>
      <c r="Q546" s="2">
        <v>1</v>
      </c>
      <c r="R546" s="2">
        <v>0</v>
      </c>
      <c r="S546" s="11">
        <v>1</v>
      </c>
      <c r="T546" s="11">
        <v>0</v>
      </c>
      <c r="U546" s="11">
        <v>0</v>
      </c>
      <c r="V546" s="2">
        <v>0</v>
      </c>
      <c r="W546" s="2">
        <v>1</v>
      </c>
      <c r="X546" s="2">
        <v>0</v>
      </c>
      <c r="Y546" s="2">
        <v>1</v>
      </c>
      <c r="Z546" s="26" t="s">
        <v>5167</v>
      </c>
      <c r="AA546" s="31">
        <v>1935.09</v>
      </c>
    </row>
    <row r="547" spans="1:27" ht="16" x14ac:dyDescent="0.2">
      <c r="A547" s="3" t="s">
        <v>3891</v>
      </c>
      <c r="B547" s="2" t="s">
        <v>3892</v>
      </c>
      <c r="C547" s="8">
        <v>13127</v>
      </c>
      <c r="D547" s="2">
        <v>1935</v>
      </c>
      <c r="E547" s="2">
        <v>1930</v>
      </c>
      <c r="F547" s="2">
        <v>2</v>
      </c>
      <c r="G547" s="2">
        <v>1</v>
      </c>
      <c r="H547" s="3" t="s">
        <v>3434</v>
      </c>
      <c r="I547" s="3" t="s">
        <v>4888</v>
      </c>
      <c r="J547" s="3" t="s">
        <v>3893</v>
      </c>
      <c r="K547" s="21" t="s">
        <v>1456</v>
      </c>
      <c r="L547" s="10">
        <v>9650</v>
      </c>
      <c r="M547" s="4">
        <f>6+(9*12)</f>
        <v>114</v>
      </c>
      <c r="N547" s="2">
        <v>68</v>
      </c>
      <c r="O547" s="2">
        <v>5</v>
      </c>
      <c r="Q547" s="2">
        <v>1</v>
      </c>
      <c r="R547" s="2">
        <v>0</v>
      </c>
      <c r="S547" s="11">
        <v>1</v>
      </c>
      <c r="T547" s="11">
        <v>1</v>
      </c>
      <c r="U547" s="11">
        <v>0</v>
      </c>
      <c r="V547" s="2">
        <v>1</v>
      </c>
      <c r="W547" s="2">
        <v>1</v>
      </c>
      <c r="X547" s="2">
        <v>3</v>
      </c>
      <c r="Y547" s="2">
        <v>0</v>
      </c>
      <c r="Z547" s="26" t="s">
        <v>5167</v>
      </c>
      <c r="AA547" s="31">
        <v>1935.1</v>
      </c>
    </row>
    <row r="548" spans="1:27" ht="16" x14ac:dyDescent="0.2">
      <c r="A548" s="3" t="s">
        <v>3869</v>
      </c>
      <c r="B548" s="2" t="s">
        <v>3870</v>
      </c>
      <c r="C548" s="8">
        <v>13127</v>
      </c>
      <c r="D548" s="2">
        <v>1935</v>
      </c>
      <c r="E548" s="2">
        <v>1930</v>
      </c>
      <c r="F548" s="2">
        <v>2</v>
      </c>
      <c r="G548" s="2">
        <v>1</v>
      </c>
      <c r="H548" s="3" t="s">
        <v>3434</v>
      </c>
      <c r="I548" s="3" t="s">
        <v>3871</v>
      </c>
      <c r="J548" s="3" t="s">
        <v>3871</v>
      </c>
      <c r="K548" s="21" t="s">
        <v>3872</v>
      </c>
      <c r="L548" s="10">
        <v>12932</v>
      </c>
      <c r="M548" s="4">
        <v>7</v>
      </c>
      <c r="N548" s="2">
        <v>74</v>
      </c>
      <c r="O548" s="2">
        <v>5</v>
      </c>
      <c r="Q548" s="2">
        <v>0</v>
      </c>
      <c r="R548" s="2">
        <v>0</v>
      </c>
      <c r="S548" s="11">
        <v>1</v>
      </c>
      <c r="T548" s="11">
        <v>1</v>
      </c>
      <c r="U548" s="11">
        <v>0</v>
      </c>
      <c r="V548" s="2">
        <v>1</v>
      </c>
      <c r="W548" s="2">
        <v>0</v>
      </c>
      <c r="X548" s="2">
        <v>0</v>
      </c>
      <c r="Y548" s="2">
        <v>1</v>
      </c>
      <c r="Z548" s="26" t="s">
        <v>5167</v>
      </c>
      <c r="AA548" s="31">
        <v>1935.11</v>
      </c>
    </row>
    <row r="549" spans="1:27" ht="16" x14ac:dyDescent="0.2">
      <c r="A549" s="3" t="s">
        <v>3863</v>
      </c>
      <c r="B549" s="2" t="s">
        <v>3864</v>
      </c>
      <c r="C549" s="8">
        <v>13099</v>
      </c>
      <c r="D549" s="2">
        <v>1935</v>
      </c>
      <c r="E549" s="2">
        <v>1930</v>
      </c>
      <c r="F549" s="2">
        <v>1</v>
      </c>
      <c r="G549" s="2">
        <v>1</v>
      </c>
      <c r="H549" s="3" t="s">
        <v>3442</v>
      </c>
      <c r="I549" s="3" t="s">
        <v>5053</v>
      </c>
      <c r="J549" s="3" t="s">
        <v>3865</v>
      </c>
      <c r="K549" s="21" t="s">
        <v>3866</v>
      </c>
      <c r="L549" s="10">
        <v>8464</v>
      </c>
      <c r="M549" s="4">
        <f>8+144</f>
        <v>152</v>
      </c>
      <c r="N549" s="2">
        <v>67</v>
      </c>
      <c r="O549" s="2">
        <v>4</v>
      </c>
      <c r="P549" s="2">
        <v>1</v>
      </c>
      <c r="Q549" s="2">
        <v>0</v>
      </c>
      <c r="R549" s="2">
        <v>0</v>
      </c>
      <c r="S549" s="11">
        <v>1</v>
      </c>
      <c r="T549" s="11">
        <v>1</v>
      </c>
      <c r="U549" s="11">
        <v>1</v>
      </c>
      <c r="V549" s="2">
        <v>0</v>
      </c>
      <c r="W549" s="2">
        <v>1</v>
      </c>
      <c r="X549" s="2">
        <v>2</v>
      </c>
      <c r="Y549" s="2">
        <v>0</v>
      </c>
      <c r="Z549" s="26" t="s">
        <v>5167</v>
      </c>
      <c r="AA549" s="31">
        <v>1935.12</v>
      </c>
    </row>
    <row r="550" spans="1:27" ht="16" x14ac:dyDescent="0.2">
      <c r="A550" s="3" t="s">
        <v>1632</v>
      </c>
      <c r="B550" s="2" t="s">
        <v>1633</v>
      </c>
      <c r="C550" s="8">
        <v>13099</v>
      </c>
      <c r="D550" s="2">
        <v>1935</v>
      </c>
      <c r="E550" s="2">
        <v>1930</v>
      </c>
      <c r="F550" s="2">
        <v>0</v>
      </c>
      <c r="G550" s="2">
        <v>0</v>
      </c>
      <c r="H550" s="3" t="s">
        <v>27</v>
      </c>
      <c r="I550" s="3" t="s">
        <v>4891</v>
      </c>
      <c r="J550" s="3" t="s">
        <v>1634</v>
      </c>
      <c r="K550" s="21" t="s">
        <v>1416</v>
      </c>
      <c r="L550" s="10">
        <v>9554</v>
      </c>
      <c r="M550" s="4">
        <f>(9*12)+9</f>
        <v>117</v>
      </c>
      <c r="N550" s="2">
        <v>69</v>
      </c>
      <c r="O550" s="2">
        <v>4</v>
      </c>
      <c r="Q550" s="2">
        <v>1</v>
      </c>
      <c r="R550" s="2">
        <v>0</v>
      </c>
      <c r="S550" s="11">
        <v>1</v>
      </c>
      <c r="T550" s="11">
        <v>1</v>
      </c>
      <c r="U550" s="11">
        <v>1</v>
      </c>
      <c r="V550" s="2">
        <v>0</v>
      </c>
      <c r="W550" s="2">
        <v>1</v>
      </c>
      <c r="X550" s="2">
        <v>4</v>
      </c>
      <c r="Y550" s="2">
        <v>0</v>
      </c>
      <c r="Z550" s="26" t="s">
        <v>5167</v>
      </c>
      <c r="AA550" s="31">
        <v>1935.13</v>
      </c>
    </row>
    <row r="551" spans="1:27" ht="16" x14ac:dyDescent="0.2">
      <c r="A551" s="3" t="s">
        <v>3867</v>
      </c>
      <c r="B551" s="2" t="s">
        <v>3868</v>
      </c>
      <c r="C551" s="8">
        <v>13099</v>
      </c>
      <c r="D551" s="2">
        <v>1935</v>
      </c>
      <c r="E551" s="2">
        <v>1930</v>
      </c>
      <c r="F551" s="2">
        <v>1</v>
      </c>
      <c r="G551" s="2">
        <v>1</v>
      </c>
      <c r="H551" s="3" t="s">
        <v>3442</v>
      </c>
      <c r="I551" s="3" t="s">
        <v>4891</v>
      </c>
      <c r="J551" s="3" t="s">
        <v>1634</v>
      </c>
      <c r="K551" s="21" t="s">
        <v>1416</v>
      </c>
      <c r="L551" s="10">
        <v>9554</v>
      </c>
      <c r="M551" s="4">
        <v>117</v>
      </c>
      <c r="N551" s="2">
        <v>69</v>
      </c>
      <c r="O551" s="2">
        <v>4</v>
      </c>
      <c r="P551" s="2">
        <v>1</v>
      </c>
      <c r="Q551" s="2">
        <v>1</v>
      </c>
      <c r="R551" s="2">
        <v>0</v>
      </c>
      <c r="S551" s="11">
        <v>1</v>
      </c>
      <c r="T551" s="11">
        <v>1</v>
      </c>
      <c r="U551" s="11">
        <v>0</v>
      </c>
      <c r="V551" s="2">
        <v>0</v>
      </c>
      <c r="W551" s="2">
        <v>1</v>
      </c>
      <c r="X551" s="2">
        <v>0</v>
      </c>
      <c r="Y551" s="2">
        <v>0</v>
      </c>
      <c r="Z551" s="26" t="s">
        <v>5167</v>
      </c>
      <c r="AA551" s="31">
        <v>1935.14</v>
      </c>
    </row>
    <row r="552" spans="1:27" ht="16" x14ac:dyDescent="0.2">
      <c r="A552" s="3" t="s">
        <v>3905</v>
      </c>
      <c r="B552" s="2" t="s">
        <v>3906</v>
      </c>
      <c r="C552" s="8">
        <v>13158</v>
      </c>
      <c r="D552" s="2">
        <v>1936</v>
      </c>
      <c r="E552" s="2">
        <v>1930</v>
      </c>
      <c r="F552" s="2">
        <v>2</v>
      </c>
      <c r="G552" s="2">
        <v>1</v>
      </c>
      <c r="H552" s="3" t="s">
        <v>3434</v>
      </c>
      <c r="I552" s="3" t="s">
        <v>4902</v>
      </c>
      <c r="J552" s="3" t="s">
        <v>3907</v>
      </c>
      <c r="K552" s="21" t="s">
        <v>3908</v>
      </c>
      <c r="L552" s="10">
        <v>12186</v>
      </c>
      <c r="M552" s="4">
        <f>24+8</f>
        <v>32</v>
      </c>
      <c r="N552" s="2">
        <v>73</v>
      </c>
      <c r="O552" s="2">
        <v>5</v>
      </c>
      <c r="P552" s="2">
        <v>4</v>
      </c>
      <c r="Q552" s="2">
        <v>1</v>
      </c>
      <c r="R552" s="2">
        <v>1</v>
      </c>
      <c r="S552" s="11">
        <v>1</v>
      </c>
      <c r="T552" s="11">
        <v>1</v>
      </c>
      <c r="U552" s="11">
        <v>0</v>
      </c>
      <c r="V552" s="2">
        <v>1</v>
      </c>
      <c r="W552" s="2">
        <v>1</v>
      </c>
      <c r="X552" s="2">
        <v>3</v>
      </c>
      <c r="Y552" s="2">
        <v>1</v>
      </c>
      <c r="Z552" s="26" t="s">
        <v>5167</v>
      </c>
      <c r="AA552" s="31">
        <v>1936.01</v>
      </c>
    </row>
    <row r="553" spans="1:27" ht="16" x14ac:dyDescent="0.2">
      <c r="A553" s="3" t="s">
        <v>3902</v>
      </c>
      <c r="B553" s="2" t="s">
        <v>3903</v>
      </c>
      <c r="C553" s="8">
        <v>13162</v>
      </c>
      <c r="D553" s="2">
        <v>1936</v>
      </c>
      <c r="E553" s="2">
        <v>1930</v>
      </c>
      <c r="F553" s="2">
        <v>2</v>
      </c>
      <c r="G553" s="2">
        <v>1</v>
      </c>
      <c r="H553" s="3" t="s">
        <v>3434</v>
      </c>
      <c r="I553" s="3" t="s">
        <v>5013</v>
      </c>
      <c r="J553" s="3" t="s">
        <v>3904</v>
      </c>
      <c r="K553" s="3" t="s">
        <v>5014</v>
      </c>
      <c r="L553" s="10">
        <v>13020</v>
      </c>
      <c r="M553" s="4">
        <v>5</v>
      </c>
      <c r="N553" s="2">
        <v>74</v>
      </c>
      <c r="O553" s="2">
        <v>5</v>
      </c>
      <c r="P553" s="2">
        <v>4</v>
      </c>
      <c r="Q553" s="2">
        <v>0</v>
      </c>
      <c r="R553" s="2">
        <v>0</v>
      </c>
      <c r="S553" s="11">
        <v>1</v>
      </c>
      <c r="T553" s="11">
        <v>1</v>
      </c>
      <c r="U553" s="11">
        <v>0</v>
      </c>
      <c r="V553" s="2">
        <v>1</v>
      </c>
      <c r="W553" s="2">
        <v>1</v>
      </c>
      <c r="X553" s="2">
        <v>0</v>
      </c>
      <c r="Y553" s="2">
        <v>1</v>
      </c>
      <c r="Z553" s="26" t="s">
        <v>5167</v>
      </c>
      <c r="AA553" s="31">
        <v>1936.02</v>
      </c>
    </row>
    <row r="554" spans="1:27" ht="16" x14ac:dyDescent="0.2">
      <c r="A554" s="3" t="s">
        <v>1647</v>
      </c>
      <c r="B554" s="2" t="s">
        <v>1648</v>
      </c>
      <c r="C554" s="8">
        <v>13183</v>
      </c>
      <c r="D554" s="2">
        <v>1936</v>
      </c>
      <c r="E554" s="2">
        <v>1930</v>
      </c>
      <c r="F554" s="2">
        <v>0</v>
      </c>
      <c r="G554" s="2">
        <v>0</v>
      </c>
      <c r="H554" s="3" t="s">
        <v>27</v>
      </c>
      <c r="I554" s="3" t="s">
        <v>1649</v>
      </c>
      <c r="J554" s="3" t="s">
        <v>1649</v>
      </c>
      <c r="K554" s="15"/>
      <c r="L554" s="4" t="s">
        <v>1650</v>
      </c>
      <c r="M554" s="4">
        <f>11+(12*39)</f>
        <v>479</v>
      </c>
      <c r="N554" s="2">
        <v>54</v>
      </c>
      <c r="O554" s="2">
        <v>5</v>
      </c>
      <c r="Q554" s="2">
        <v>0</v>
      </c>
      <c r="R554" s="2">
        <v>0</v>
      </c>
      <c r="S554" s="11">
        <v>1</v>
      </c>
      <c r="T554" s="11">
        <v>1</v>
      </c>
      <c r="U554" s="11">
        <v>1</v>
      </c>
      <c r="V554" s="2">
        <v>0</v>
      </c>
      <c r="W554" s="2">
        <v>1</v>
      </c>
      <c r="X554" s="2">
        <v>0</v>
      </c>
      <c r="Y554" s="2">
        <v>0</v>
      </c>
      <c r="Z554" s="26" t="s">
        <v>5167</v>
      </c>
      <c r="AA554" s="31">
        <v>1936.03</v>
      </c>
    </row>
    <row r="555" spans="1:27" ht="16" x14ac:dyDescent="0.2">
      <c r="A555" s="3" t="s">
        <v>1643</v>
      </c>
      <c r="B555" s="2" t="s">
        <v>1644</v>
      </c>
      <c r="C555" s="8">
        <v>13197</v>
      </c>
      <c r="D555" s="2">
        <v>1936</v>
      </c>
      <c r="E555" s="2">
        <v>1930</v>
      </c>
      <c r="F555" s="2">
        <v>0</v>
      </c>
      <c r="G555" s="2">
        <v>0</v>
      </c>
      <c r="H555" s="3" t="s">
        <v>27</v>
      </c>
      <c r="I555" s="3" t="s">
        <v>4903</v>
      </c>
      <c r="J555" s="3" t="s">
        <v>1645</v>
      </c>
      <c r="K555" s="21" t="s">
        <v>1646</v>
      </c>
      <c r="L555" s="10">
        <v>13027</v>
      </c>
      <c r="M555" s="4">
        <f>7</f>
        <v>7</v>
      </c>
      <c r="N555" s="2">
        <v>74</v>
      </c>
      <c r="O555" s="2">
        <v>5</v>
      </c>
      <c r="Q555" s="2">
        <v>0</v>
      </c>
      <c r="R555" s="2">
        <v>0</v>
      </c>
      <c r="S555" s="11">
        <v>1</v>
      </c>
      <c r="T555" s="11">
        <v>1</v>
      </c>
      <c r="U555" s="11">
        <v>0</v>
      </c>
      <c r="V555" s="2">
        <v>0</v>
      </c>
      <c r="W555" s="2">
        <v>1</v>
      </c>
      <c r="X555" s="2">
        <v>1</v>
      </c>
      <c r="Y555" s="2">
        <v>1</v>
      </c>
      <c r="Z555" s="26" t="s">
        <v>5167</v>
      </c>
      <c r="AA555" s="31">
        <v>1936.04</v>
      </c>
    </row>
    <row r="556" spans="1:27" ht="16" x14ac:dyDescent="0.2">
      <c r="A556" s="3" t="s">
        <v>1662</v>
      </c>
      <c r="B556" s="2" t="s">
        <v>1663</v>
      </c>
      <c r="C556" s="8">
        <v>13211</v>
      </c>
      <c r="D556" s="2">
        <v>1936</v>
      </c>
      <c r="E556" s="2">
        <v>1930</v>
      </c>
      <c r="F556" s="2">
        <v>0</v>
      </c>
      <c r="G556" s="2">
        <v>0</v>
      </c>
      <c r="H556" s="3" t="s">
        <v>27</v>
      </c>
      <c r="I556" s="3" t="s">
        <v>1664</v>
      </c>
      <c r="J556" s="3" t="s">
        <v>1664</v>
      </c>
      <c r="K556" s="21" t="s">
        <v>1665</v>
      </c>
      <c r="L556" s="10">
        <v>10612</v>
      </c>
      <c r="M556" s="4">
        <f>2+(7*12)</f>
        <v>86</v>
      </c>
      <c r="N556" s="2">
        <v>70</v>
      </c>
      <c r="O556" s="2">
        <v>5</v>
      </c>
      <c r="P556" s="2">
        <v>6</v>
      </c>
      <c r="Q556" s="2">
        <v>0</v>
      </c>
      <c r="R556" s="2">
        <v>0</v>
      </c>
      <c r="S556" s="11">
        <v>0</v>
      </c>
      <c r="T556" s="11">
        <v>1</v>
      </c>
      <c r="U556" s="11">
        <v>0</v>
      </c>
      <c r="V556" s="2">
        <v>0</v>
      </c>
      <c r="W556" s="2">
        <v>0</v>
      </c>
      <c r="X556" s="2">
        <v>0</v>
      </c>
      <c r="Y556" s="2">
        <v>0</v>
      </c>
      <c r="Z556" s="26" t="s">
        <v>5167</v>
      </c>
      <c r="AA556" s="31">
        <v>1936.05</v>
      </c>
    </row>
    <row r="557" spans="1:27" ht="16" x14ac:dyDescent="0.2">
      <c r="A557" s="3" t="s">
        <v>1655</v>
      </c>
      <c r="B557" s="2" t="s">
        <v>1656</v>
      </c>
      <c r="C557" s="8">
        <v>13155</v>
      </c>
      <c r="D557" s="2">
        <v>1936</v>
      </c>
      <c r="E557" s="2">
        <v>1930</v>
      </c>
      <c r="F557" s="2">
        <v>0</v>
      </c>
      <c r="G557" s="2">
        <v>0</v>
      </c>
      <c r="H557" s="3" t="s">
        <v>27</v>
      </c>
      <c r="I557" s="3" t="s">
        <v>4891</v>
      </c>
      <c r="J557" s="3" t="s">
        <v>1657</v>
      </c>
      <c r="K557" s="21" t="s">
        <v>1416</v>
      </c>
      <c r="L557" s="10">
        <v>9554</v>
      </c>
      <c r="M557" s="4">
        <f>11+(9*12)</f>
        <v>119</v>
      </c>
      <c r="N557" s="2">
        <v>69</v>
      </c>
      <c r="O557" s="2">
        <v>4</v>
      </c>
      <c r="P557" s="2">
        <v>1</v>
      </c>
      <c r="Q557" s="2">
        <v>1</v>
      </c>
      <c r="R557" s="2">
        <v>0</v>
      </c>
      <c r="S557" s="11">
        <v>1</v>
      </c>
      <c r="T557" s="11">
        <v>1</v>
      </c>
      <c r="U557" s="11">
        <v>1</v>
      </c>
      <c r="V557" s="2">
        <v>0</v>
      </c>
      <c r="W557" s="2">
        <v>1</v>
      </c>
      <c r="X557" s="2">
        <v>3</v>
      </c>
      <c r="Y557" s="2">
        <v>0</v>
      </c>
      <c r="Z557" s="26" t="s">
        <v>5167</v>
      </c>
      <c r="AA557" s="31">
        <v>1936.06</v>
      </c>
    </row>
    <row r="558" spans="1:27" ht="16" x14ac:dyDescent="0.2">
      <c r="A558" s="3" t="s">
        <v>3899</v>
      </c>
      <c r="B558" s="2" t="s">
        <v>3900</v>
      </c>
      <c r="C558" s="8">
        <v>13288</v>
      </c>
      <c r="D558" s="2">
        <v>1936</v>
      </c>
      <c r="E558" s="2">
        <v>1930</v>
      </c>
      <c r="F558" s="2">
        <v>2</v>
      </c>
      <c r="G558" s="2">
        <v>1</v>
      </c>
      <c r="H558" s="3" t="s">
        <v>3434</v>
      </c>
      <c r="I558" s="3" t="s">
        <v>5016</v>
      </c>
      <c r="J558" s="3" t="s">
        <v>3901</v>
      </c>
      <c r="K558" s="21" t="s">
        <v>5015</v>
      </c>
      <c r="L558" s="10">
        <v>13026</v>
      </c>
      <c r="M558" s="4">
        <f>9</f>
        <v>9</v>
      </c>
      <c r="N558" s="2">
        <v>74</v>
      </c>
      <c r="O558" s="2">
        <v>5</v>
      </c>
      <c r="P558" s="2">
        <v>4</v>
      </c>
      <c r="Q558" s="2">
        <v>1</v>
      </c>
      <c r="R558" s="2">
        <v>1</v>
      </c>
      <c r="S558" s="11">
        <v>1</v>
      </c>
      <c r="T558" s="11">
        <v>1</v>
      </c>
      <c r="U558" s="11">
        <v>1</v>
      </c>
      <c r="V558" s="2">
        <v>1</v>
      </c>
      <c r="W558" s="2">
        <v>0</v>
      </c>
      <c r="X558" s="2">
        <v>4</v>
      </c>
      <c r="Y558" s="2">
        <v>1</v>
      </c>
      <c r="Z558" s="26" t="s">
        <v>5167</v>
      </c>
      <c r="AA558" s="31">
        <v>1936.07</v>
      </c>
    </row>
    <row r="559" spans="1:27" ht="16" x14ac:dyDescent="0.2">
      <c r="A559" s="3" t="s">
        <v>2185</v>
      </c>
      <c r="B559" s="2" t="s">
        <v>3898</v>
      </c>
      <c r="C559" s="8">
        <v>13288</v>
      </c>
      <c r="D559" s="2">
        <v>1936</v>
      </c>
      <c r="E559" s="2">
        <v>1930</v>
      </c>
      <c r="F559" s="2">
        <v>1</v>
      </c>
      <c r="G559" s="2">
        <v>1</v>
      </c>
      <c r="H559" s="3" t="s">
        <v>3442</v>
      </c>
      <c r="I559" s="3" t="s">
        <v>1515</v>
      </c>
      <c r="J559" s="3" t="s">
        <v>2104</v>
      </c>
      <c r="K559" s="15"/>
      <c r="L559" s="4" t="s">
        <v>688</v>
      </c>
      <c r="M559" s="4">
        <f>(49*12)+3</f>
        <v>591</v>
      </c>
      <c r="N559" s="2">
        <v>49</v>
      </c>
      <c r="O559" s="2">
        <v>1</v>
      </c>
      <c r="P559" s="2">
        <v>4</v>
      </c>
      <c r="Q559" s="2">
        <v>1</v>
      </c>
      <c r="R559" s="2">
        <v>1</v>
      </c>
      <c r="S559" s="11">
        <v>1</v>
      </c>
      <c r="T559" s="11">
        <v>0</v>
      </c>
      <c r="U559" s="11">
        <v>0</v>
      </c>
      <c r="V559" s="2">
        <v>0</v>
      </c>
      <c r="W559" s="2">
        <v>1</v>
      </c>
      <c r="X559" s="2">
        <v>0</v>
      </c>
      <c r="Y559" s="2">
        <v>1</v>
      </c>
      <c r="Z559" s="26" t="s">
        <v>5167</v>
      </c>
      <c r="AA559" s="31">
        <v>1936.08</v>
      </c>
    </row>
    <row r="560" spans="1:27" ht="16" x14ac:dyDescent="0.2">
      <c r="A560" s="3" t="s">
        <v>3894</v>
      </c>
      <c r="B560" s="2" t="s">
        <v>3895</v>
      </c>
      <c r="C560" s="8">
        <v>13295</v>
      </c>
      <c r="D560" s="2">
        <v>1936</v>
      </c>
      <c r="E560" s="2">
        <v>1930</v>
      </c>
      <c r="F560" s="2">
        <v>2</v>
      </c>
      <c r="G560" s="2">
        <v>1</v>
      </c>
      <c r="H560" s="3" t="s">
        <v>3434</v>
      </c>
      <c r="I560" s="3" t="s">
        <v>4904</v>
      </c>
      <c r="J560" s="3" t="s">
        <v>3896</v>
      </c>
      <c r="K560" s="21" t="s">
        <v>3897</v>
      </c>
      <c r="L560" s="10">
        <v>12563</v>
      </c>
      <c r="M560" s="4">
        <v>24</v>
      </c>
      <c r="N560" s="2">
        <v>73</v>
      </c>
      <c r="O560" s="2">
        <v>5</v>
      </c>
      <c r="Q560" s="2">
        <v>0</v>
      </c>
      <c r="R560" s="2">
        <v>0</v>
      </c>
      <c r="S560" s="11">
        <v>1</v>
      </c>
      <c r="T560" s="11">
        <v>1</v>
      </c>
      <c r="U560" s="11">
        <v>1</v>
      </c>
      <c r="V560" s="2">
        <v>1</v>
      </c>
      <c r="W560" s="2">
        <v>0</v>
      </c>
      <c r="X560" s="2">
        <v>4</v>
      </c>
      <c r="Y560" s="2">
        <v>1</v>
      </c>
      <c r="Z560" s="26" t="s">
        <v>5167</v>
      </c>
      <c r="AA560" s="31">
        <v>1936.09</v>
      </c>
    </row>
    <row r="561" spans="1:27" ht="16" x14ac:dyDescent="0.2">
      <c r="A561" s="3" t="s">
        <v>1658</v>
      </c>
      <c r="B561" s="2" t="s">
        <v>1659</v>
      </c>
      <c r="C561" s="8">
        <v>13491</v>
      </c>
      <c r="D561" s="2">
        <v>1936</v>
      </c>
      <c r="E561" s="2">
        <v>1930</v>
      </c>
      <c r="F561" s="2">
        <v>0</v>
      </c>
      <c r="G561" s="2">
        <v>0</v>
      </c>
      <c r="H561" s="3" t="s">
        <v>27</v>
      </c>
      <c r="I561" s="3" t="s">
        <v>1660</v>
      </c>
      <c r="J561" s="3" t="s">
        <v>1660</v>
      </c>
      <c r="K561" s="3" t="s">
        <v>1661</v>
      </c>
      <c r="L561" s="10">
        <v>13018</v>
      </c>
      <c r="M561" s="4">
        <v>16</v>
      </c>
      <c r="N561" s="2">
        <v>74</v>
      </c>
      <c r="O561" s="2">
        <v>1</v>
      </c>
      <c r="Q561" s="2">
        <v>0</v>
      </c>
      <c r="R561" s="2">
        <v>0</v>
      </c>
      <c r="S561" s="11">
        <v>1</v>
      </c>
      <c r="T561" s="11">
        <v>1</v>
      </c>
      <c r="U561" s="11">
        <v>1</v>
      </c>
      <c r="V561" s="2">
        <v>0</v>
      </c>
      <c r="W561" s="2">
        <v>1</v>
      </c>
      <c r="X561" s="2">
        <v>3</v>
      </c>
      <c r="Y561" s="2">
        <v>1</v>
      </c>
      <c r="Z561" s="26" t="s">
        <v>5167</v>
      </c>
      <c r="AA561" s="31">
        <v>1936.1</v>
      </c>
    </row>
    <row r="562" spans="1:27" ht="16" x14ac:dyDescent="0.2">
      <c r="A562" s="3" t="s">
        <v>1651</v>
      </c>
      <c r="B562" s="2" t="s">
        <v>1652</v>
      </c>
      <c r="C562" s="8">
        <v>13505</v>
      </c>
      <c r="D562" s="2">
        <v>1936</v>
      </c>
      <c r="E562" s="2">
        <v>1930</v>
      </c>
      <c r="F562" s="2">
        <v>0</v>
      </c>
      <c r="G562" s="2">
        <v>0</v>
      </c>
      <c r="H562" s="3" t="s">
        <v>27</v>
      </c>
      <c r="I562" s="3" t="s">
        <v>5052</v>
      </c>
      <c r="J562" s="3" t="s">
        <v>1653</v>
      </c>
      <c r="K562" s="21" t="s">
        <v>1654</v>
      </c>
      <c r="L562" s="10">
        <v>12567</v>
      </c>
      <c r="M562" s="4">
        <f>24+7</f>
        <v>31</v>
      </c>
      <c r="N562" s="2">
        <v>73</v>
      </c>
      <c r="O562" s="2">
        <v>6</v>
      </c>
      <c r="Q562" s="2">
        <v>0</v>
      </c>
      <c r="R562" s="2">
        <v>0</v>
      </c>
      <c r="S562" s="11">
        <v>1</v>
      </c>
      <c r="T562" s="11">
        <v>0</v>
      </c>
      <c r="U562" s="11">
        <v>1</v>
      </c>
      <c r="V562" s="2">
        <v>0</v>
      </c>
      <c r="W562" s="2">
        <v>1</v>
      </c>
      <c r="X562" s="2">
        <v>1</v>
      </c>
      <c r="Y562" s="2">
        <v>1</v>
      </c>
      <c r="Z562" s="26" t="s">
        <v>5167</v>
      </c>
      <c r="AA562" s="31">
        <v>1936.11</v>
      </c>
    </row>
    <row r="563" spans="1:27" ht="16" x14ac:dyDescent="0.2">
      <c r="A563" s="3" t="s">
        <v>1690</v>
      </c>
      <c r="B563" s="2" t="s">
        <v>1691</v>
      </c>
      <c r="C563" s="8">
        <v>13519</v>
      </c>
      <c r="D563" s="2">
        <v>1937</v>
      </c>
      <c r="E563" s="2">
        <v>1930</v>
      </c>
      <c r="F563" s="2">
        <v>0</v>
      </c>
      <c r="G563" s="2">
        <v>0</v>
      </c>
      <c r="H563" s="3" t="s">
        <v>27</v>
      </c>
      <c r="I563" s="3" t="s">
        <v>1692</v>
      </c>
      <c r="J563" s="3" t="s">
        <v>1692</v>
      </c>
      <c r="K563" s="21" t="s">
        <v>1693</v>
      </c>
      <c r="L563" s="10">
        <v>12989</v>
      </c>
      <c r="M563" s="4">
        <f>6+12</f>
        <v>18</v>
      </c>
      <c r="N563" s="2">
        <v>74</v>
      </c>
      <c r="O563" s="2">
        <v>5</v>
      </c>
      <c r="Q563" s="2">
        <v>0</v>
      </c>
      <c r="R563" s="2">
        <v>0</v>
      </c>
      <c r="S563" s="11">
        <v>1</v>
      </c>
      <c r="T563" s="11">
        <v>1</v>
      </c>
      <c r="U563" s="11">
        <v>0</v>
      </c>
      <c r="V563" s="2">
        <v>0</v>
      </c>
      <c r="W563" s="2">
        <v>0</v>
      </c>
      <c r="X563" s="2">
        <v>0</v>
      </c>
      <c r="Y563" s="2">
        <v>1</v>
      </c>
      <c r="Z563" s="26" t="s">
        <v>5167</v>
      </c>
      <c r="AA563" s="31">
        <v>1937.01</v>
      </c>
    </row>
    <row r="564" spans="1:27" ht="16" x14ac:dyDescent="0.2">
      <c r="A564" s="3" t="s">
        <v>1704</v>
      </c>
      <c r="B564" s="2" t="s">
        <v>1705</v>
      </c>
      <c r="C564" s="8">
        <v>13519</v>
      </c>
      <c r="D564" s="2">
        <v>1937</v>
      </c>
      <c r="E564" s="2">
        <v>1930</v>
      </c>
      <c r="F564" s="2">
        <v>0</v>
      </c>
      <c r="G564" s="2">
        <v>0</v>
      </c>
      <c r="H564" s="3" t="s">
        <v>27</v>
      </c>
      <c r="I564" s="3" t="s">
        <v>5094</v>
      </c>
      <c r="J564" s="3" t="s">
        <v>925</v>
      </c>
      <c r="K564" s="15" t="s">
        <v>4694</v>
      </c>
      <c r="L564" s="10">
        <v>910</v>
      </c>
      <c r="M564" s="4">
        <f>7+(12*34)</f>
        <v>415</v>
      </c>
      <c r="N564" s="2">
        <v>57</v>
      </c>
      <c r="O564" s="2">
        <v>5</v>
      </c>
      <c r="Q564" s="2">
        <v>1</v>
      </c>
      <c r="R564" s="2">
        <v>0</v>
      </c>
      <c r="S564" s="11">
        <v>0</v>
      </c>
      <c r="T564" s="11">
        <v>0</v>
      </c>
      <c r="U564" s="11">
        <v>1</v>
      </c>
      <c r="V564" s="2">
        <v>0</v>
      </c>
      <c r="W564" s="2">
        <v>0</v>
      </c>
      <c r="X564" s="2">
        <v>0</v>
      </c>
      <c r="Y564" s="2">
        <v>0</v>
      </c>
      <c r="Z564" s="26" t="s">
        <v>5167</v>
      </c>
      <c r="AA564" s="31">
        <v>1937.02</v>
      </c>
    </row>
    <row r="565" spans="1:27" ht="16" x14ac:dyDescent="0.2">
      <c r="A565" s="3" t="s">
        <v>1694</v>
      </c>
      <c r="B565" s="2" t="s">
        <v>1695</v>
      </c>
      <c r="C565" s="8">
        <v>13519</v>
      </c>
      <c r="D565" s="2">
        <v>1937</v>
      </c>
      <c r="E565" s="2">
        <v>1930</v>
      </c>
      <c r="F565" s="2">
        <v>0</v>
      </c>
      <c r="G565" s="2">
        <v>0</v>
      </c>
      <c r="H565" s="3" t="s">
        <v>27</v>
      </c>
      <c r="I565" s="3" t="s">
        <v>4904</v>
      </c>
      <c r="J565" s="3" t="s">
        <v>1696</v>
      </c>
      <c r="K565" s="21" t="s">
        <v>1697</v>
      </c>
      <c r="L565" s="10">
        <v>12577</v>
      </c>
      <c r="M565" s="4">
        <f>7+24</f>
        <v>31</v>
      </c>
      <c r="N565" s="2">
        <v>73</v>
      </c>
      <c r="O565" s="2">
        <v>4</v>
      </c>
      <c r="Q565" s="2">
        <v>0</v>
      </c>
      <c r="R565" s="2">
        <v>0</v>
      </c>
      <c r="S565" s="11">
        <v>0</v>
      </c>
      <c r="T565" s="11">
        <v>1</v>
      </c>
      <c r="U565" s="11">
        <v>0</v>
      </c>
      <c r="V565" s="2">
        <v>0</v>
      </c>
      <c r="W565" s="2">
        <v>0</v>
      </c>
      <c r="X565" s="2">
        <v>0</v>
      </c>
      <c r="Y565" s="2">
        <v>1</v>
      </c>
      <c r="Z565" s="26" t="s">
        <v>5167</v>
      </c>
      <c r="AA565" s="31">
        <v>1937.03</v>
      </c>
    </row>
    <row r="566" spans="1:27" ht="16" x14ac:dyDescent="0.2">
      <c r="A566" s="3" t="s">
        <v>1712</v>
      </c>
      <c r="B566" s="2" t="s">
        <v>1713</v>
      </c>
      <c r="C566" s="8">
        <v>13526</v>
      </c>
      <c r="D566" s="2">
        <v>1937</v>
      </c>
      <c r="E566" s="2">
        <v>1930</v>
      </c>
      <c r="F566" s="2">
        <v>0</v>
      </c>
      <c r="G566" s="2">
        <v>0</v>
      </c>
      <c r="H566" s="3" t="s">
        <v>27</v>
      </c>
      <c r="I566" s="3" t="s">
        <v>4905</v>
      </c>
      <c r="J566" s="3" t="s">
        <v>1714</v>
      </c>
      <c r="K566" s="21" t="s">
        <v>1715</v>
      </c>
      <c r="L566" s="10">
        <v>12589</v>
      </c>
      <c r="M566" s="4">
        <f>31</f>
        <v>31</v>
      </c>
      <c r="N566" s="2">
        <v>73</v>
      </c>
      <c r="O566" s="2">
        <v>4</v>
      </c>
      <c r="P566" s="2">
        <v>1</v>
      </c>
      <c r="Q566" s="2">
        <v>1</v>
      </c>
      <c r="R566" s="2">
        <v>1</v>
      </c>
      <c r="S566" s="11">
        <v>1</v>
      </c>
      <c r="T566" s="11">
        <v>1</v>
      </c>
      <c r="U566" s="11">
        <v>1</v>
      </c>
      <c r="V566" s="2">
        <v>0</v>
      </c>
      <c r="W566" s="2">
        <v>1</v>
      </c>
      <c r="X566" s="2">
        <v>0</v>
      </c>
      <c r="Y566" s="2">
        <v>1</v>
      </c>
      <c r="Z566" s="26" t="s">
        <v>5167</v>
      </c>
      <c r="AA566" s="31">
        <v>1937.04</v>
      </c>
    </row>
    <row r="567" spans="1:27" ht="16" x14ac:dyDescent="0.2">
      <c r="A567" s="3" t="s">
        <v>1686</v>
      </c>
      <c r="B567" s="2" t="s">
        <v>1687</v>
      </c>
      <c r="C567" s="8">
        <v>13547</v>
      </c>
      <c r="D567" s="2">
        <v>1937</v>
      </c>
      <c r="E567" s="2">
        <v>1930</v>
      </c>
      <c r="F567" s="2">
        <v>0</v>
      </c>
      <c r="G567" s="2">
        <v>0</v>
      </c>
      <c r="H567" s="3" t="s">
        <v>27</v>
      </c>
      <c r="I567" s="3" t="s">
        <v>1312</v>
      </c>
      <c r="J567" s="21" t="s">
        <v>1313</v>
      </c>
      <c r="K567" s="21" t="s">
        <v>1314</v>
      </c>
      <c r="L567" s="10">
        <v>5402</v>
      </c>
      <c r="M567" s="4">
        <f>4+(12*22)</f>
        <v>268</v>
      </c>
      <c r="N567" s="2">
        <v>63</v>
      </c>
      <c r="O567" s="2">
        <v>4</v>
      </c>
      <c r="Q567" s="2">
        <v>1</v>
      </c>
      <c r="R567" s="2">
        <v>0</v>
      </c>
      <c r="S567" s="11">
        <v>1</v>
      </c>
      <c r="T567" s="11">
        <v>1</v>
      </c>
      <c r="U567" s="11">
        <v>1</v>
      </c>
      <c r="V567" s="2">
        <v>0</v>
      </c>
      <c r="W567" s="2">
        <v>1</v>
      </c>
      <c r="X567" s="2">
        <v>0</v>
      </c>
      <c r="Y567" s="2">
        <v>1</v>
      </c>
      <c r="Z567" s="26" t="s">
        <v>5167</v>
      </c>
      <c r="AA567" s="31">
        <v>1937.05</v>
      </c>
    </row>
    <row r="568" spans="1:27" ht="16" x14ac:dyDescent="0.2">
      <c r="A568" s="3" t="s">
        <v>1678</v>
      </c>
      <c r="B568" s="2" t="s">
        <v>1679</v>
      </c>
      <c r="C568" s="8">
        <v>13547</v>
      </c>
      <c r="D568" s="2">
        <v>1937</v>
      </c>
      <c r="E568" s="2">
        <v>1930</v>
      </c>
      <c r="F568" s="2">
        <v>0</v>
      </c>
      <c r="G568" s="2">
        <v>0</v>
      </c>
      <c r="H568" s="3" t="s">
        <v>27</v>
      </c>
      <c r="I568" s="3" t="s">
        <v>4906</v>
      </c>
      <c r="J568" s="3" t="s">
        <v>1680</v>
      </c>
      <c r="K568" s="21" t="s">
        <v>1681</v>
      </c>
      <c r="L568" s="10">
        <v>12597</v>
      </c>
      <c r="M568" s="4">
        <v>32</v>
      </c>
      <c r="N568" s="2">
        <v>73</v>
      </c>
      <c r="O568" s="2">
        <v>1</v>
      </c>
      <c r="P568" s="2">
        <v>4</v>
      </c>
      <c r="Q568" s="2">
        <v>0</v>
      </c>
      <c r="R568" s="2">
        <v>0</v>
      </c>
      <c r="S568" s="11">
        <v>1</v>
      </c>
      <c r="T568" s="11">
        <v>1</v>
      </c>
      <c r="U568" s="11">
        <v>1</v>
      </c>
      <c r="V568" s="2">
        <v>0</v>
      </c>
      <c r="W568" s="2">
        <v>1</v>
      </c>
      <c r="X568" s="2">
        <v>0</v>
      </c>
      <c r="Y568" s="2">
        <v>1</v>
      </c>
      <c r="Z568" s="26" t="s">
        <v>5167</v>
      </c>
      <c r="AA568" s="31">
        <v>1937.06</v>
      </c>
    </row>
    <row r="569" spans="1:27" ht="16" x14ac:dyDescent="0.2">
      <c r="A569" s="3" t="s">
        <v>1688</v>
      </c>
      <c r="B569" s="2" t="s">
        <v>1689</v>
      </c>
      <c r="C569" s="8">
        <v>13575</v>
      </c>
      <c r="D569" s="2">
        <v>1937</v>
      </c>
      <c r="E569" s="2">
        <v>1930</v>
      </c>
      <c r="F569" s="2">
        <v>0</v>
      </c>
      <c r="G569" s="2">
        <v>0</v>
      </c>
      <c r="H569" s="3" t="s">
        <v>27</v>
      </c>
      <c r="I569" s="3" t="s">
        <v>5052</v>
      </c>
      <c r="J569" s="3" t="s">
        <v>1641</v>
      </c>
      <c r="K569" s="21" t="s">
        <v>1642</v>
      </c>
      <c r="L569" s="10">
        <v>12210</v>
      </c>
      <c r="M569" s="4">
        <f>9+36</f>
        <v>45</v>
      </c>
      <c r="N569" s="2">
        <v>73</v>
      </c>
      <c r="O569" s="2">
        <v>4</v>
      </c>
      <c r="Q569" s="2">
        <v>1</v>
      </c>
      <c r="R569" s="2">
        <v>1</v>
      </c>
      <c r="S569" s="11">
        <v>1</v>
      </c>
      <c r="T569" s="11">
        <v>1</v>
      </c>
      <c r="U569" s="11">
        <v>0</v>
      </c>
      <c r="V569" s="2">
        <v>0</v>
      </c>
      <c r="W569" s="2">
        <v>0</v>
      </c>
      <c r="X569" s="2">
        <v>4</v>
      </c>
      <c r="Y569" s="2">
        <v>1</v>
      </c>
      <c r="Z569" s="26" t="s">
        <v>5167</v>
      </c>
      <c r="AA569" s="31">
        <v>1937.07</v>
      </c>
    </row>
    <row r="570" spans="1:27" ht="16" x14ac:dyDescent="0.2">
      <c r="A570" s="3" t="s">
        <v>1720</v>
      </c>
      <c r="B570" s="2" t="s">
        <v>1721</v>
      </c>
      <c r="C570" s="8">
        <v>13603</v>
      </c>
      <c r="D570" s="2">
        <v>1937</v>
      </c>
      <c r="E570" s="2">
        <v>1930</v>
      </c>
      <c r="F570" s="2">
        <v>0</v>
      </c>
      <c r="G570" s="2">
        <v>0</v>
      </c>
      <c r="H570" s="3" t="s">
        <v>27</v>
      </c>
      <c r="I570" s="3" t="s">
        <v>4904</v>
      </c>
      <c r="J570" s="3" t="s">
        <v>1722</v>
      </c>
      <c r="K570" s="3" t="s">
        <v>1723</v>
      </c>
      <c r="L570" s="10">
        <v>13024</v>
      </c>
      <c r="M570" s="4">
        <f>7+12</f>
        <v>19</v>
      </c>
      <c r="N570" s="2">
        <v>74</v>
      </c>
      <c r="O570" s="2">
        <v>4</v>
      </c>
      <c r="Q570" s="2">
        <v>1</v>
      </c>
      <c r="R570" s="2">
        <v>1</v>
      </c>
      <c r="S570" s="11">
        <v>0</v>
      </c>
      <c r="T570" s="11">
        <v>1</v>
      </c>
      <c r="U570" s="11">
        <v>1</v>
      </c>
      <c r="V570" s="2">
        <v>0</v>
      </c>
      <c r="W570" s="2">
        <v>0</v>
      </c>
      <c r="X570" s="2">
        <v>0</v>
      </c>
      <c r="Y570" s="2">
        <v>1</v>
      </c>
      <c r="Z570" s="26" t="s">
        <v>5167</v>
      </c>
      <c r="AA570" s="31">
        <v>1937.08</v>
      </c>
    </row>
    <row r="571" spans="1:27" ht="16" x14ac:dyDescent="0.2">
      <c r="A571" s="3" t="s">
        <v>1706</v>
      </c>
      <c r="B571" s="2" t="s">
        <v>1707</v>
      </c>
      <c r="C571" s="8">
        <v>13603</v>
      </c>
      <c r="D571" s="2">
        <v>1937</v>
      </c>
      <c r="E571" s="2">
        <v>1930</v>
      </c>
      <c r="F571" s="2">
        <v>0</v>
      </c>
      <c r="G571" s="2">
        <v>0</v>
      </c>
      <c r="H571" s="3" t="s">
        <v>27</v>
      </c>
      <c r="I571" s="3" t="s">
        <v>4907</v>
      </c>
      <c r="J571" s="3" t="s">
        <v>1708</v>
      </c>
      <c r="K571" s="21" t="s">
        <v>1709</v>
      </c>
      <c r="L571" s="10">
        <v>12596</v>
      </c>
      <c r="M571" s="4">
        <f>9+24</f>
        <v>33</v>
      </c>
      <c r="N571" s="2">
        <v>73</v>
      </c>
      <c r="O571" s="2">
        <v>4</v>
      </c>
      <c r="P571" s="2">
        <v>5</v>
      </c>
      <c r="Q571" s="2">
        <v>0</v>
      </c>
      <c r="R571" s="2">
        <v>0</v>
      </c>
      <c r="S571" s="11">
        <v>1</v>
      </c>
      <c r="T571" s="11">
        <v>1</v>
      </c>
      <c r="U571" s="11">
        <v>0</v>
      </c>
      <c r="V571" s="2">
        <v>0</v>
      </c>
      <c r="W571" s="2">
        <v>1</v>
      </c>
      <c r="X571" s="2">
        <v>0</v>
      </c>
      <c r="Y571" s="2">
        <v>1</v>
      </c>
      <c r="Z571" s="26" t="s">
        <v>5167</v>
      </c>
      <c r="AA571" s="31">
        <v>1937.09</v>
      </c>
    </row>
    <row r="572" spans="1:27" ht="16" x14ac:dyDescent="0.2">
      <c r="A572" s="3" t="s">
        <v>1716</v>
      </c>
      <c r="B572" s="2" t="s">
        <v>1717</v>
      </c>
      <c r="C572" s="8">
        <v>13603</v>
      </c>
      <c r="D572" s="2">
        <v>1937</v>
      </c>
      <c r="E572" s="2">
        <v>1930</v>
      </c>
      <c r="F572" s="2">
        <v>0</v>
      </c>
      <c r="G572" s="2">
        <v>0</v>
      </c>
      <c r="H572" s="3" t="s">
        <v>27</v>
      </c>
      <c r="I572" s="3" t="s">
        <v>4889</v>
      </c>
      <c r="J572" s="3" t="s">
        <v>1718</v>
      </c>
      <c r="K572" s="21" t="s">
        <v>1719</v>
      </c>
      <c r="L572" s="10">
        <v>12591</v>
      </c>
      <c r="M572" s="4">
        <v>33</v>
      </c>
      <c r="N572" s="2">
        <v>73</v>
      </c>
      <c r="O572" s="2">
        <v>5</v>
      </c>
      <c r="Q572" s="2">
        <v>0</v>
      </c>
      <c r="R572" s="2">
        <v>0</v>
      </c>
      <c r="S572" s="11">
        <v>1</v>
      </c>
      <c r="T572" s="11">
        <v>1</v>
      </c>
      <c r="U572" s="11">
        <v>0</v>
      </c>
      <c r="V572" s="2">
        <v>0</v>
      </c>
      <c r="W572" s="2">
        <v>0</v>
      </c>
      <c r="X572" s="2">
        <v>0</v>
      </c>
      <c r="Y572" s="2">
        <v>1</v>
      </c>
      <c r="Z572" s="26" t="s">
        <v>5167</v>
      </c>
      <c r="AA572" s="31">
        <v>1937.1</v>
      </c>
    </row>
    <row r="573" spans="1:27" ht="16" x14ac:dyDescent="0.2">
      <c r="A573" s="3" t="s">
        <v>1702</v>
      </c>
      <c r="B573" s="2" t="s">
        <v>1703</v>
      </c>
      <c r="C573" s="8">
        <v>13617</v>
      </c>
      <c r="D573" s="2">
        <v>1937</v>
      </c>
      <c r="E573" s="2">
        <v>1930</v>
      </c>
      <c r="F573" s="2">
        <v>0</v>
      </c>
      <c r="G573" s="2">
        <v>0</v>
      </c>
      <c r="H573" s="3" t="s">
        <v>27</v>
      </c>
      <c r="I573" s="3" t="s">
        <v>4908</v>
      </c>
      <c r="J573" s="3" t="s">
        <v>1672</v>
      </c>
      <c r="K573" s="21" t="s">
        <v>1673</v>
      </c>
      <c r="L573" s="10">
        <v>12970</v>
      </c>
      <c r="M573" s="4">
        <f>9+12</f>
        <v>21</v>
      </c>
      <c r="N573" s="2">
        <v>74</v>
      </c>
      <c r="O573" s="2">
        <v>5</v>
      </c>
      <c r="P573" s="2">
        <v>1</v>
      </c>
      <c r="Q573" s="2">
        <v>1</v>
      </c>
      <c r="R573" s="2">
        <v>1</v>
      </c>
      <c r="S573" s="11">
        <v>1</v>
      </c>
      <c r="T573" s="11">
        <v>1</v>
      </c>
      <c r="U573" s="11">
        <v>1</v>
      </c>
      <c r="V573" s="2">
        <v>0</v>
      </c>
      <c r="W573" s="2">
        <v>1</v>
      </c>
      <c r="X573" s="2">
        <v>4</v>
      </c>
      <c r="Y573" s="2">
        <v>1</v>
      </c>
      <c r="Z573" s="26" t="s">
        <v>5167</v>
      </c>
      <c r="AA573" s="31">
        <v>1937.11</v>
      </c>
    </row>
    <row r="574" spans="1:27" ht="16" x14ac:dyDescent="0.2">
      <c r="A574" s="3" t="s">
        <v>1670</v>
      </c>
      <c r="B574" s="2" t="s">
        <v>1671</v>
      </c>
      <c r="C574" s="8">
        <v>13617</v>
      </c>
      <c r="D574" s="2">
        <v>1937</v>
      </c>
      <c r="E574" s="2">
        <v>1930</v>
      </c>
      <c r="F574" s="2">
        <v>0</v>
      </c>
      <c r="G574" s="2">
        <v>0</v>
      </c>
      <c r="H574" s="3" t="s">
        <v>27</v>
      </c>
      <c r="I574" s="3" t="s">
        <v>4908</v>
      </c>
      <c r="J574" s="3" t="s">
        <v>1672</v>
      </c>
      <c r="K574" s="21" t="s">
        <v>1673</v>
      </c>
      <c r="L574" s="10">
        <v>12970</v>
      </c>
      <c r="M574" s="4">
        <v>21</v>
      </c>
      <c r="N574" s="2">
        <v>74</v>
      </c>
      <c r="O574" s="2">
        <v>5</v>
      </c>
      <c r="P574" s="2">
        <v>2</v>
      </c>
      <c r="Q574" s="2">
        <v>1</v>
      </c>
      <c r="R574" s="2">
        <v>0</v>
      </c>
      <c r="S574" s="11">
        <v>1</v>
      </c>
      <c r="T574" s="11">
        <v>1</v>
      </c>
      <c r="U574" s="11">
        <v>0</v>
      </c>
      <c r="V574" s="2">
        <v>0</v>
      </c>
      <c r="W574" s="2">
        <v>1</v>
      </c>
      <c r="X574" s="2">
        <v>4</v>
      </c>
      <c r="Y574" s="2">
        <v>1</v>
      </c>
      <c r="Z574" s="26" t="s">
        <v>5167</v>
      </c>
      <c r="AA574" s="31">
        <v>1937.12</v>
      </c>
    </row>
    <row r="575" spans="1:27" ht="16" x14ac:dyDescent="0.2">
      <c r="A575" s="3" t="s">
        <v>1674</v>
      </c>
      <c r="B575" s="2" t="s">
        <v>1675</v>
      </c>
      <c r="C575" s="8">
        <v>13638</v>
      </c>
      <c r="D575" s="2">
        <v>1937</v>
      </c>
      <c r="E575" s="2">
        <v>1930</v>
      </c>
      <c r="F575" s="2">
        <v>0</v>
      </c>
      <c r="G575" s="2">
        <v>0</v>
      </c>
      <c r="H575" s="3" t="s">
        <v>27</v>
      </c>
      <c r="I575" s="3" t="s">
        <v>4909</v>
      </c>
      <c r="J575" s="3" t="s">
        <v>1676</v>
      </c>
      <c r="K575" s="21" t="s">
        <v>1677</v>
      </c>
      <c r="L575" s="10">
        <v>12549</v>
      </c>
      <c r="M575" s="4">
        <v>36</v>
      </c>
      <c r="N575" s="2">
        <v>73</v>
      </c>
      <c r="O575" s="2">
        <v>4</v>
      </c>
      <c r="P575" s="2">
        <v>6</v>
      </c>
      <c r="Q575" s="2">
        <v>0</v>
      </c>
      <c r="R575" s="2">
        <v>0</v>
      </c>
      <c r="S575" s="11">
        <v>1</v>
      </c>
      <c r="T575" s="11">
        <v>1</v>
      </c>
      <c r="U575" s="11">
        <v>0</v>
      </c>
      <c r="V575" s="2">
        <v>0</v>
      </c>
      <c r="W575" s="2">
        <v>1</v>
      </c>
      <c r="X575" s="2">
        <v>0</v>
      </c>
      <c r="Y575" s="2">
        <v>1</v>
      </c>
      <c r="Z575" s="26" t="s">
        <v>5167</v>
      </c>
      <c r="AA575" s="31">
        <v>1937.13</v>
      </c>
    </row>
    <row r="576" spans="1:27" ht="16" x14ac:dyDescent="0.2">
      <c r="A576" s="3" t="s">
        <v>1666</v>
      </c>
      <c r="B576" s="2" t="s">
        <v>1667</v>
      </c>
      <c r="C576" s="8">
        <v>13652</v>
      </c>
      <c r="D576" s="2">
        <v>1937</v>
      </c>
      <c r="E576" s="2">
        <v>1930</v>
      </c>
      <c r="F576" s="2">
        <v>0</v>
      </c>
      <c r="G576" s="2">
        <v>0</v>
      </c>
      <c r="H576" s="3" t="s">
        <v>27</v>
      </c>
      <c r="I576" s="3" t="s">
        <v>4910</v>
      </c>
      <c r="J576" s="3" t="s">
        <v>1668</v>
      </c>
      <c r="K576" s="21" t="s">
        <v>1669</v>
      </c>
      <c r="L576" s="10">
        <v>13323</v>
      </c>
      <c r="M576" s="4">
        <v>11</v>
      </c>
      <c r="N576" s="2">
        <v>74</v>
      </c>
      <c r="O576" s="2">
        <v>1</v>
      </c>
      <c r="P576" s="2">
        <v>4</v>
      </c>
      <c r="Q576" s="2">
        <v>0</v>
      </c>
      <c r="R576" s="2">
        <v>0</v>
      </c>
      <c r="S576" s="11">
        <v>1</v>
      </c>
      <c r="T576" s="11">
        <v>1</v>
      </c>
      <c r="U576" s="11">
        <v>0</v>
      </c>
      <c r="V576" s="2">
        <v>0</v>
      </c>
      <c r="W576" s="2">
        <v>1</v>
      </c>
      <c r="X576" s="2">
        <v>1</v>
      </c>
      <c r="Y576" s="2">
        <v>1</v>
      </c>
      <c r="Z576" s="26" t="s">
        <v>5167</v>
      </c>
      <c r="AA576" s="31">
        <v>1937.14</v>
      </c>
    </row>
    <row r="577" spans="1:27" ht="16" x14ac:dyDescent="0.2">
      <c r="A577" s="3" t="s">
        <v>1710</v>
      </c>
      <c r="B577" s="2" t="s">
        <v>1711</v>
      </c>
      <c r="C577" s="8">
        <v>13659</v>
      </c>
      <c r="D577" s="2">
        <v>1937</v>
      </c>
      <c r="E577" s="2">
        <v>1930</v>
      </c>
      <c r="F577" s="2">
        <v>0</v>
      </c>
      <c r="G577" s="2">
        <v>0</v>
      </c>
      <c r="H577" s="3" t="s">
        <v>27</v>
      </c>
      <c r="I577" s="3" t="s">
        <v>4884</v>
      </c>
      <c r="J577" s="3" t="s">
        <v>1684</v>
      </c>
      <c r="K577" s="21" t="s">
        <v>1685</v>
      </c>
      <c r="L577" s="10">
        <v>13010</v>
      </c>
      <c r="M577" s="4">
        <f>9+12</f>
        <v>21</v>
      </c>
      <c r="N577" s="2">
        <v>74</v>
      </c>
      <c r="O577" s="2">
        <v>4</v>
      </c>
      <c r="P577" s="2">
        <v>5</v>
      </c>
      <c r="Q577" s="2">
        <v>1</v>
      </c>
      <c r="R577" s="2">
        <v>1</v>
      </c>
      <c r="S577" s="11">
        <v>1</v>
      </c>
      <c r="T577" s="11">
        <v>1</v>
      </c>
      <c r="U577" s="11">
        <v>0</v>
      </c>
      <c r="V577" s="2">
        <v>0</v>
      </c>
      <c r="W577" s="2">
        <v>1</v>
      </c>
      <c r="X577" s="2">
        <v>4</v>
      </c>
      <c r="Y577" s="2">
        <v>1</v>
      </c>
      <c r="Z577" s="26" t="s">
        <v>5167</v>
      </c>
      <c r="AA577" s="31">
        <v>1937.15</v>
      </c>
    </row>
    <row r="578" spans="1:27" ht="16" x14ac:dyDescent="0.2">
      <c r="A578" s="3" t="s">
        <v>1682</v>
      </c>
      <c r="B578" s="2" t="s">
        <v>1683</v>
      </c>
      <c r="C578" s="8">
        <v>13659</v>
      </c>
      <c r="D578" s="2">
        <v>1937</v>
      </c>
      <c r="E578" s="2">
        <v>1930</v>
      </c>
      <c r="F578" s="2">
        <v>0</v>
      </c>
      <c r="G578" s="2">
        <v>0</v>
      </c>
      <c r="H578" s="3" t="s">
        <v>27</v>
      </c>
      <c r="I578" s="3" t="s">
        <v>4884</v>
      </c>
      <c r="J578" s="3" t="s">
        <v>1684</v>
      </c>
      <c r="K578" s="21" t="s">
        <v>1685</v>
      </c>
      <c r="L578" s="10">
        <v>13010</v>
      </c>
      <c r="M578" s="4">
        <v>21</v>
      </c>
      <c r="N578" s="2">
        <v>74</v>
      </c>
      <c r="O578" s="2">
        <v>5</v>
      </c>
      <c r="Q578" s="2">
        <v>1</v>
      </c>
      <c r="R578" s="2">
        <v>1</v>
      </c>
      <c r="S578" s="11">
        <v>1</v>
      </c>
      <c r="T578" s="11">
        <v>1</v>
      </c>
      <c r="U578" s="11">
        <v>1</v>
      </c>
      <c r="V578" s="2">
        <v>0</v>
      </c>
      <c r="W578" s="2">
        <v>1</v>
      </c>
      <c r="X578" s="2">
        <v>6</v>
      </c>
      <c r="Y578" s="2">
        <v>1</v>
      </c>
      <c r="Z578" s="26" t="s">
        <v>5167</v>
      </c>
      <c r="AA578" s="31">
        <v>1937.16</v>
      </c>
    </row>
    <row r="579" spans="1:27" ht="16" x14ac:dyDescent="0.2">
      <c r="A579" s="3" t="s">
        <v>1698</v>
      </c>
      <c r="B579" s="2" t="s">
        <v>1699</v>
      </c>
      <c r="C579" s="8">
        <v>13862</v>
      </c>
      <c r="D579" s="2">
        <v>1937</v>
      </c>
      <c r="E579" s="2">
        <v>1930</v>
      </c>
      <c r="F579" s="2">
        <v>0</v>
      </c>
      <c r="G579" s="2">
        <v>0</v>
      </c>
      <c r="H579" s="3" t="s">
        <v>27</v>
      </c>
      <c r="I579" s="3" t="s">
        <v>1700</v>
      </c>
      <c r="J579" s="3" t="s">
        <v>1700</v>
      </c>
      <c r="K579" s="21" t="s">
        <v>1701</v>
      </c>
      <c r="L579" s="10">
        <v>11134</v>
      </c>
      <c r="M579" s="4">
        <f>6+(12*7)</f>
        <v>90</v>
      </c>
      <c r="N579" s="2">
        <v>71</v>
      </c>
      <c r="O579" s="2">
        <v>4</v>
      </c>
      <c r="Q579" s="2">
        <v>0</v>
      </c>
      <c r="R579" s="2">
        <v>0</v>
      </c>
      <c r="S579" s="11">
        <v>0</v>
      </c>
      <c r="T579" s="11">
        <v>1</v>
      </c>
      <c r="U579" s="11">
        <v>0</v>
      </c>
      <c r="V579" s="2">
        <v>0</v>
      </c>
      <c r="W579" s="2">
        <v>0</v>
      </c>
      <c r="X579" s="2">
        <v>0</v>
      </c>
      <c r="Y579" s="2">
        <v>0</v>
      </c>
      <c r="Z579" s="26" t="s">
        <v>5167</v>
      </c>
      <c r="AA579" s="31">
        <v>1937.17</v>
      </c>
    </row>
    <row r="580" spans="1:27" ht="16" x14ac:dyDescent="0.2">
      <c r="A580" s="3" t="s">
        <v>1780</v>
      </c>
      <c r="B580" s="2" t="s">
        <v>1781</v>
      </c>
      <c r="C580" s="8">
        <v>13897</v>
      </c>
      <c r="D580" s="2">
        <v>1938</v>
      </c>
      <c r="E580" s="2">
        <v>1930</v>
      </c>
      <c r="F580" s="2">
        <v>0</v>
      </c>
      <c r="G580" s="2">
        <v>0</v>
      </c>
      <c r="H580" s="3" t="s">
        <v>27</v>
      </c>
      <c r="I580" s="3" t="s">
        <v>1782</v>
      </c>
      <c r="J580" s="3" t="s">
        <v>1782</v>
      </c>
      <c r="K580" s="21" t="s">
        <v>1783</v>
      </c>
      <c r="L580" s="10">
        <v>3829</v>
      </c>
      <c r="M580" s="4">
        <f>7+(27*12)</f>
        <v>331</v>
      </c>
      <c r="N580" s="2">
        <v>61</v>
      </c>
      <c r="O580" s="2">
        <v>5</v>
      </c>
      <c r="P580" s="2">
        <v>4</v>
      </c>
      <c r="Q580" s="2">
        <v>0</v>
      </c>
      <c r="R580" s="2">
        <v>0</v>
      </c>
      <c r="S580" s="11">
        <v>1</v>
      </c>
      <c r="T580" s="11">
        <v>1</v>
      </c>
      <c r="U580" s="11">
        <v>1</v>
      </c>
      <c r="V580" s="2">
        <v>0</v>
      </c>
      <c r="W580" s="2">
        <v>1</v>
      </c>
      <c r="X580" s="2">
        <v>0</v>
      </c>
      <c r="Y580" s="2">
        <v>0</v>
      </c>
      <c r="Z580" s="26" t="s">
        <v>5167</v>
      </c>
      <c r="AA580" s="31">
        <v>1938.01</v>
      </c>
    </row>
    <row r="581" spans="1:27" ht="16" x14ac:dyDescent="0.2">
      <c r="A581" s="3" t="s">
        <v>1762</v>
      </c>
      <c r="B581" s="2" t="s">
        <v>1763</v>
      </c>
      <c r="C581" s="8">
        <v>13911</v>
      </c>
      <c r="D581" s="2">
        <v>1938</v>
      </c>
      <c r="E581" s="2">
        <v>1930</v>
      </c>
      <c r="F581" s="2">
        <v>0</v>
      </c>
      <c r="G581" s="2">
        <v>0</v>
      </c>
      <c r="H581" s="3" t="s">
        <v>27</v>
      </c>
      <c r="I581" s="3" t="s">
        <v>4911</v>
      </c>
      <c r="J581" s="3" t="s">
        <v>1764</v>
      </c>
      <c r="K581" s="21" t="s">
        <v>1765</v>
      </c>
      <c r="L581" s="10">
        <v>12536</v>
      </c>
      <c r="M581" s="4">
        <f>9+36</f>
        <v>45</v>
      </c>
      <c r="N581" s="2">
        <v>73</v>
      </c>
      <c r="O581" s="2">
        <v>4</v>
      </c>
      <c r="P581" s="2">
        <v>1</v>
      </c>
      <c r="Q581" s="2">
        <v>0</v>
      </c>
      <c r="R581" s="2">
        <v>0</v>
      </c>
      <c r="S581" s="11">
        <v>1</v>
      </c>
      <c r="T581" s="11">
        <v>1</v>
      </c>
      <c r="U581" s="11">
        <v>0</v>
      </c>
      <c r="V581" s="2">
        <v>0</v>
      </c>
      <c r="W581" s="2">
        <v>1</v>
      </c>
      <c r="X581" s="2">
        <v>0</v>
      </c>
      <c r="Y581" s="2">
        <v>1</v>
      </c>
      <c r="Z581" s="26" t="s">
        <v>5167</v>
      </c>
      <c r="AA581" s="31">
        <v>1938.02</v>
      </c>
    </row>
    <row r="582" spans="1:27" ht="16" x14ac:dyDescent="0.2">
      <c r="A582" s="3" t="s">
        <v>1749</v>
      </c>
      <c r="B582" s="2" t="s">
        <v>1750</v>
      </c>
      <c r="C582" s="8">
        <v>13939</v>
      </c>
      <c r="D582" s="2">
        <v>1938</v>
      </c>
      <c r="E582" s="2">
        <v>1930</v>
      </c>
      <c r="F582" s="2">
        <v>0</v>
      </c>
      <c r="G582" s="2">
        <v>0</v>
      </c>
      <c r="H582" s="3" t="s">
        <v>27</v>
      </c>
      <c r="I582" s="3" t="s">
        <v>5044</v>
      </c>
      <c r="J582" s="3" t="s">
        <v>5044</v>
      </c>
      <c r="K582" s="3" t="s">
        <v>5045</v>
      </c>
      <c r="L582" s="10">
        <v>3070</v>
      </c>
      <c r="M582" s="4">
        <f>(29*12)+9</f>
        <v>357</v>
      </c>
      <c r="N582" s="2">
        <v>60</v>
      </c>
      <c r="O582" s="2">
        <v>5</v>
      </c>
      <c r="Q582" s="2">
        <v>0</v>
      </c>
      <c r="R582" s="2">
        <v>0</v>
      </c>
      <c r="S582" s="11">
        <v>1</v>
      </c>
      <c r="T582" s="11">
        <v>1</v>
      </c>
      <c r="U582" s="11">
        <v>1</v>
      </c>
      <c r="V582" s="2">
        <v>0</v>
      </c>
      <c r="W582" s="2">
        <v>1</v>
      </c>
      <c r="X582" s="2">
        <v>0</v>
      </c>
      <c r="Y582" s="2">
        <v>0</v>
      </c>
      <c r="Z582" s="26" t="s">
        <v>5167</v>
      </c>
      <c r="AA582" s="31">
        <v>1938.03</v>
      </c>
    </row>
    <row r="583" spans="1:27" ht="16" x14ac:dyDescent="0.2">
      <c r="A583" s="3" t="s">
        <v>1744</v>
      </c>
      <c r="B583" s="2" t="s">
        <v>1745</v>
      </c>
      <c r="C583" s="8">
        <v>13946</v>
      </c>
      <c r="D583" s="2">
        <v>1938</v>
      </c>
      <c r="E583" s="2">
        <v>1930</v>
      </c>
      <c r="F583" s="2">
        <v>0</v>
      </c>
      <c r="G583" s="2">
        <v>0</v>
      </c>
      <c r="H583" s="3" t="s">
        <v>27</v>
      </c>
      <c r="I583" s="3" t="s">
        <v>4891</v>
      </c>
      <c r="J583" s="3" t="s">
        <v>1657</v>
      </c>
      <c r="K583" s="21" t="s">
        <v>1416</v>
      </c>
      <c r="L583" s="10">
        <v>9554</v>
      </c>
      <c r="M583" s="4">
        <f>1+(12*12)</f>
        <v>145</v>
      </c>
      <c r="N583" s="2">
        <v>69</v>
      </c>
      <c r="O583" s="2">
        <v>5</v>
      </c>
      <c r="Q583" s="2">
        <v>1</v>
      </c>
      <c r="R583" s="2">
        <v>0</v>
      </c>
      <c r="S583" s="11">
        <v>1</v>
      </c>
      <c r="T583" s="11">
        <v>1</v>
      </c>
      <c r="U583" s="11">
        <v>1</v>
      </c>
      <c r="V583" s="2">
        <v>0</v>
      </c>
      <c r="W583" s="2">
        <v>1</v>
      </c>
      <c r="X583" s="2">
        <v>2</v>
      </c>
      <c r="Y583" s="2">
        <v>0</v>
      </c>
      <c r="Z583" s="26" t="s">
        <v>5167</v>
      </c>
      <c r="AA583" s="31">
        <v>1938.04</v>
      </c>
    </row>
    <row r="584" spans="1:27" ht="16" x14ac:dyDescent="0.2">
      <c r="A584" s="3" t="s">
        <v>1741</v>
      </c>
      <c r="B584" s="2" t="s">
        <v>1742</v>
      </c>
      <c r="C584" s="8">
        <v>13946</v>
      </c>
      <c r="D584" s="2">
        <v>1938</v>
      </c>
      <c r="E584" s="2">
        <v>1930</v>
      </c>
      <c r="F584" s="2">
        <v>0</v>
      </c>
      <c r="G584" s="2">
        <v>0</v>
      </c>
      <c r="H584" s="3" t="s">
        <v>27</v>
      </c>
      <c r="I584" s="3" t="s">
        <v>4890</v>
      </c>
      <c r="J584" s="3" t="s">
        <v>1743</v>
      </c>
      <c r="K584" s="21" t="s">
        <v>1510</v>
      </c>
      <c r="L584" s="10">
        <v>10377</v>
      </c>
      <c r="M584" s="4">
        <f>(9*12)+10</f>
        <v>118</v>
      </c>
      <c r="N584" s="2">
        <v>70</v>
      </c>
      <c r="O584" s="2">
        <v>1</v>
      </c>
      <c r="Q584" s="2">
        <v>0</v>
      </c>
      <c r="R584" s="2">
        <v>0</v>
      </c>
      <c r="S584" s="11">
        <v>1</v>
      </c>
      <c r="T584" s="11">
        <v>1</v>
      </c>
      <c r="U584" s="11">
        <v>1</v>
      </c>
      <c r="V584" s="2">
        <v>0</v>
      </c>
      <c r="W584" s="2">
        <v>1</v>
      </c>
      <c r="X584" s="2">
        <v>1</v>
      </c>
      <c r="Y584" s="2">
        <v>0</v>
      </c>
      <c r="Z584" s="26" t="s">
        <v>5167</v>
      </c>
      <c r="AA584" s="31">
        <v>1938.05</v>
      </c>
    </row>
    <row r="585" spans="1:27" ht="16" x14ac:dyDescent="0.2">
      <c r="A585" s="3" t="s">
        <v>1766</v>
      </c>
      <c r="B585" s="2" t="s">
        <v>1767</v>
      </c>
      <c r="C585" s="8">
        <v>13911</v>
      </c>
      <c r="D585" s="2">
        <v>1938</v>
      </c>
      <c r="E585" s="2">
        <v>1930</v>
      </c>
      <c r="F585" s="2">
        <v>0</v>
      </c>
      <c r="G585" s="2">
        <v>0</v>
      </c>
      <c r="H585" s="3" t="s">
        <v>27</v>
      </c>
      <c r="I585" s="3" t="s">
        <v>4908</v>
      </c>
      <c r="J585" s="3" t="s">
        <v>1672</v>
      </c>
      <c r="K585" s="21" t="s">
        <v>1673</v>
      </c>
      <c r="L585" s="10">
        <v>12970</v>
      </c>
      <c r="M585" s="4">
        <f>6+24</f>
        <v>30</v>
      </c>
      <c r="N585" s="2">
        <v>74</v>
      </c>
      <c r="O585" s="2">
        <v>1</v>
      </c>
      <c r="Q585" s="2">
        <v>1</v>
      </c>
      <c r="R585" s="2">
        <v>0</v>
      </c>
      <c r="S585" s="11">
        <v>1</v>
      </c>
      <c r="T585" s="11">
        <v>1</v>
      </c>
      <c r="U585" s="11">
        <v>1</v>
      </c>
      <c r="V585" s="2">
        <v>0</v>
      </c>
      <c r="W585" s="2">
        <v>1</v>
      </c>
      <c r="X585" s="2">
        <v>0</v>
      </c>
      <c r="Y585" s="2">
        <v>1</v>
      </c>
      <c r="Z585" s="26" t="s">
        <v>5167</v>
      </c>
      <c r="AA585" s="31">
        <v>1938.06</v>
      </c>
    </row>
    <row r="586" spans="1:27" ht="16" x14ac:dyDescent="0.2">
      <c r="A586" s="3" t="s">
        <v>1734</v>
      </c>
      <c r="B586" s="2" t="s">
        <v>1735</v>
      </c>
      <c r="C586" s="8">
        <v>13967</v>
      </c>
      <c r="D586" s="2">
        <v>1938</v>
      </c>
      <c r="E586" s="2">
        <v>1930</v>
      </c>
      <c r="F586" s="2">
        <v>0</v>
      </c>
      <c r="G586" s="2">
        <v>0</v>
      </c>
      <c r="H586" s="3" t="s">
        <v>27</v>
      </c>
      <c r="I586" s="3" t="s">
        <v>4912</v>
      </c>
      <c r="J586" s="3" t="s">
        <v>1736</v>
      </c>
      <c r="K586" s="3" t="s">
        <v>1737</v>
      </c>
      <c r="L586" s="10">
        <v>13022</v>
      </c>
      <c r="M586" s="4">
        <f>7+24</f>
        <v>31</v>
      </c>
      <c r="N586" s="2">
        <v>74</v>
      </c>
      <c r="O586" s="2">
        <v>5</v>
      </c>
      <c r="Q586" s="2">
        <v>1</v>
      </c>
      <c r="R586" s="2">
        <v>0</v>
      </c>
      <c r="S586" s="11">
        <v>1</v>
      </c>
      <c r="T586" s="11">
        <v>1</v>
      </c>
      <c r="U586" s="11">
        <v>0</v>
      </c>
      <c r="V586" s="2">
        <v>0</v>
      </c>
      <c r="W586" s="2">
        <v>1</v>
      </c>
      <c r="X586" s="2">
        <v>1</v>
      </c>
      <c r="Y586" s="2">
        <v>1</v>
      </c>
      <c r="Z586" s="26" t="s">
        <v>5167</v>
      </c>
      <c r="AA586" s="31">
        <v>1938.07</v>
      </c>
    </row>
    <row r="587" spans="1:27" ht="16" x14ac:dyDescent="0.2">
      <c r="A587" s="3" t="s">
        <v>1770</v>
      </c>
      <c r="B587" s="2" t="s">
        <v>1771</v>
      </c>
      <c r="C587" s="8">
        <v>13967</v>
      </c>
      <c r="D587" s="2">
        <v>1938</v>
      </c>
      <c r="E587" s="2">
        <v>1930</v>
      </c>
      <c r="F587" s="2">
        <v>0</v>
      </c>
      <c r="G587" s="2">
        <v>0</v>
      </c>
      <c r="H587" s="3" t="s">
        <v>27</v>
      </c>
      <c r="I587" s="3" t="s">
        <v>4908</v>
      </c>
      <c r="J587" s="3" t="s">
        <v>1672</v>
      </c>
      <c r="K587" s="21" t="s">
        <v>1673</v>
      </c>
      <c r="L587" s="10">
        <v>12970</v>
      </c>
      <c r="M587" s="4">
        <f>24+8</f>
        <v>32</v>
      </c>
      <c r="N587" s="2">
        <v>74</v>
      </c>
      <c r="O587" s="2">
        <v>5</v>
      </c>
      <c r="Q587" s="2">
        <v>1</v>
      </c>
      <c r="R587" s="2">
        <v>1</v>
      </c>
      <c r="S587" s="11">
        <v>1</v>
      </c>
      <c r="T587" s="11">
        <v>1</v>
      </c>
      <c r="U587" s="11">
        <v>0</v>
      </c>
      <c r="V587" s="2">
        <v>0</v>
      </c>
      <c r="W587" s="2">
        <v>1</v>
      </c>
      <c r="X587" s="2">
        <v>2</v>
      </c>
      <c r="Y587" s="2">
        <v>1</v>
      </c>
      <c r="Z587" s="26" t="s">
        <v>5167</v>
      </c>
      <c r="AA587" s="31">
        <v>1938.08</v>
      </c>
    </row>
    <row r="588" spans="1:27" ht="16" x14ac:dyDescent="0.2">
      <c r="A588" s="3" t="s">
        <v>1776</v>
      </c>
      <c r="B588" s="2" t="s">
        <v>1777</v>
      </c>
      <c r="C588" s="8">
        <v>13995</v>
      </c>
      <c r="D588" s="2">
        <v>1938</v>
      </c>
      <c r="E588" s="2">
        <v>1930</v>
      </c>
      <c r="F588" s="2">
        <v>0</v>
      </c>
      <c r="G588" s="2">
        <v>0</v>
      </c>
      <c r="H588" s="3" t="s">
        <v>27</v>
      </c>
      <c r="I588" s="3" t="s">
        <v>5078</v>
      </c>
      <c r="J588" s="3" t="s">
        <v>1778</v>
      </c>
      <c r="K588" s="21" t="s">
        <v>1779</v>
      </c>
      <c r="L588" s="10">
        <v>8464</v>
      </c>
      <c r="M588" s="4">
        <f>1+180</f>
        <v>181</v>
      </c>
      <c r="N588" s="2">
        <v>67</v>
      </c>
      <c r="O588" s="2">
        <v>5</v>
      </c>
      <c r="P588" s="2">
        <v>4</v>
      </c>
      <c r="Q588" s="2">
        <v>0</v>
      </c>
      <c r="R588" s="2">
        <v>0</v>
      </c>
      <c r="S588" s="11">
        <v>1</v>
      </c>
      <c r="T588" s="11">
        <v>0</v>
      </c>
      <c r="U588" s="11">
        <v>1</v>
      </c>
      <c r="V588" s="2">
        <v>0</v>
      </c>
      <c r="W588" s="2">
        <v>1</v>
      </c>
      <c r="X588" s="2">
        <v>1</v>
      </c>
      <c r="Y588" s="2">
        <v>0</v>
      </c>
      <c r="Z588" s="26" t="s">
        <v>5167</v>
      </c>
      <c r="AA588" s="31">
        <v>1938.09</v>
      </c>
    </row>
    <row r="589" spans="1:27" ht="16" x14ac:dyDescent="0.2">
      <c r="A589" s="3" t="s">
        <v>1772</v>
      </c>
      <c r="B589" s="2" t="s">
        <v>1773</v>
      </c>
      <c r="C589" s="8">
        <v>13995</v>
      </c>
      <c r="D589" s="2">
        <v>1938</v>
      </c>
      <c r="E589" s="2">
        <v>1930</v>
      </c>
      <c r="F589" s="2">
        <v>0</v>
      </c>
      <c r="G589" s="2">
        <v>0</v>
      </c>
      <c r="H589" s="3" t="s">
        <v>27</v>
      </c>
      <c r="I589" s="3" t="s">
        <v>4904</v>
      </c>
      <c r="J589" s="3" t="s">
        <v>1774</v>
      </c>
      <c r="K589" s="21" t="s">
        <v>1775</v>
      </c>
      <c r="L589" s="10">
        <v>13743</v>
      </c>
      <c r="M589" s="4">
        <v>8</v>
      </c>
      <c r="N589" s="2">
        <v>75</v>
      </c>
      <c r="O589" s="2">
        <v>4</v>
      </c>
      <c r="P589" s="2">
        <v>5</v>
      </c>
      <c r="Q589" s="2">
        <v>0</v>
      </c>
      <c r="R589" s="2">
        <v>0</v>
      </c>
      <c r="S589" s="11">
        <v>1</v>
      </c>
      <c r="T589" s="11">
        <v>0</v>
      </c>
      <c r="U589" s="11">
        <v>1</v>
      </c>
      <c r="V589" s="2">
        <v>0</v>
      </c>
      <c r="W589" s="2">
        <v>1</v>
      </c>
      <c r="X589" s="2">
        <v>2</v>
      </c>
      <c r="Y589" s="2">
        <v>1</v>
      </c>
      <c r="Z589" s="26" t="s">
        <v>5167</v>
      </c>
      <c r="AA589" s="31">
        <v>1938.1</v>
      </c>
    </row>
    <row r="590" spans="1:27" ht="16" x14ac:dyDescent="0.2">
      <c r="A590" s="3" t="s">
        <v>1746</v>
      </c>
      <c r="B590" s="2" t="s">
        <v>1747</v>
      </c>
      <c r="C590" s="8">
        <v>14016</v>
      </c>
      <c r="D590" s="2">
        <v>1938</v>
      </c>
      <c r="E590" s="2">
        <v>1930</v>
      </c>
      <c r="F590" s="2">
        <v>0</v>
      </c>
      <c r="G590" s="2">
        <v>0</v>
      </c>
      <c r="H590" s="3" t="s">
        <v>27</v>
      </c>
      <c r="I590" s="3" t="s">
        <v>4890</v>
      </c>
      <c r="J590" s="3" t="s">
        <v>1748</v>
      </c>
      <c r="K590" s="21" t="s">
        <v>1510</v>
      </c>
      <c r="L590" s="10">
        <v>10377</v>
      </c>
      <c r="M590" s="4">
        <f>120</f>
        <v>120</v>
      </c>
      <c r="N590" s="2">
        <v>70</v>
      </c>
      <c r="O590" s="2">
        <v>5</v>
      </c>
      <c r="P590" s="2">
        <v>4</v>
      </c>
      <c r="Q590" s="2">
        <v>0</v>
      </c>
      <c r="R590" s="2">
        <v>0</v>
      </c>
      <c r="S590" s="11">
        <v>1</v>
      </c>
      <c r="T590" s="11">
        <v>1</v>
      </c>
      <c r="U590" s="11">
        <v>1</v>
      </c>
      <c r="V590" s="2">
        <v>0</v>
      </c>
      <c r="W590" s="2">
        <v>1</v>
      </c>
      <c r="X590" s="2">
        <v>2</v>
      </c>
      <c r="Y590" s="2">
        <v>0</v>
      </c>
      <c r="Z590" s="26" t="s">
        <v>5167</v>
      </c>
      <c r="AA590" s="31">
        <v>1938.11</v>
      </c>
    </row>
    <row r="591" spans="1:27" ht="16" x14ac:dyDescent="0.2">
      <c r="A591" s="3" t="s">
        <v>1768</v>
      </c>
      <c r="B591" s="2" t="s">
        <v>1769</v>
      </c>
      <c r="C591" s="8">
        <v>14016</v>
      </c>
      <c r="D591" s="2">
        <v>1938</v>
      </c>
      <c r="E591" s="2">
        <v>1930</v>
      </c>
      <c r="F591" s="2">
        <v>0</v>
      </c>
      <c r="G591" s="2">
        <v>0</v>
      </c>
      <c r="H591" s="3" t="s">
        <v>27</v>
      </c>
      <c r="I591" s="3" t="s">
        <v>4908</v>
      </c>
      <c r="J591" s="3" t="s">
        <v>1672</v>
      </c>
      <c r="K591" s="21" t="s">
        <v>1673</v>
      </c>
      <c r="L591" s="10">
        <v>12970</v>
      </c>
      <c r="M591" s="4">
        <f>24+10</f>
        <v>34</v>
      </c>
      <c r="N591" s="2">
        <v>74</v>
      </c>
      <c r="O591" s="2">
        <v>4</v>
      </c>
      <c r="P591" s="2">
        <v>5</v>
      </c>
      <c r="Q591" s="2">
        <v>1</v>
      </c>
      <c r="R591" s="2">
        <v>0</v>
      </c>
      <c r="S591" s="11">
        <v>1</v>
      </c>
      <c r="T591" s="11">
        <v>1</v>
      </c>
      <c r="U591" s="11">
        <v>1</v>
      </c>
      <c r="V591" s="2">
        <v>0</v>
      </c>
      <c r="W591" s="2">
        <v>1</v>
      </c>
      <c r="X591" s="2">
        <v>0</v>
      </c>
      <c r="Y591" s="2">
        <v>1</v>
      </c>
      <c r="Z591" s="26" t="s">
        <v>5167</v>
      </c>
      <c r="AA591" s="31">
        <v>1938.12</v>
      </c>
    </row>
    <row r="592" spans="1:27" ht="16" x14ac:dyDescent="0.2">
      <c r="A592" s="3" t="s">
        <v>1738</v>
      </c>
      <c r="B592" s="2" t="s">
        <v>1739</v>
      </c>
      <c r="C592" s="8">
        <v>14023</v>
      </c>
      <c r="D592" s="2">
        <v>1938</v>
      </c>
      <c r="E592" s="2">
        <v>1930</v>
      </c>
      <c r="F592" s="2">
        <v>0</v>
      </c>
      <c r="G592" s="2">
        <v>0</v>
      </c>
      <c r="H592" s="3" t="s">
        <v>27</v>
      </c>
      <c r="I592" s="3" t="s">
        <v>4913</v>
      </c>
      <c r="J592" s="3" t="s">
        <v>1740</v>
      </c>
      <c r="K592" s="21" t="s">
        <v>1727</v>
      </c>
      <c r="L592" s="10">
        <v>11846</v>
      </c>
      <c r="M592" s="4">
        <f>11+60</f>
        <v>71</v>
      </c>
      <c r="N592" s="2">
        <v>72</v>
      </c>
      <c r="O592" s="2">
        <v>5</v>
      </c>
      <c r="Q592" s="2">
        <v>0</v>
      </c>
      <c r="R592" s="2">
        <v>0</v>
      </c>
      <c r="S592" s="11">
        <v>1</v>
      </c>
      <c r="T592" s="11">
        <v>1</v>
      </c>
      <c r="U592" s="11">
        <v>1</v>
      </c>
      <c r="V592" s="2">
        <v>0</v>
      </c>
      <c r="W592" s="2">
        <v>1</v>
      </c>
      <c r="X592" s="2">
        <v>2</v>
      </c>
      <c r="Y592" s="2">
        <v>1</v>
      </c>
      <c r="Z592" s="26" t="s">
        <v>5167</v>
      </c>
      <c r="AA592" s="31">
        <v>1938.13</v>
      </c>
    </row>
    <row r="593" spans="1:27" ht="16" x14ac:dyDescent="0.2">
      <c r="A593" s="3" t="s">
        <v>1724</v>
      </c>
      <c r="B593" s="2" t="s">
        <v>1725</v>
      </c>
      <c r="C593" s="8">
        <v>14023</v>
      </c>
      <c r="D593" s="2">
        <v>1938</v>
      </c>
      <c r="E593" s="2">
        <v>1930</v>
      </c>
      <c r="F593" s="2">
        <v>0</v>
      </c>
      <c r="G593" s="2">
        <v>0</v>
      </c>
      <c r="H593" s="3" t="s">
        <v>27</v>
      </c>
      <c r="I593" s="3" t="s">
        <v>4913</v>
      </c>
      <c r="J593" s="3" t="s">
        <v>1726</v>
      </c>
      <c r="K593" s="21" t="s">
        <v>1727</v>
      </c>
      <c r="L593" s="10">
        <v>11846</v>
      </c>
      <c r="M593" s="4">
        <v>71</v>
      </c>
      <c r="N593" s="2">
        <v>72</v>
      </c>
      <c r="O593" s="2">
        <v>5</v>
      </c>
      <c r="Q593" s="2">
        <v>0</v>
      </c>
      <c r="R593" s="2">
        <v>0</v>
      </c>
      <c r="S593" s="11">
        <v>1</v>
      </c>
      <c r="T593" s="11">
        <v>1</v>
      </c>
      <c r="U593" s="11">
        <v>1</v>
      </c>
      <c r="V593" s="2">
        <v>0</v>
      </c>
      <c r="W593" s="2">
        <v>1</v>
      </c>
      <c r="X593" s="2">
        <v>5</v>
      </c>
      <c r="Y593" s="2">
        <v>1</v>
      </c>
      <c r="Z593" s="26" t="s">
        <v>5167</v>
      </c>
      <c r="AA593" s="31">
        <v>1938.14</v>
      </c>
    </row>
    <row r="594" spans="1:27" ht="16" x14ac:dyDescent="0.2">
      <c r="A594" s="3" t="s">
        <v>1755</v>
      </c>
      <c r="B594" s="2" t="s">
        <v>1756</v>
      </c>
      <c r="C594" s="8">
        <v>14031</v>
      </c>
      <c r="D594" s="2">
        <v>1938</v>
      </c>
      <c r="E594" s="2">
        <v>1930</v>
      </c>
      <c r="F594" s="2">
        <v>0</v>
      </c>
      <c r="G594" s="2">
        <v>0</v>
      </c>
      <c r="H594" s="3" t="s">
        <v>27</v>
      </c>
      <c r="I594" s="3" t="s">
        <v>4908</v>
      </c>
      <c r="J594" s="3" t="s">
        <v>1757</v>
      </c>
      <c r="K594" s="21" t="s">
        <v>1673</v>
      </c>
      <c r="L594" s="10">
        <v>12970</v>
      </c>
      <c r="M594" s="4">
        <f>10+24</f>
        <v>34</v>
      </c>
      <c r="N594" s="2">
        <v>74</v>
      </c>
      <c r="O594" s="2">
        <v>1</v>
      </c>
      <c r="Q594" s="2">
        <v>1</v>
      </c>
      <c r="R594" s="2">
        <v>0</v>
      </c>
      <c r="S594" s="11">
        <v>1</v>
      </c>
      <c r="T594" s="11">
        <v>0</v>
      </c>
      <c r="U594" s="11">
        <v>0</v>
      </c>
      <c r="V594" s="2">
        <v>0</v>
      </c>
      <c r="W594" s="2">
        <v>1</v>
      </c>
      <c r="X594" s="2">
        <v>2</v>
      </c>
      <c r="Y594" s="2">
        <v>1</v>
      </c>
      <c r="Z594" s="26" t="s">
        <v>5167</v>
      </c>
      <c r="AA594" s="31">
        <v>1938.15</v>
      </c>
    </row>
    <row r="595" spans="1:27" ht="16" x14ac:dyDescent="0.2">
      <c r="A595" s="3" t="s">
        <v>1784</v>
      </c>
      <c r="B595" s="2" t="s">
        <v>1785</v>
      </c>
      <c r="C595" s="8">
        <v>14031</v>
      </c>
      <c r="D595" s="2">
        <v>1938</v>
      </c>
      <c r="E595" s="2">
        <v>1930</v>
      </c>
      <c r="F595" s="2">
        <v>0</v>
      </c>
      <c r="G595" s="2">
        <v>0</v>
      </c>
      <c r="H595" s="3" t="s">
        <v>27</v>
      </c>
      <c r="I595" s="3" t="s">
        <v>4904</v>
      </c>
      <c r="J595" s="3" t="s">
        <v>1786</v>
      </c>
      <c r="K595" s="3" t="s">
        <v>1723</v>
      </c>
      <c r="L595" s="10">
        <v>13024</v>
      </c>
      <c r="M595" s="4">
        <v>33</v>
      </c>
      <c r="N595" s="2">
        <v>74</v>
      </c>
      <c r="O595" s="2">
        <v>4</v>
      </c>
      <c r="P595" s="2">
        <v>5</v>
      </c>
      <c r="Q595" s="2">
        <v>1</v>
      </c>
      <c r="R595" s="2">
        <v>0</v>
      </c>
      <c r="S595" s="11">
        <v>0</v>
      </c>
      <c r="T595" s="11">
        <v>1</v>
      </c>
      <c r="U595" s="11">
        <v>1</v>
      </c>
      <c r="V595" s="2">
        <v>0</v>
      </c>
      <c r="W595" s="2">
        <v>0</v>
      </c>
      <c r="X595" s="2">
        <v>0</v>
      </c>
      <c r="Y595" s="2">
        <v>1</v>
      </c>
      <c r="Z595" s="26" t="s">
        <v>5167</v>
      </c>
      <c r="AA595" s="31">
        <v>1938.16</v>
      </c>
    </row>
    <row r="596" spans="1:27" ht="16" x14ac:dyDescent="0.2">
      <c r="A596" s="3" t="s">
        <v>1728</v>
      </c>
      <c r="B596" s="2" t="s">
        <v>1729</v>
      </c>
      <c r="C596" s="8">
        <v>14031</v>
      </c>
      <c r="D596" s="2">
        <v>1938</v>
      </c>
      <c r="E596" s="2">
        <v>1930</v>
      </c>
      <c r="F596" s="2">
        <v>0</v>
      </c>
      <c r="G596" s="2">
        <v>0</v>
      </c>
      <c r="H596" s="3" t="s">
        <v>27</v>
      </c>
      <c r="I596" s="3" t="s">
        <v>1730</v>
      </c>
      <c r="J596" s="3" t="s">
        <v>1730</v>
      </c>
      <c r="K596" s="21" t="s">
        <v>1731</v>
      </c>
      <c r="L596" s="10">
        <v>7459</v>
      </c>
      <c r="M596" s="4">
        <f>11+(12*17)</f>
        <v>215</v>
      </c>
      <c r="N596" s="2">
        <v>66</v>
      </c>
      <c r="O596" s="2">
        <v>5</v>
      </c>
      <c r="Q596" s="2">
        <v>0</v>
      </c>
      <c r="R596" s="2">
        <v>0</v>
      </c>
      <c r="S596" s="11">
        <v>1</v>
      </c>
      <c r="T596" s="11">
        <v>0</v>
      </c>
      <c r="U596" s="11">
        <v>1</v>
      </c>
      <c r="V596" s="2">
        <v>0</v>
      </c>
      <c r="W596" s="2">
        <v>0</v>
      </c>
      <c r="X596" s="2">
        <v>0</v>
      </c>
      <c r="Y596" s="2">
        <v>0</v>
      </c>
      <c r="Z596" s="26" t="s">
        <v>5167</v>
      </c>
      <c r="AA596" s="31">
        <v>1938.17</v>
      </c>
    </row>
    <row r="597" spans="1:27" ht="16" x14ac:dyDescent="0.2">
      <c r="A597" s="3" t="s">
        <v>1732</v>
      </c>
      <c r="B597" s="2" t="s">
        <v>1733</v>
      </c>
      <c r="C597" s="8">
        <v>14219</v>
      </c>
      <c r="D597" s="2">
        <v>1938</v>
      </c>
      <c r="E597" s="2">
        <v>1930</v>
      </c>
      <c r="F597" s="2">
        <v>0</v>
      </c>
      <c r="G597" s="2">
        <v>0</v>
      </c>
      <c r="H597" s="3" t="s">
        <v>27</v>
      </c>
      <c r="I597" s="3" t="s">
        <v>4908</v>
      </c>
      <c r="J597" s="3" t="s">
        <v>1672</v>
      </c>
      <c r="K597" s="21" t="s">
        <v>1673</v>
      </c>
      <c r="L597" s="10">
        <v>12970</v>
      </c>
      <c r="M597" s="4">
        <f>5+36</f>
        <v>41</v>
      </c>
      <c r="N597" s="2">
        <v>74</v>
      </c>
      <c r="O597" s="2">
        <v>5</v>
      </c>
      <c r="P597" s="2">
        <v>1</v>
      </c>
      <c r="Q597" s="2">
        <v>1</v>
      </c>
      <c r="R597" s="2">
        <v>1</v>
      </c>
      <c r="S597" s="11">
        <v>1</v>
      </c>
      <c r="T597" s="11">
        <v>1</v>
      </c>
      <c r="U597" s="11">
        <v>0</v>
      </c>
      <c r="V597" s="2">
        <v>0</v>
      </c>
      <c r="W597" s="2">
        <v>1</v>
      </c>
      <c r="X597" s="2">
        <v>2</v>
      </c>
      <c r="Y597" s="2">
        <v>1</v>
      </c>
      <c r="Z597" s="26" t="s">
        <v>5167</v>
      </c>
      <c r="AA597" s="31">
        <v>1938.18</v>
      </c>
    </row>
    <row r="598" spans="1:27" ht="12.75" customHeight="1" x14ac:dyDescent="0.2">
      <c r="A598" s="3" t="s">
        <v>1758</v>
      </c>
      <c r="B598" s="2" t="s">
        <v>1759</v>
      </c>
      <c r="C598" s="8">
        <v>14219</v>
      </c>
      <c r="D598" s="2">
        <v>1938</v>
      </c>
      <c r="E598" s="2">
        <v>1930</v>
      </c>
      <c r="F598" s="2">
        <v>0</v>
      </c>
      <c r="G598" s="2">
        <v>0</v>
      </c>
      <c r="H598" s="3" t="s">
        <v>27</v>
      </c>
      <c r="I598" s="3" t="s">
        <v>4914</v>
      </c>
      <c r="J598" s="3" t="s">
        <v>1760</v>
      </c>
      <c r="K598" s="21" t="s">
        <v>1761</v>
      </c>
      <c r="L598" s="10">
        <v>6095</v>
      </c>
      <c r="M598" s="4">
        <f>(12*22)+3</f>
        <v>267</v>
      </c>
      <c r="N598" s="2">
        <v>64</v>
      </c>
      <c r="O598" s="2">
        <v>5</v>
      </c>
      <c r="P598" s="2">
        <v>4</v>
      </c>
      <c r="Q598" s="2">
        <v>1</v>
      </c>
      <c r="R598" s="2">
        <v>0</v>
      </c>
      <c r="S598" s="11">
        <v>0</v>
      </c>
      <c r="T598" s="11">
        <v>1</v>
      </c>
      <c r="U598" s="11">
        <v>0</v>
      </c>
      <c r="V598" s="2">
        <v>0</v>
      </c>
      <c r="W598" s="2">
        <v>0</v>
      </c>
      <c r="X598" s="2">
        <v>0</v>
      </c>
      <c r="Y598" s="2">
        <v>1</v>
      </c>
      <c r="Z598" s="26" t="s">
        <v>5167</v>
      </c>
      <c r="AA598" s="31">
        <v>1938.19</v>
      </c>
    </row>
    <row r="599" spans="1:27" ht="12.75" customHeight="1" x14ac:dyDescent="0.2">
      <c r="A599" s="3" t="s">
        <v>1751</v>
      </c>
      <c r="B599" s="2" t="s">
        <v>1752</v>
      </c>
      <c r="C599" s="8">
        <v>14191</v>
      </c>
      <c r="D599" s="2">
        <v>1938</v>
      </c>
      <c r="E599" s="2">
        <v>1930</v>
      </c>
      <c r="F599" s="2">
        <v>0</v>
      </c>
      <c r="G599" s="2">
        <v>0</v>
      </c>
      <c r="H599" s="3" t="s">
        <v>27</v>
      </c>
      <c r="I599" s="3" t="s">
        <v>4915</v>
      </c>
      <c r="J599" s="3" t="s">
        <v>1753</v>
      </c>
      <c r="K599" s="3" t="s">
        <v>1754</v>
      </c>
      <c r="L599" s="10">
        <v>8925</v>
      </c>
      <c r="M599" s="4">
        <f>5+(12*14)</f>
        <v>173</v>
      </c>
      <c r="N599" s="2">
        <v>68</v>
      </c>
      <c r="O599" s="2">
        <v>5</v>
      </c>
      <c r="Q599" s="2">
        <v>1</v>
      </c>
      <c r="R599" s="2">
        <v>0</v>
      </c>
      <c r="S599" s="11">
        <v>0</v>
      </c>
      <c r="T599" s="11">
        <v>1</v>
      </c>
      <c r="U599" s="11">
        <v>0</v>
      </c>
      <c r="V599" s="2">
        <v>0</v>
      </c>
      <c r="W599" s="2">
        <v>1</v>
      </c>
      <c r="X599" s="2">
        <v>0</v>
      </c>
      <c r="Y599" s="2">
        <v>0</v>
      </c>
      <c r="Z599" s="26" t="s">
        <v>5167</v>
      </c>
      <c r="AA599" s="31">
        <v>1938.2</v>
      </c>
    </row>
    <row r="600" spans="1:27" ht="16" x14ac:dyDescent="0.2">
      <c r="A600" s="3" t="s">
        <v>1787</v>
      </c>
      <c r="B600" s="2" t="s">
        <v>1788</v>
      </c>
      <c r="C600" s="8">
        <v>14275</v>
      </c>
      <c r="D600" s="2">
        <v>1939</v>
      </c>
      <c r="E600" s="2">
        <v>1930</v>
      </c>
      <c r="F600" s="2">
        <v>0</v>
      </c>
      <c r="G600" s="2">
        <v>0</v>
      </c>
      <c r="H600" s="3" t="s">
        <v>27</v>
      </c>
      <c r="I600" s="3" t="s">
        <v>4916</v>
      </c>
      <c r="J600" s="3" t="s">
        <v>1789</v>
      </c>
      <c r="K600" s="3" t="s">
        <v>1790</v>
      </c>
      <c r="L600" s="10">
        <v>13019</v>
      </c>
      <c r="M600" s="4">
        <f>5+36</f>
        <v>41</v>
      </c>
      <c r="N600" s="2">
        <v>74</v>
      </c>
      <c r="O600" s="2">
        <v>5</v>
      </c>
      <c r="P600" s="2">
        <v>6</v>
      </c>
      <c r="Q600" s="2">
        <v>0</v>
      </c>
      <c r="R600" s="2">
        <v>0</v>
      </c>
      <c r="S600" s="11">
        <v>1</v>
      </c>
      <c r="T600" s="11">
        <v>1</v>
      </c>
      <c r="U600" s="11">
        <v>0</v>
      </c>
      <c r="V600" s="2">
        <v>0</v>
      </c>
      <c r="W600" s="2">
        <v>1</v>
      </c>
      <c r="X600" s="2">
        <v>2</v>
      </c>
      <c r="Y600" s="2">
        <v>0</v>
      </c>
      <c r="Z600" s="26" t="s">
        <v>5167</v>
      </c>
      <c r="AA600" s="31">
        <v>1939.01</v>
      </c>
    </row>
    <row r="601" spans="1:27" ht="16" x14ac:dyDescent="0.2">
      <c r="A601" s="3" t="s">
        <v>3909</v>
      </c>
      <c r="B601" s="2" t="s">
        <v>3910</v>
      </c>
      <c r="C601" s="8">
        <v>14303</v>
      </c>
      <c r="D601" s="2">
        <v>1939</v>
      </c>
      <c r="E601" s="2">
        <v>1930</v>
      </c>
      <c r="F601" s="2">
        <v>1</v>
      </c>
      <c r="G601" s="2">
        <v>1</v>
      </c>
      <c r="H601" s="3" t="s">
        <v>3442</v>
      </c>
      <c r="I601" s="3" t="s">
        <v>4917</v>
      </c>
      <c r="J601" s="3" t="s">
        <v>1672</v>
      </c>
      <c r="K601" s="21" t="s">
        <v>1673</v>
      </c>
      <c r="L601" s="10">
        <v>12970</v>
      </c>
      <c r="M601" s="4">
        <f>7+36</f>
        <v>43</v>
      </c>
      <c r="N601" s="2">
        <v>74</v>
      </c>
      <c r="O601" s="2">
        <v>4</v>
      </c>
      <c r="Q601" s="2">
        <v>1</v>
      </c>
      <c r="R601" s="2">
        <v>0</v>
      </c>
      <c r="S601" s="11">
        <v>1</v>
      </c>
      <c r="T601" s="11">
        <v>1</v>
      </c>
      <c r="U601" s="11">
        <v>0</v>
      </c>
      <c r="V601" s="2">
        <v>0</v>
      </c>
      <c r="W601" s="2">
        <v>1</v>
      </c>
      <c r="X601" s="2">
        <v>2</v>
      </c>
      <c r="Y601" s="2">
        <v>0</v>
      </c>
      <c r="Z601" s="26" t="s">
        <v>5167</v>
      </c>
      <c r="AA601" s="31">
        <v>1939.02</v>
      </c>
    </row>
    <row r="602" spans="1:27" ht="12.75" customHeight="1" x14ac:dyDescent="0.2">
      <c r="A602" s="3" t="s">
        <v>1812</v>
      </c>
      <c r="B602" s="2" t="s">
        <v>1813</v>
      </c>
      <c r="C602" s="8">
        <v>14303</v>
      </c>
      <c r="D602" s="2">
        <v>1939</v>
      </c>
      <c r="E602" s="2">
        <v>1930</v>
      </c>
      <c r="F602" s="2">
        <v>0</v>
      </c>
      <c r="G602" s="2">
        <v>0</v>
      </c>
      <c r="H602" s="3" t="s">
        <v>27</v>
      </c>
      <c r="I602" s="3" t="s">
        <v>4888</v>
      </c>
      <c r="J602" s="3" t="s">
        <v>1580</v>
      </c>
      <c r="K602" s="21" t="s">
        <v>1456</v>
      </c>
      <c r="L602" s="10">
        <v>8920</v>
      </c>
      <c r="M602" s="4">
        <f>8+168</f>
        <v>176</v>
      </c>
      <c r="N602" s="2">
        <v>68</v>
      </c>
      <c r="O602" s="2">
        <v>4</v>
      </c>
      <c r="P602" s="2">
        <v>1</v>
      </c>
      <c r="Q602" s="2">
        <v>1</v>
      </c>
      <c r="R602" s="2">
        <v>0</v>
      </c>
      <c r="S602" s="11">
        <v>1</v>
      </c>
      <c r="T602" s="11">
        <v>1</v>
      </c>
      <c r="U602" s="11">
        <v>1</v>
      </c>
      <c r="V602" s="2">
        <v>0</v>
      </c>
      <c r="W602" s="2">
        <v>1</v>
      </c>
      <c r="X602" s="2">
        <v>3</v>
      </c>
      <c r="Y602" s="2">
        <v>1</v>
      </c>
      <c r="Z602" s="26" t="s">
        <v>5167</v>
      </c>
      <c r="AA602" s="31">
        <v>1939.03</v>
      </c>
    </row>
    <row r="603" spans="1:27" ht="12.75" customHeight="1" x14ac:dyDescent="0.2">
      <c r="A603" s="3" t="s">
        <v>1791</v>
      </c>
      <c r="B603" s="2" t="s">
        <v>1792</v>
      </c>
      <c r="C603" s="8">
        <v>14331</v>
      </c>
      <c r="D603" s="2">
        <v>1939</v>
      </c>
      <c r="E603" s="2">
        <v>1930</v>
      </c>
      <c r="F603" s="2">
        <v>0</v>
      </c>
      <c r="G603" s="2">
        <v>0</v>
      </c>
      <c r="H603" s="3" t="s">
        <v>27</v>
      </c>
      <c r="I603" s="3" t="s">
        <v>4918</v>
      </c>
      <c r="J603" s="21" t="s">
        <v>1793</v>
      </c>
      <c r="K603" s="21" t="s">
        <v>1276</v>
      </c>
      <c r="L603" s="10">
        <v>6043</v>
      </c>
      <c r="M603" s="4">
        <f>(12*22)+8</f>
        <v>272</v>
      </c>
      <c r="N603" s="2">
        <v>64</v>
      </c>
      <c r="O603" s="2">
        <v>5</v>
      </c>
      <c r="Q603" s="2">
        <v>1</v>
      </c>
      <c r="R603" s="2">
        <v>0</v>
      </c>
      <c r="S603" s="11">
        <v>1</v>
      </c>
      <c r="T603" s="11">
        <v>1</v>
      </c>
      <c r="U603" s="11">
        <v>1</v>
      </c>
      <c r="V603" s="2">
        <v>0</v>
      </c>
      <c r="W603" s="2">
        <v>0</v>
      </c>
      <c r="X603" s="2">
        <v>2</v>
      </c>
      <c r="Y603" s="2">
        <v>0</v>
      </c>
      <c r="Z603" s="26" t="s">
        <v>5167</v>
      </c>
      <c r="AA603" s="31">
        <v>1939.04</v>
      </c>
    </row>
    <row r="604" spans="1:27" ht="16" x14ac:dyDescent="0.2">
      <c r="A604" s="3" t="s">
        <v>1800</v>
      </c>
      <c r="B604" s="2" t="s">
        <v>1801</v>
      </c>
      <c r="C604" s="8">
        <v>14352</v>
      </c>
      <c r="D604" s="2">
        <v>1939</v>
      </c>
      <c r="E604" s="2">
        <v>1930</v>
      </c>
      <c r="F604" s="2">
        <v>0</v>
      </c>
      <c r="G604" s="2">
        <v>0</v>
      </c>
      <c r="H604" s="3" t="s">
        <v>27</v>
      </c>
      <c r="I604" s="3" t="s">
        <v>4917</v>
      </c>
      <c r="J604" s="3" t="s">
        <v>1672</v>
      </c>
      <c r="K604" s="21" t="s">
        <v>1673</v>
      </c>
      <c r="L604" s="10">
        <v>12970</v>
      </c>
      <c r="M604" s="4">
        <f>9+36</f>
        <v>45</v>
      </c>
      <c r="N604" s="2">
        <v>74</v>
      </c>
      <c r="O604" s="2">
        <v>5</v>
      </c>
      <c r="Q604" s="2">
        <v>1</v>
      </c>
      <c r="R604" s="2">
        <v>1</v>
      </c>
      <c r="S604" s="11">
        <v>1</v>
      </c>
      <c r="T604" s="11">
        <v>1</v>
      </c>
      <c r="U604" s="11">
        <v>1</v>
      </c>
      <c r="V604" s="2">
        <v>0</v>
      </c>
      <c r="W604" s="2">
        <v>1</v>
      </c>
      <c r="X604" s="2">
        <v>2</v>
      </c>
      <c r="Y604" s="2">
        <v>0</v>
      </c>
      <c r="Z604" s="26" t="s">
        <v>5167</v>
      </c>
      <c r="AA604" s="31">
        <v>1939.05</v>
      </c>
    </row>
    <row r="605" spans="1:27" ht="12.75" customHeight="1" x14ac:dyDescent="0.2">
      <c r="A605" s="3" t="s">
        <v>1817</v>
      </c>
      <c r="B605" s="2" t="s">
        <v>1818</v>
      </c>
      <c r="C605" s="8">
        <v>14324</v>
      </c>
      <c r="D605" s="2">
        <v>1939</v>
      </c>
      <c r="E605" s="2">
        <v>1930</v>
      </c>
      <c r="F605" s="2">
        <v>0</v>
      </c>
      <c r="G605" s="2">
        <v>0</v>
      </c>
      <c r="H605" s="3" t="s">
        <v>27</v>
      </c>
      <c r="I605" t="s">
        <v>4907</v>
      </c>
      <c r="J605" s="3" t="s">
        <v>1708</v>
      </c>
      <c r="K605" s="21" t="s">
        <v>1709</v>
      </c>
      <c r="L605" s="10">
        <v>12596</v>
      </c>
      <c r="M605" s="4">
        <f>9+48</f>
        <v>57</v>
      </c>
      <c r="N605" s="2">
        <v>73</v>
      </c>
      <c r="O605" s="2">
        <v>5</v>
      </c>
      <c r="P605" s="2">
        <v>2</v>
      </c>
      <c r="Q605" s="2">
        <v>0</v>
      </c>
      <c r="R605" s="2">
        <v>0</v>
      </c>
      <c r="S605" s="11">
        <v>1</v>
      </c>
      <c r="T605" s="11">
        <v>0</v>
      </c>
      <c r="U605" s="11">
        <v>1</v>
      </c>
      <c r="V605" s="2">
        <v>0</v>
      </c>
      <c r="W605" s="2">
        <v>1</v>
      </c>
      <c r="X605" s="2">
        <v>0</v>
      </c>
      <c r="Y605" s="2">
        <v>0</v>
      </c>
      <c r="Z605" s="26" t="s">
        <v>5167</v>
      </c>
      <c r="AA605" s="31">
        <v>1939.06</v>
      </c>
    </row>
    <row r="606" spans="1:27" ht="16" x14ac:dyDescent="0.2">
      <c r="A606" t="s">
        <v>1817</v>
      </c>
      <c r="B606" s="2" t="s">
        <v>1818</v>
      </c>
      <c r="C606" s="8">
        <v>14380</v>
      </c>
      <c r="D606" s="2">
        <v>1939</v>
      </c>
      <c r="E606" s="2">
        <v>1930</v>
      </c>
      <c r="F606" s="2">
        <v>0</v>
      </c>
      <c r="G606" s="2">
        <v>0</v>
      </c>
      <c r="H606" t="s">
        <v>27</v>
      </c>
      <c r="I606" t="s">
        <v>4907</v>
      </c>
      <c r="J606" t="s">
        <v>1819</v>
      </c>
      <c r="K606" s="21" t="s">
        <v>1709</v>
      </c>
      <c r="L606" s="10">
        <v>12596</v>
      </c>
      <c r="M606">
        <f>11+48</f>
        <v>59</v>
      </c>
      <c r="N606" s="2">
        <v>73</v>
      </c>
      <c r="O606" s="2">
        <v>5</v>
      </c>
      <c r="Q606" s="2">
        <v>0</v>
      </c>
      <c r="R606" s="2">
        <v>0</v>
      </c>
      <c r="S606" s="11">
        <v>1</v>
      </c>
      <c r="T606" s="11">
        <v>0</v>
      </c>
      <c r="U606" s="11">
        <v>1</v>
      </c>
      <c r="V606" s="2">
        <v>0</v>
      </c>
      <c r="W606" s="2">
        <v>1</v>
      </c>
      <c r="X606" s="2">
        <v>0</v>
      </c>
      <c r="Y606" s="2">
        <v>0</v>
      </c>
      <c r="Z606" s="26" t="s">
        <v>5167</v>
      </c>
      <c r="AA606" s="31">
        <v>1939.07</v>
      </c>
    </row>
    <row r="607" spans="1:27" ht="16" x14ac:dyDescent="0.2">
      <c r="A607" s="3" t="s">
        <v>1820</v>
      </c>
      <c r="B607" s="2" t="s">
        <v>1821</v>
      </c>
      <c r="C607" s="8">
        <v>14380</v>
      </c>
      <c r="D607" s="2">
        <v>1939</v>
      </c>
      <c r="E607" s="2">
        <v>1930</v>
      </c>
      <c r="F607" s="2">
        <v>0</v>
      </c>
      <c r="G607" s="2">
        <v>0</v>
      </c>
      <c r="H607" s="3" t="s">
        <v>27</v>
      </c>
      <c r="I607" s="3" t="s">
        <v>1822</v>
      </c>
      <c r="J607" s="21" t="s">
        <v>1823</v>
      </c>
      <c r="K607" s="21" t="s">
        <v>1824</v>
      </c>
      <c r="L607" s="10">
        <v>13680</v>
      </c>
      <c r="M607" s="4">
        <f>22</f>
        <v>22</v>
      </c>
      <c r="N607" s="2">
        <v>75</v>
      </c>
      <c r="O607" s="2">
        <v>1</v>
      </c>
      <c r="Q607" s="2">
        <v>0</v>
      </c>
      <c r="R607" s="2">
        <v>0</v>
      </c>
      <c r="S607" s="11">
        <v>1</v>
      </c>
      <c r="T607" s="11">
        <v>0</v>
      </c>
      <c r="U607" s="11">
        <v>1</v>
      </c>
      <c r="V607" s="2">
        <v>0</v>
      </c>
      <c r="W607" s="2">
        <v>1</v>
      </c>
      <c r="X607" s="2">
        <v>0</v>
      </c>
      <c r="Y607" s="2">
        <v>0</v>
      </c>
      <c r="Z607" s="26" t="s">
        <v>5167</v>
      </c>
      <c r="AA607" s="31">
        <v>1939.08</v>
      </c>
    </row>
    <row r="608" spans="1:27" ht="15" customHeight="1" x14ac:dyDescent="0.2">
      <c r="A608" s="3" t="s">
        <v>1794</v>
      </c>
      <c r="B608" s="2" t="s">
        <v>1795</v>
      </c>
      <c r="C608" s="8">
        <v>14387</v>
      </c>
      <c r="D608" s="2">
        <v>1939</v>
      </c>
      <c r="E608" s="2">
        <v>1930</v>
      </c>
      <c r="F608" s="2">
        <v>0</v>
      </c>
      <c r="G608" s="2">
        <v>0</v>
      </c>
      <c r="H608" s="3" t="s">
        <v>27</v>
      </c>
      <c r="I608" s="3" t="s">
        <v>5052</v>
      </c>
      <c r="J608" s="3" t="s">
        <v>1641</v>
      </c>
      <c r="K608" s="21" t="s">
        <v>1642</v>
      </c>
      <c r="L608" s="10">
        <v>12208</v>
      </c>
      <c r="M608" s="4">
        <f>11+60</f>
        <v>71</v>
      </c>
      <c r="N608" s="2">
        <v>73</v>
      </c>
      <c r="O608" s="2">
        <v>4</v>
      </c>
      <c r="Q608" s="2">
        <v>1</v>
      </c>
      <c r="R608" s="2">
        <v>1</v>
      </c>
      <c r="S608" s="11">
        <v>1</v>
      </c>
      <c r="T608" s="11">
        <v>1</v>
      </c>
      <c r="U608" s="11">
        <v>0</v>
      </c>
      <c r="V608" s="2">
        <v>0</v>
      </c>
      <c r="W608" s="2">
        <v>0</v>
      </c>
      <c r="X608" s="2">
        <v>4</v>
      </c>
      <c r="Y608" s="2">
        <v>0</v>
      </c>
      <c r="Z608" s="26" t="s">
        <v>5167</v>
      </c>
      <c r="AA608" s="31">
        <v>1939.09</v>
      </c>
    </row>
    <row r="609" spans="1:27" ht="16" x14ac:dyDescent="0.2">
      <c r="A609" s="3" t="s">
        <v>1802</v>
      </c>
      <c r="B609" s="2" t="s">
        <v>1803</v>
      </c>
      <c r="C609" s="8">
        <v>14387</v>
      </c>
      <c r="D609" s="2">
        <v>1939</v>
      </c>
      <c r="E609" s="2">
        <v>1930</v>
      </c>
      <c r="F609" s="2">
        <v>0</v>
      </c>
      <c r="G609" s="2">
        <v>0</v>
      </c>
      <c r="H609" s="3" t="s">
        <v>27</v>
      </c>
      <c r="I609" s="3" t="s">
        <v>4913</v>
      </c>
      <c r="J609" s="3" t="s">
        <v>1740</v>
      </c>
      <c r="K609" s="21" t="s">
        <v>1727</v>
      </c>
      <c r="L609" s="10">
        <v>13307</v>
      </c>
      <c r="M609" s="4">
        <f>11+24</f>
        <v>35</v>
      </c>
      <c r="N609" s="2">
        <v>72</v>
      </c>
      <c r="O609" s="2">
        <v>6</v>
      </c>
      <c r="Q609" s="2">
        <v>0</v>
      </c>
      <c r="R609" s="2">
        <v>0</v>
      </c>
      <c r="S609" s="11">
        <v>1</v>
      </c>
      <c r="T609" s="11">
        <v>0</v>
      </c>
      <c r="U609" s="11">
        <v>1</v>
      </c>
      <c r="V609" s="2">
        <v>0</v>
      </c>
      <c r="W609" s="2">
        <v>1</v>
      </c>
      <c r="X609" s="2">
        <v>1</v>
      </c>
      <c r="Y609" s="2">
        <v>0</v>
      </c>
      <c r="Z609" s="26" t="s">
        <v>5167</v>
      </c>
      <c r="AA609" s="31">
        <v>1939.1</v>
      </c>
    </row>
    <row r="610" spans="1:27" ht="16" x14ac:dyDescent="0.2">
      <c r="A610" s="3" t="s">
        <v>1796</v>
      </c>
      <c r="B610" s="2" t="s">
        <v>1797</v>
      </c>
      <c r="C610" s="8">
        <v>14352</v>
      </c>
      <c r="D610" s="2">
        <v>1939</v>
      </c>
      <c r="E610" s="2">
        <v>1930</v>
      </c>
      <c r="F610" s="2">
        <v>0</v>
      </c>
      <c r="G610" s="2">
        <v>0</v>
      </c>
      <c r="H610" s="3" t="s">
        <v>27</v>
      </c>
      <c r="I610" s="3" t="s">
        <v>1798</v>
      </c>
      <c r="J610" s="3" t="s">
        <v>1798</v>
      </c>
      <c r="K610" s="21" t="s">
        <v>1799</v>
      </c>
      <c r="L610" s="10">
        <v>13967</v>
      </c>
      <c r="M610" s="4">
        <f>1+12</f>
        <v>13</v>
      </c>
      <c r="N610" s="2">
        <v>75</v>
      </c>
      <c r="O610" s="2">
        <v>5</v>
      </c>
      <c r="P610" s="2">
        <v>4</v>
      </c>
      <c r="Q610" s="2">
        <v>0</v>
      </c>
      <c r="R610" s="2">
        <v>0</v>
      </c>
      <c r="S610" s="11">
        <v>1</v>
      </c>
      <c r="T610" s="11">
        <v>0</v>
      </c>
      <c r="U610" s="11">
        <v>0</v>
      </c>
      <c r="V610" s="2">
        <v>0</v>
      </c>
      <c r="W610" s="2">
        <v>0</v>
      </c>
      <c r="X610" s="2">
        <v>2</v>
      </c>
      <c r="Y610" s="2">
        <v>0</v>
      </c>
      <c r="Z610" s="26" t="s">
        <v>5167</v>
      </c>
      <c r="AA610" s="31">
        <v>1939.11</v>
      </c>
    </row>
    <row r="611" spans="1:27" ht="16" x14ac:dyDescent="0.2">
      <c r="A611" s="3" t="s">
        <v>1825</v>
      </c>
      <c r="B611" s="2" t="s">
        <v>1826</v>
      </c>
      <c r="C611" s="8">
        <v>14401</v>
      </c>
      <c r="D611" s="2">
        <v>1939</v>
      </c>
      <c r="E611" s="2">
        <v>1930</v>
      </c>
      <c r="F611" s="2">
        <v>0</v>
      </c>
      <c r="G611" s="2">
        <v>0</v>
      </c>
      <c r="H611" s="3" t="s">
        <v>27</v>
      </c>
      <c r="I611" s="3" t="s">
        <v>4919</v>
      </c>
      <c r="J611" s="3" t="s">
        <v>1827</v>
      </c>
      <c r="K611" s="21" t="s">
        <v>1828</v>
      </c>
      <c r="L611" s="10">
        <v>13669</v>
      </c>
      <c r="M611" s="4">
        <f>24</f>
        <v>24</v>
      </c>
      <c r="N611" s="2">
        <v>75</v>
      </c>
      <c r="O611" s="2">
        <v>2</v>
      </c>
      <c r="P611" s="2">
        <v>5</v>
      </c>
      <c r="Q611" s="2">
        <v>0</v>
      </c>
      <c r="R611" s="2">
        <v>0</v>
      </c>
      <c r="S611" s="11">
        <v>1</v>
      </c>
      <c r="T611" s="11">
        <v>0</v>
      </c>
      <c r="U611" s="11">
        <v>1</v>
      </c>
      <c r="V611" s="2">
        <v>0</v>
      </c>
      <c r="W611" s="2">
        <v>1</v>
      </c>
      <c r="X611" s="2">
        <v>4</v>
      </c>
      <c r="Y611" s="2">
        <v>0</v>
      </c>
      <c r="Z611" s="26" t="s">
        <v>5167</v>
      </c>
      <c r="AA611" s="31">
        <v>1939.12</v>
      </c>
    </row>
    <row r="612" spans="1:27" ht="16" x14ac:dyDescent="0.2">
      <c r="A612" s="3" t="s">
        <v>1804</v>
      </c>
      <c r="B612" s="2" t="s">
        <v>1805</v>
      </c>
      <c r="C612" s="8">
        <v>14555</v>
      </c>
      <c r="D612" s="2">
        <v>1939</v>
      </c>
      <c r="E612" s="2">
        <v>1930</v>
      </c>
      <c r="F612" s="2">
        <v>0</v>
      </c>
      <c r="G612" s="2">
        <v>0</v>
      </c>
      <c r="H612" s="3" t="s">
        <v>27</v>
      </c>
      <c r="I612" s="3" t="s">
        <v>4911</v>
      </c>
      <c r="J612" s="3" t="s">
        <v>1806</v>
      </c>
      <c r="K612" s="21" t="s">
        <v>1807</v>
      </c>
      <c r="L612" s="10">
        <v>12218</v>
      </c>
      <c r="M612" s="4">
        <f>72+5</f>
        <v>77</v>
      </c>
      <c r="N612" s="2">
        <v>73</v>
      </c>
      <c r="O612" s="2">
        <v>5</v>
      </c>
      <c r="Q612" s="2">
        <v>1</v>
      </c>
      <c r="R612" s="2">
        <v>0</v>
      </c>
      <c r="S612" s="11">
        <v>1</v>
      </c>
      <c r="T612" s="11">
        <v>1</v>
      </c>
      <c r="U612" s="11">
        <v>0</v>
      </c>
      <c r="V612" s="2">
        <v>0</v>
      </c>
      <c r="W612" s="2">
        <v>0</v>
      </c>
      <c r="X612" s="2">
        <v>0</v>
      </c>
      <c r="Y612" s="2">
        <v>0</v>
      </c>
      <c r="Z612" s="26" t="s">
        <v>5167</v>
      </c>
      <c r="AA612" s="31">
        <v>1939.13</v>
      </c>
    </row>
    <row r="613" spans="1:27" ht="16" x14ac:dyDescent="0.2">
      <c r="A613" s="3" t="s">
        <v>1814</v>
      </c>
      <c r="B613" s="2" t="s">
        <v>1815</v>
      </c>
      <c r="C613" s="8">
        <v>14583</v>
      </c>
      <c r="D613" s="2">
        <v>1939</v>
      </c>
      <c r="E613" s="2">
        <v>1930</v>
      </c>
      <c r="F613" s="2">
        <v>0</v>
      </c>
      <c r="G613" s="2">
        <v>0</v>
      </c>
      <c r="H613" s="3" t="s">
        <v>27</v>
      </c>
      <c r="I613" s="3" t="s">
        <v>4892</v>
      </c>
      <c r="J613" s="3" t="s">
        <v>1816</v>
      </c>
      <c r="K613" s="21" t="s">
        <v>1304</v>
      </c>
      <c r="L613" s="10">
        <v>7364</v>
      </c>
      <c r="M613" s="4">
        <f>10+(12*19)</f>
        <v>238</v>
      </c>
      <c r="N613" s="2">
        <v>66</v>
      </c>
      <c r="O613" s="2">
        <v>5</v>
      </c>
      <c r="P613" s="2">
        <v>4</v>
      </c>
      <c r="Q613" s="2">
        <v>1</v>
      </c>
      <c r="R613" s="2">
        <v>1</v>
      </c>
      <c r="S613" s="11">
        <v>1</v>
      </c>
      <c r="T613" s="11">
        <v>0</v>
      </c>
      <c r="U613" s="11">
        <v>1</v>
      </c>
      <c r="V613" s="2">
        <v>0</v>
      </c>
      <c r="W613" s="2">
        <v>1</v>
      </c>
      <c r="X613" s="2">
        <v>0</v>
      </c>
      <c r="Y613" s="2">
        <v>1</v>
      </c>
      <c r="Z613" s="26" t="s">
        <v>5167</v>
      </c>
      <c r="AA613" s="31">
        <v>1939.14</v>
      </c>
    </row>
    <row r="614" spans="1:27" ht="16" x14ac:dyDescent="0.2">
      <c r="A614" s="3" t="s">
        <v>1829</v>
      </c>
      <c r="B614" s="2" t="s">
        <v>1830</v>
      </c>
      <c r="C614" s="8">
        <v>14583</v>
      </c>
      <c r="D614" s="2">
        <v>1939</v>
      </c>
      <c r="E614" s="2">
        <v>1930</v>
      </c>
      <c r="F614" s="2">
        <v>0</v>
      </c>
      <c r="G614" s="2">
        <v>0</v>
      </c>
      <c r="H614" s="3" t="s">
        <v>27</v>
      </c>
      <c r="I614" s="3" t="s">
        <v>1831</v>
      </c>
      <c r="J614" s="3" t="s">
        <v>1831</v>
      </c>
      <c r="K614" s="21" t="s">
        <v>1832</v>
      </c>
      <c r="L614" s="10">
        <v>10363</v>
      </c>
      <c r="M614" s="4">
        <f>(11*12)+7</f>
        <v>139</v>
      </c>
      <c r="N614" s="2">
        <v>70</v>
      </c>
      <c r="O614" s="2">
        <v>4</v>
      </c>
      <c r="Q614" s="2">
        <v>1</v>
      </c>
      <c r="R614" s="2">
        <v>1</v>
      </c>
      <c r="S614" s="11">
        <v>1</v>
      </c>
      <c r="T614" s="11">
        <v>1</v>
      </c>
      <c r="U614" s="11">
        <v>1</v>
      </c>
      <c r="V614" s="2">
        <v>0</v>
      </c>
      <c r="W614" s="2">
        <v>1</v>
      </c>
      <c r="X614" s="2">
        <v>0</v>
      </c>
      <c r="Y614" s="2">
        <v>1</v>
      </c>
      <c r="Z614" s="26" t="s">
        <v>5167</v>
      </c>
      <c r="AA614" s="31">
        <v>1939.15</v>
      </c>
    </row>
    <row r="615" spans="1:27" ht="16" x14ac:dyDescent="0.2">
      <c r="A615" s="3" t="s">
        <v>1833</v>
      </c>
      <c r="B615" s="2" t="s">
        <v>1834</v>
      </c>
      <c r="C615" s="8">
        <v>14590</v>
      </c>
      <c r="D615" s="2">
        <v>1939</v>
      </c>
      <c r="E615" s="2">
        <v>1930</v>
      </c>
      <c r="F615" s="2">
        <v>0</v>
      </c>
      <c r="G615" s="2">
        <v>0</v>
      </c>
      <c r="H615" s="3" t="s">
        <v>27</v>
      </c>
      <c r="I615" s="3" t="s">
        <v>4920</v>
      </c>
      <c r="J615" s="3" t="s">
        <v>1835</v>
      </c>
      <c r="K615" s="21" t="s">
        <v>1836</v>
      </c>
      <c r="L615" s="10">
        <v>12589</v>
      </c>
      <c r="M615" s="4">
        <v>66</v>
      </c>
      <c r="N615" s="2">
        <v>73</v>
      </c>
      <c r="O615" s="2">
        <v>5</v>
      </c>
      <c r="Q615" s="2">
        <v>1</v>
      </c>
      <c r="R615" s="2">
        <v>0</v>
      </c>
      <c r="S615" s="11">
        <v>1</v>
      </c>
      <c r="T615" s="11">
        <v>1</v>
      </c>
      <c r="U615" s="11">
        <v>1</v>
      </c>
      <c r="V615" s="2">
        <v>0</v>
      </c>
      <c r="W615" s="2">
        <v>1</v>
      </c>
      <c r="X615" s="2">
        <v>0</v>
      </c>
      <c r="Y615" s="2">
        <v>0</v>
      </c>
      <c r="Z615" s="26" t="s">
        <v>5167</v>
      </c>
      <c r="AA615" s="31">
        <v>1939.16</v>
      </c>
    </row>
    <row r="616" spans="1:27" ht="16" x14ac:dyDescent="0.2">
      <c r="A616" t="s">
        <v>1808</v>
      </c>
      <c r="B616" s="2" t="s">
        <v>1809</v>
      </c>
      <c r="C616" s="8">
        <v>14555</v>
      </c>
      <c r="D616" s="2">
        <v>1939</v>
      </c>
      <c r="E616" s="2">
        <v>1930</v>
      </c>
      <c r="F616" s="2">
        <v>0</v>
      </c>
      <c r="G616" s="2">
        <v>0</v>
      </c>
      <c r="H616" t="s">
        <v>27</v>
      </c>
      <c r="I616" t="s">
        <v>5082</v>
      </c>
      <c r="J616" t="s">
        <v>1810</v>
      </c>
      <c r="K616" s="21" t="s">
        <v>1811</v>
      </c>
      <c r="L616" s="10">
        <v>13169</v>
      </c>
      <c r="M616">
        <f>10+36</f>
        <v>46</v>
      </c>
      <c r="N616" s="2">
        <v>74</v>
      </c>
      <c r="O616" s="2">
        <v>6</v>
      </c>
      <c r="Q616" s="2">
        <v>0</v>
      </c>
      <c r="R616" s="2">
        <v>0</v>
      </c>
      <c r="S616" s="11">
        <v>0</v>
      </c>
      <c r="T616" s="11">
        <v>1</v>
      </c>
      <c r="U616" s="11">
        <v>0</v>
      </c>
      <c r="V616" s="2">
        <v>0</v>
      </c>
      <c r="W616" s="2">
        <v>0</v>
      </c>
      <c r="X616" s="2">
        <v>0</v>
      </c>
      <c r="Y616" s="2">
        <v>0</v>
      </c>
      <c r="Z616" s="26" t="s">
        <v>5167</v>
      </c>
      <c r="AA616" s="31">
        <v>1939.17</v>
      </c>
    </row>
    <row r="617" spans="1:27" ht="16" x14ac:dyDescent="0.2">
      <c r="A617" s="3" t="s">
        <v>1837</v>
      </c>
      <c r="B617" s="2" t="s">
        <v>1838</v>
      </c>
      <c r="C617" s="8">
        <v>14639</v>
      </c>
      <c r="D617" s="2">
        <v>1940</v>
      </c>
      <c r="E617" s="2">
        <v>1940</v>
      </c>
      <c r="F617" s="2">
        <v>0</v>
      </c>
      <c r="G617" s="2">
        <v>0</v>
      </c>
      <c r="H617" s="3" t="s">
        <v>27</v>
      </c>
      <c r="I617" s="3" t="s">
        <v>4904</v>
      </c>
      <c r="J617" s="3" t="s">
        <v>1839</v>
      </c>
      <c r="K617" s="21" t="s">
        <v>1840</v>
      </c>
      <c r="L617" s="10">
        <v>14468</v>
      </c>
      <c r="M617" s="4">
        <v>5</v>
      </c>
      <c r="N617" s="2">
        <v>76</v>
      </c>
      <c r="O617" s="2">
        <v>4</v>
      </c>
      <c r="Q617" s="2">
        <v>0</v>
      </c>
      <c r="R617" s="2">
        <v>0</v>
      </c>
      <c r="S617" s="11">
        <v>0</v>
      </c>
      <c r="T617" s="11">
        <v>1</v>
      </c>
      <c r="U617" s="11">
        <v>0</v>
      </c>
      <c r="V617" s="2">
        <v>0</v>
      </c>
      <c r="W617" s="2">
        <v>0</v>
      </c>
      <c r="X617" s="2">
        <v>0</v>
      </c>
      <c r="Y617" s="2">
        <v>0</v>
      </c>
      <c r="Z617" s="26" t="s">
        <v>5167</v>
      </c>
      <c r="AA617" s="31">
        <v>1940.01</v>
      </c>
    </row>
    <row r="618" spans="1:27" ht="16" x14ac:dyDescent="0.2">
      <c r="A618" s="3" t="s">
        <v>1850</v>
      </c>
      <c r="B618" s="2" t="s">
        <v>1851</v>
      </c>
      <c r="C618" s="8">
        <v>14681</v>
      </c>
      <c r="D618" s="2">
        <v>1940</v>
      </c>
      <c r="E618" s="2">
        <v>1940</v>
      </c>
      <c r="F618" s="2">
        <v>0</v>
      </c>
      <c r="G618" s="2">
        <v>0</v>
      </c>
      <c r="H618" s="3" t="s">
        <v>27</v>
      </c>
      <c r="I618" s="3" t="s">
        <v>1852</v>
      </c>
      <c r="J618" s="3" t="s">
        <v>1853</v>
      </c>
      <c r="K618" s="3" t="s">
        <v>1854</v>
      </c>
      <c r="L618" s="10">
        <v>13250</v>
      </c>
      <c r="M618" s="4">
        <f>11+36</f>
        <v>47</v>
      </c>
      <c r="N618" s="2">
        <v>74</v>
      </c>
      <c r="O618" s="2">
        <v>4</v>
      </c>
      <c r="P618" s="2">
        <v>6</v>
      </c>
      <c r="Q618" s="2">
        <v>0</v>
      </c>
      <c r="R618" s="2">
        <v>0</v>
      </c>
      <c r="S618" s="11">
        <v>1</v>
      </c>
      <c r="T618" s="11">
        <v>0</v>
      </c>
      <c r="U618" s="11">
        <v>0</v>
      </c>
      <c r="V618" s="2">
        <v>0</v>
      </c>
      <c r="W618" s="2">
        <v>1</v>
      </c>
      <c r="X618" s="2">
        <v>1</v>
      </c>
      <c r="Y618" s="2">
        <v>0</v>
      </c>
      <c r="Z618" s="26" t="s">
        <v>5167</v>
      </c>
      <c r="AA618" s="31">
        <v>1940.02</v>
      </c>
    </row>
    <row r="619" spans="1:27" ht="16" x14ac:dyDescent="0.2">
      <c r="A619" s="3" t="s">
        <v>1846</v>
      </c>
      <c r="B619" s="2" t="s">
        <v>1847</v>
      </c>
      <c r="C619" s="8">
        <v>14695</v>
      </c>
      <c r="D619" s="2">
        <v>1940</v>
      </c>
      <c r="E619" s="2">
        <v>1940</v>
      </c>
      <c r="F619" s="2">
        <v>0</v>
      </c>
      <c r="G619" s="2">
        <v>0</v>
      </c>
      <c r="H619" s="3" t="s">
        <v>27</v>
      </c>
      <c r="I619" s="3" t="s">
        <v>4705</v>
      </c>
      <c r="J619" s="3" t="s">
        <v>1848</v>
      </c>
      <c r="K619" s="21" t="s">
        <v>1849</v>
      </c>
      <c r="L619" s="10">
        <v>11126</v>
      </c>
      <c r="M619" s="4">
        <f>9+(9*12)</f>
        <v>117</v>
      </c>
      <c r="N619" s="2">
        <v>71</v>
      </c>
      <c r="O619" s="2">
        <v>4</v>
      </c>
      <c r="P619" s="2">
        <v>5</v>
      </c>
      <c r="Q619" s="2">
        <v>1</v>
      </c>
      <c r="R619" s="2">
        <v>0</v>
      </c>
      <c r="S619" s="11">
        <v>0</v>
      </c>
      <c r="T619" s="11">
        <v>1</v>
      </c>
      <c r="U619" s="11">
        <v>0</v>
      </c>
      <c r="V619" s="2">
        <v>0</v>
      </c>
      <c r="W619" s="2">
        <v>0</v>
      </c>
      <c r="X619" s="2">
        <v>0</v>
      </c>
      <c r="Y619" s="2">
        <v>1</v>
      </c>
      <c r="Z619" s="26" t="s">
        <v>5167</v>
      </c>
      <c r="AA619" s="31">
        <v>1940.03</v>
      </c>
    </row>
    <row r="620" spans="1:27" ht="16" x14ac:dyDescent="0.2">
      <c r="A620" t="s">
        <v>1841</v>
      </c>
      <c r="B620" s="2" t="s">
        <v>1842</v>
      </c>
      <c r="C620" s="8">
        <v>14695</v>
      </c>
      <c r="D620" s="2">
        <v>1940</v>
      </c>
      <c r="E620" s="2">
        <v>1940</v>
      </c>
      <c r="F620" s="2">
        <v>0</v>
      </c>
      <c r="G620" s="2">
        <v>0</v>
      </c>
      <c r="H620" t="s">
        <v>27</v>
      </c>
      <c r="I620" t="s">
        <v>4913</v>
      </c>
      <c r="J620" s="3" t="s">
        <v>1740</v>
      </c>
      <c r="K620" s="21" t="s">
        <v>1727</v>
      </c>
      <c r="L620" s="10">
        <v>11846</v>
      </c>
      <c r="M620">
        <f>9+(12*7)</f>
        <v>93</v>
      </c>
      <c r="N620" s="2">
        <v>72</v>
      </c>
      <c r="O620" s="2">
        <v>4</v>
      </c>
      <c r="Q620" s="2">
        <v>0</v>
      </c>
      <c r="R620" s="2">
        <v>0</v>
      </c>
      <c r="S620" s="11">
        <v>1</v>
      </c>
      <c r="T620" s="11">
        <v>1</v>
      </c>
      <c r="U620" s="11">
        <v>1</v>
      </c>
      <c r="V620" s="2">
        <v>0</v>
      </c>
      <c r="W620" s="2">
        <v>1</v>
      </c>
      <c r="X620" s="2">
        <v>0</v>
      </c>
      <c r="Y620" s="2">
        <v>0</v>
      </c>
      <c r="Z620" s="26" t="s">
        <v>5167</v>
      </c>
      <c r="AA620" s="31">
        <v>1940.04</v>
      </c>
    </row>
    <row r="621" spans="1:27" ht="16" x14ac:dyDescent="0.2">
      <c r="A621" s="3" t="s">
        <v>1862</v>
      </c>
      <c r="B621" s="2" t="s">
        <v>1863</v>
      </c>
      <c r="C621" s="8">
        <v>14723</v>
      </c>
      <c r="D621" s="2">
        <v>1940</v>
      </c>
      <c r="E621" s="2">
        <v>1940</v>
      </c>
      <c r="F621" s="2">
        <v>0</v>
      </c>
      <c r="G621" s="2">
        <v>0</v>
      </c>
      <c r="H621" s="3" t="s">
        <v>27</v>
      </c>
      <c r="I621" s="3" t="s">
        <v>1864</v>
      </c>
      <c r="J621" s="3" t="s">
        <v>1864</v>
      </c>
      <c r="K621" s="21" t="s">
        <v>1865</v>
      </c>
      <c r="L621" s="10">
        <v>5102</v>
      </c>
      <c r="M621" s="4">
        <f>4+(12*26)</f>
        <v>316</v>
      </c>
      <c r="N621" s="2">
        <v>63</v>
      </c>
      <c r="O621" s="2">
        <v>5</v>
      </c>
      <c r="P621" s="2">
        <v>4</v>
      </c>
      <c r="Q621" s="2">
        <v>0</v>
      </c>
      <c r="R621" s="2">
        <v>0</v>
      </c>
      <c r="S621" s="11">
        <v>1</v>
      </c>
      <c r="T621" s="11">
        <v>1</v>
      </c>
      <c r="U621" s="11">
        <v>1</v>
      </c>
      <c r="V621" s="2">
        <v>0</v>
      </c>
      <c r="W621" s="2">
        <v>1</v>
      </c>
      <c r="X621" s="2">
        <v>1</v>
      </c>
      <c r="Y621" s="2">
        <v>0</v>
      </c>
      <c r="Z621" s="26" t="s">
        <v>5167</v>
      </c>
      <c r="AA621" s="31">
        <v>1940.05</v>
      </c>
    </row>
    <row r="622" spans="1:27" ht="16" x14ac:dyDescent="0.2">
      <c r="A622" s="3" t="s">
        <v>1855</v>
      </c>
      <c r="B622" s="2" t="s">
        <v>1856</v>
      </c>
      <c r="C622" s="8">
        <v>14751</v>
      </c>
      <c r="D622" s="2">
        <v>1940</v>
      </c>
      <c r="E622" s="2">
        <v>1940</v>
      </c>
      <c r="F622" s="2">
        <v>0</v>
      </c>
      <c r="G622" s="2">
        <v>0</v>
      </c>
      <c r="H622" s="3" t="s">
        <v>27</v>
      </c>
      <c r="I622" s="3" t="s">
        <v>4921</v>
      </c>
      <c r="J622" s="3" t="s">
        <v>1857</v>
      </c>
      <c r="K622" s="21" t="s">
        <v>1858</v>
      </c>
      <c r="L622" s="10">
        <v>13631</v>
      </c>
      <c r="M622" s="4">
        <v>37</v>
      </c>
      <c r="N622" s="2">
        <v>75</v>
      </c>
      <c r="O622" s="2">
        <v>4</v>
      </c>
      <c r="P622" s="2">
        <v>6</v>
      </c>
      <c r="Q622" s="2">
        <v>1</v>
      </c>
      <c r="R622" s="2">
        <v>1</v>
      </c>
      <c r="S622" s="11">
        <v>1</v>
      </c>
      <c r="T622" s="11">
        <v>0</v>
      </c>
      <c r="U622" s="11">
        <v>0</v>
      </c>
      <c r="V622" s="2">
        <v>0</v>
      </c>
      <c r="W622" s="2">
        <v>1</v>
      </c>
      <c r="X622" s="2">
        <v>1</v>
      </c>
      <c r="Y622" s="2">
        <v>0</v>
      </c>
      <c r="Z622" s="26" t="s">
        <v>5167</v>
      </c>
      <c r="AA622" s="31">
        <v>1940.06</v>
      </c>
    </row>
    <row r="623" spans="1:27" ht="16" x14ac:dyDescent="0.2">
      <c r="A623" s="3" t="s">
        <v>1859</v>
      </c>
      <c r="B623" s="2" t="s">
        <v>1860</v>
      </c>
      <c r="C623" s="8">
        <v>14961</v>
      </c>
      <c r="D623" s="2">
        <v>1940</v>
      </c>
      <c r="E623" s="2">
        <v>1940</v>
      </c>
      <c r="F623" s="2">
        <v>0</v>
      </c>
      <c r="G623" s="2">
        <v>0</v>
      </c>
      <c r="H623" s="3" t="s">
        <v>27</v>
      </c>
      <c r="I623" s="3" t="s">
        <v>4912</v>
      </c>
      <c r="J623" s="3" t="s">
        <v>1861</v>
      </c>
      <c r="K623" s="3" t="s">
        <v>1737</v>
      </c>
      <c r="L623" s="10">
        <v>13022</v>
      </c>
      <c r="M623" s="4">
        <f>64</f>
        <v>64</v>
      </c>
      <c r="N623" s="2">
        <v>74</v>
      </c>
      <c r="O623" s="2">
        <v>5</v>
      </c>
      <c r="P623" s="2">
        <v>4</v>
      </c>
      <c r="Q623" s="2">
        <v>1</v>
      </c>
      <c r="R623" s="2">
        <v>0</v>
      </c>
      <c r="S623" s="11">
        <v>1</v>
      </c>
      <c r="T623" s="11">
        <v>1</v>
      </c>
      <c r="U623" s="11">
        <v>1</v>
      </c>
      <c r="V623" s="2">
        <v>0</v>
      </c>
      <c r="W623" s="2">
        <v>1</v>
      </c>
      <c r="X623" s="2">
        <v>2</v>
      </c>
      <c r="Y623" s="2">
        <v>0</v>
      </c>
      <c r="Z623" s="26" t="s">
        <v>5167</v>
      </c>
      <c r="AA623" s="31">
        <v>1940.07</v>
      </c>
    </row>
    <row r="624" spans="1:27" ht="16" x14ac:dyDescent="0.2">
      <c r="A624" s="3" t="s">
        <v>1843</v>
      </c>
      <c r="B624" s="2" t="s">
        <v>1844</v>
      </c>
      <c r="C624" s="8">
        <v>14927</v>
      </c>
      <c r="D624" s="2">
        <v>1940</v>
      </c>
      <c r="E624" s="2">
        <v>1940</v>
      </c>
      <c r="F624" s="2">
        <v>0</v>
      </c>
      <c r="G624" s="2">
        <v>0</v>
      </c>
      <c r="H624" s="3" t="s">
        <v>27</v>
      </c>
      <c r="I624" s="3" t="s">
        <v>4910</v>
      </c>
      <c r="J624" s="3" t="s">
        <v>1845</v>
      </c>
      <c r="K624" s="21" t="s">
        <v>1669</v>
      </c>
      <c r="L624" s="10">
        <v>13323</v>
      </c>
      <c r="M624" s="4">
        <f>48+5</f>
        <v>53</v>
      </c>
      <c r="N624" s="2">
        <v>74</v>
      </c>
      <c r="O624" s="2">
        <v>4</v>
      </c>
      <c r="P624" s="2">
        <v>5</v>
      </c>
      <c r="Q624" s="2">
        <v>0</v>
      </c>
      <c r="R624" s="2">
        <v>0</v>
      </c>
      <c r="S624" s="11">
        <v>1</v>
      </c>
      <c r="T624" s="11">
        <v>1</v>
      </c>
      <c r="U624" s="11">
        <v>1</v>
      </c>
      <c r="V624" s="2">
        <v>0</v>
      </c>
      <c r="W624" s="2">
        <v>1</v>
      </c>
      <c r="X624" s="2">
        <v>0</v>
      </c>
      <c r="Y624" s="2">
        <v>0</v>
      </c>
      <c r="Z624" s="26" t="s">
        <v>5167</v>
      </c>
      <c r="AA624" s="31">
        <v>1940.08</v>
      </c>
    </row>
    <row r="625" spans="1:27" ht="16" x14ac:dyDescent="0.2">
      <c r="A625" s="3" t="s">
        <v>1902</v>
      </c>
      <c r="B625" s="2" t="s">
        <v>1903</v>
      </c>
      <c r="C625" s="8">
        <v>14982</v>
      </c>
      <c r="D625" s="2">
        <v>1941</v>
      </c>
      <c r="E625" s="2">
        <v>1940</v>
      </c>
      <c r="F625" s="2">
        <v>0</v>
      </c>
      <c r="G625" s="2">
        <v>0</v>
      </c>
      <c r="H625" s="3" t="s">
        <v>27</v>
      </c>
      <c r="I625" s="3" t="s">
        <v>4922</v>
      </c>
      <c r="J625" s="3" t="s">
        <v>1904</v>
      </c>
      <c r="K625" s="21" t="s">
        <v>1905</v>
      </c>
      <c r="L625" s="10">
        <v>10297</v>
      </c>
      <c r="M625" s="4">
        <f>144+10</f>
        <v>154</v>
      </c>
      <c r="N625" s="2">
        <v>70</v>
      </c>
      <c r="O625" s="2">
        <v>6</v>
      </c>
      <c r="Q625" s="2">
        <v>0</v>
      </c>
      <c r="R625" s="2">
        <v>0</v>
      </c>
      <c r="S625" s="11">
        <v>1</v>
      </c>
      <c r="T625" s="11">
        <v>1</v>
      </c>
      <c r="U625" s="11">
        <v>0</v>
      </c>
      <c r="V625" s="2">
        <v>0</v>
      </c>
      <c r="W625" s="2">
        <v>1</v>
      </c>
      <c r="X625" s="2">
        <v>0</v>
      </c>
      <c r="Y625" s="2">
        <v>1</v>
      </c>
      <c r="Z625" s="26" t="s">
        <v>5167</v>
      </c>
      <c r="AA625" s="31">
        <v>1941.01</v>
      </c>
    </row>
    <row r="626" spans="1:27" ht="16" x14ac:dyDescent="0.2">
      <c r="A626" s="3" t="s">
        <v>1891</v>
      </c>
      <c r="B626" s="2" t="s">
        <v>1892</v>
      </c>
      <c r="C626" s="8">
        <v>14989</v>
      </c>
      <c r="D626" s="2">
        <v>1941</v>
      </c>
      <c r="E626" s="2">
        <v>1940</v>
      </c>
      <c r="F626" s="2">
        <v>0</v>
      </c>
      <c r="G626" s="2">
        <v>0</v>
      </c>
      <c r="H626" s="3" t="s">
        <v>27</v>
      </c>
      <c r="I626" s="3" t="s">
        <v>4920</v>
      </c>
      <c r="J626" s="3" t="s">
        <v>1835</v>
      </c>
      <c r="K626" s="21" t="s">
        <v>1836</v>
      </c>
      <c r="L626" s="10">
        <v>12589</v>
      </c>
      <c r="M626" s="4">
        <f>7+72</f>
        <v>79</v>
      </c>
      <c r="N626" s="2">
        <v>73</v>
      </c>
      <c r="O626" s="2">
        <v>6</v>
      </c>
      <c r="Q626" s="2">
        <v>0</v>
      </c>
      <c r="R626" s="2">
        <v>0</v>
      </c>
      <c r="S626" s="11">
        <v>0</v>
      </c>
      <c r="T626" s="11">
        <v>1</v>
      </c>
      <c r="U626" s="11">
        <v>1</v>
      </c>
      <c r="V626" s="2">
        <v>0</v>
      </c>
      <c r="W626" s="2">
        <v>0</v>
      </c>
      <c r="X626" s="2">
        <v>4</v>
      </c>
      <c r="Y626" s="2">
        <v>0</v>
      </c>
      <c r="Z626" s="26" t="s">
        <v>5167</v>
      </c>
      <c r="AA626" s="31">
        <v>1941.02</v>
      </c>
    </row>
    <row r="627" spans="1:27" ht="16" x14ac:dyDescent="0.2">
      <c r="A627" s="3" t="s">
        <v>1900</v>
      </c>
      <c r="B627" s="2" t="s">
        <v>1901</v>
      </c>
      <c r="C627" s="8">
        <v>15010</v>
      </c>
      <c r="D627" s="2">
        <v>1941</v>
      </c>
      <c r="E627" s="2">
        <v>1940</v>
      </c>
      <c r="F627" s="2">
        <v>0</v>
      </c>
      <c r="G627" s="2">
        <v>0</v>
      </c>
      <c r="H627" s="3" t="s">
        <v>27</v>
      </c>
      <c r="I627" s="3" t="s">
        <v>4856</v>
      </c>
      <c r="J627" s="3" t="s">
        <v>1884</v>
      </c>
      <c r="K627" s="3" t="s">
        <v>1885</v>
      </c>
      <c r="L627" s="10">
        <v>14056</v>
      </c>
      <c r="M627" s="4">
        <v>32</v>
      </c>
      <c r="N627" s="2">
        <v>75</v>
      </c>
      <c r="O627" s="2">
        <v>5</v>
      </c>
      <c r="P627" s="2">
        <v>4</v>
      </c>
      <c r="Q627" s="2">
        <v>1</v>
      </c>
      <c r="R627" s="2">
        <v>1</v>
      </c>
      <c r="S627" s="11">
        <v>1</v>
      </c>
      <c r="T627" s="11">
        <v>0</v>
      </c>
      <c r="U627" s="11">
        <v>1</v>
      </c>
      <c r="V627" s="2">
        <v>0</v>
      </c>
      <c r="W627" s="2">
        <v>1</v>
      </c>
      <c r="X627" s="2">
        <v>0</v>
      </c>
      <c r="Y627" s="2">
        <v>0</v>
      </c>
      <c r="Z627" s="26" t="s">
        <v>5167</v>
      </c>
      <c r="AA627" s="31">
        <v>1941.03</v>
      </c>
    </row>
    <row r="628" spans="1:27" ht="16" x14ac:dyDescent="0.2">
      <c r="A628" s="3" t="s">
        <v>1882</v>
      </c>
      <c r="B628" s="2" t="s">
        <v>1883</v>
      </c>
      <c r="C628" s="8">
        <v>15010</v>
      </c>
      <c r="D628" s="2">
        <v>1941</v>
      </c>
      <c r="E628" s="2">
        <v>1940</v>
      </c>
      <c r="F628" s="2">
        <v>0</v>
      </c>
      <c r="G628" s="2">
        <v>0</v>
      </c>
      <c r="H628" s="3" t="s">
        <v>27</v>
      </c>
      <c r="I628" s="3" t="s">
        <v>4856</v>
      </c>
      <c r="J628" s="3" t="s">
        <v>1884</v>
      </c>
      <c r="K628" s="3" t="s">
        <v>1885</v>
      </c>
      <c r="L628" s="10">
        <v>14056</v>
      </c>
      <c r="M628" s="4">
        <f>8+24</f>
        <v>32</v>
      </c>
      <c r="N628" s="2">
        <v>75</v>
      </c>
      <c r="O628" s="2">
        <v>6</v>
      </c>
      <c r="P628" s="2">
        <v>1</v>
      </c>
      <c r="Q628" s="2">
        <v>1</v>
      </c>
      <c r="R628" s="2">
        <v>1</v>
      </c>
      <c r="S628" s="11">
        <v>1</v>
      </c>
      <c r="T628" s="11">
        <v>1</v>
      </c>
      <c r="U628" s="11">
        <v>0</v>
      </c>
      <c r="V628" s="2">
        <v>0</v>
      </c>
      <c r="W628" s="2">
        <v>1</v>
      </c>
      <c r="X628" s="2">
        <v>0</v>
      </c>
      <c r="Y628" s="2">
        <v>0</v>
      </c>
      <c r="Z628" s="26" t="s">
        <v>5167</v>
      </c>
      <c r="AA628" s="31">
        <v>1941.04</v>
      </c>
    </row>
    <row r="629" spans="1:27" ht="16" x14ac:dyDescent="0.2">
      <c r="A629" s="3" t="s">
        <v>1868</v>
      </c>
      <c r="B629" s="2" t="s">
        <v>1869</v>
      </c>
      <c r="C629" s="8">
        <v>14989</v>
      </c>
      <c r="D629" s="2">
        <v>1941</v>
      </c>
      <c r="E629" s="2">
        <v>1940</v>
      </c>
      <c r="F629" s="2">
        <v>0</v>
      </c>
      <c r="G629" s="2">
        <v>0</v>
      </c>
      <c r="H629" s="3" t="s">
        <v>27</v>
      </c>
      <c r="I629" s="3" t="s">
        <v>1870</v>
      </c>
      <c r="J629" s="3" t="s">
        <v>1870</v>
      </c>
      <c r="K629" s="21" t="s">
        <v>1871</v>
      </c>
      <c r="L629" s="10">
        <v>6376</v>
      </c>
      <c r="M629" s="4">
        <f>7+(12*23)</f>
        <v>283</v>
      </c>
      <c r="N629" s="2">
        <v>65</v>
      </c>
      <c r="O629" s="2">
        <v>1</v>
      </c>
      <c r="Q629" s="2">
        <v>1</v>
      </c>
      <c r="R629" s="2">
        <v>1</v>
      </c>
      <c r="S629" s="11">
        <v>1</v>
      </c>
      <c r="T629" s="11">
        <v>1</v>
      </c>
      <c r="U629" s="11">
        <v>0</v>
      </c>
      <c r="V629" s="2">
        <v>0</v>
      </c>
      <c r="W629" s="2">
        <v>1</v>
      </c>
      <c r="X629" s="2">
        <v>0</v>
      </c>
      <c r="Y629" s="2">
        <v>0</v>
      </c>
      <c r="Z629" s="26" t="s">
        <v>5167</v>
      </c>
      <c r="AA629" s="31">
        <v>1941.05</v>
      </c>
    </row>
    <row r="630" spans="1:27" ht="16" x14ac:dyDescent="0.2">
      <c r="A630" s="3" t="s">
        <v>1893</v>
      </c>
      <c r="B630" s="2" t="s">
        <v>1894</v>
      </c>
      <c r="C630" s="8">
        <v>15066</v>
      </c>
      <c r="D630" s="2">
        <v>1941</v>
      </c>
      <c r="E630" s="2">
        <v>1940</v>
      </c>
      <c r="F630" s="2">
        <v>0</v>
      </c>
      <c r="G630" s="2">
        <v>0</v>
      </c>
      <c r="H630" s="3" t="s">
        <v>27</v>
      </c>
      <c r="I630" s="3" t="s">
        <v>1895</v>
      </c>
      <c r="J630" s="3" t="s">
        <v>1895</v>
      </c>
      <c r="K630" s="21" t="s">
        <v>1896</v>
      </c>
      <c r="L630" s="10">
        <v>11142</v>
      </c>
      <c r="M630" s="4">
        <f>8+120</f>
        <v>128</v>
      </c>
      <c r="N630" s="2">
        <v>71</v>
      </c>
      <c r="O630" s="2">
        <v>4</v>
      </c>
      <c r="P630" s="2">
        <v>5</v>
      </c>
      <c r="Q630" s="2">
        <v>0</v>
      </c>
      <c r="R630" s="2">
        <v>0</v>
      </c>
      <c r="S630" s="11">
        <v>1</v>
      </c>
      <c r="T630" s="11">
        <v>1</v>
      </c>
      <c r="U630" s="11">
        <v>1</v>
      </c>
      <c r="V630" s="2">
        <v>0</v>
      </c>
      <c r="W630" s="2">
        <v>1</v>
      </c>
      <c r="X630" s="2">
        <v>0</v>
      </c>
      <c r="Y630" s="2">
        <v>1</v>
      </c>
      <c r="Z630" s="26" t="s">
        <v>5167</v>
      </c>
      <c r="AA630" s="31">
        <v>1941.06</v>
      </c>
    </row>
    <row r="631" spans="1:27" ht="16" x14ac:dyDescent="0.2">
      <c r="A631" s="3" t="s">
        <v>1888</v>
      </c>
      <c r="B631" s="2" t="s">
        <v>1889</v>
      </c>
      <c r="C631" s="8">
        <v>15094</v>
      </c>
      <c r="D631" s="2">
        <v>1941</v>
      </c>
      <c r="E631" s="2">
        <v>1940</v>
      </c>
      <c r="F631" s="2">
        <v>0</v>
      </c>
      <c r="G631" s="2">
        <v>0</v>
      </c>
      <c r="H631" s="3" t="s">
        <v>27</v>
      </c>
      <c r="I631" s="3" t="s">
        <v>4908</v>
      </c>
      <c r="J631" s="3" t="s">
        <v>1890</v>
      </c>
      <c r="K631" s="21" t="s">
        <v>1673</v>
      </c>
      <c r="L631" s="10">
        <v>12970</v>
      </c>
      <c r="M631" s="4">
        <v>69</v>
      </c>
      <c r="N631" s="2">
        <v>74</v>
      </c>
      <c r="O631" s="2">
        <v>6</v>
      </c>
      <c r="Q631" s="2">
        <v>1</v>
      </c>
      <c r="R631" s="2">
        <v>0</v>
      </c>
      <c r="S631" s="11">
        <v>1</v>
      </c>
      <c r="T631" s="11">
        <v>1</v>
      </c>
      <c r="U631" s="11">
        <v>0</v>
      </c>
      <c r="V631" s="2">
        <v>0</v>
      </c>
      <c r="W631" s="2">
        <v>1</v>
      </c>
      <c r="X631" s="2">
        <v>3</v>
      </c>
      <c r="Y631" s="2">
        <v>0</v>
      </c>
      <c r="Z631" s="26" t="s">
        <v>5167</v>
      </c>
      <c r="AA631" s="31">
        <v>1941.07</v>
      </c>
    </row>
    <row r="632" spans="1:27" ht="16" x14ac:dyDescent="0.2">
      <c r="A632" s="3" t="s">
        <v>1886</v>
      </c>
      <c r="B632" s="2" t="s">
        <v>1887</v>
      </c>
      <c r="C632" s="8">
        <v>15094</v>
      </c>
      <c r="D632" s="2">
        <v>1941</v>
      </c>
      <c r="E632" s="2">
        <v>1940</v>
      </c>
      <c r="F632" s="2">
        <v>0</v>
      </c>
      <c r="G632" s="2">
        <v>0</v>
      </c>
      <c r="H632" s="3" t="s">
        <v>27</v>
      </c>
      <c r="I632" s="3" t="s">
        <v>4908</v>
      </c>
      <c r="J632" s="3" t="s">
        <v>1672</v>
      </c>
      <c r="K632" s="21" t="s">
        <v>1673</v>
      </c>
      <c r="L632" s="10">
        <v>12970</v>
      </c>
      <c r="M632" s="4">
        <f>9+60</f>
        <v>69</v>
      </c>
      <c r="N632" s="2">
        <v>74</v>
      </c>
      <c r="O632" s="2">
        <v>4</v>
      </c>
      <c r="Q632" s="2">
        <v>1</v>
      </c>
      <c r="R632" s="2">
        <v>0</v>
      </c>
      <c r="S632" s="11">
        <v>1</v>
      </c>
      <c r="T632" s="11">
        <v>1</v>
      </c>
      <c r="U632" s="11">
        <v>0</v>
      </c>
      <c r="V632" s="2">
        <v>0</v>
      </c>
      <c r="W632" s="2">
        <v>1</v>
      </c>
      <c r="X632" s="2">
        <v>5</v>
      </c>
      <c r="Y632" s="2">
        <v>0</v>
      </c>
      <c r="Z632" s="26" t="s">
        <v>5167</v>
      </c>
      <c r="AA632" s="31">
        <v>1941.08</v>
      </c>
    </row>
    <row r="633" spans="1:27" ht="16" x14ac:dyDescent="0.2">
      <c r="A633" s="3" t="s">
        <v>1897</v>
      </c>
      <c r="B633" s="2" t="s">
        <v>1898</v>
      </c>
      <c r="C633" s="8">
        <v>15122</v>
      </c>
      <c r="D633" s="2">
        <v>1941</v>
      </c>
      <c r="E633" s="2">
        <v>1940</v>
      </c>
      <c r="F633" s="2">
        <v>0</v>
      </c>
      <c r="G633" s="2">
        <v>0</v>
      </c>
      <c r="H633" s="3" t="s">
        <v>27</v>
      </c>
      <c r="I633" s="3" t="s">
        <v>5048</v>
      </c>
      <c r="J633" s="3" t="s">
        <v>1899</v>
      </c>
      <c r="K633" s="21" t="s">
        <v>1236</v>
      </c>
      <c r="L633" s="10">
        <v>3351</v>
      </c>
      <c r="M633" s="4">
        <f>2+(12*32)</f>
        <v>386</v>
      </c>
      <c r="N633" s="2">
        <v>60</v>
      </c>
      <c r="O633" s="2">
        <v>5</v>
      </c>
      <c r="Q633" s="2">
        <v>1</v>
      </c>
      <c r="R633" s="2">
        <v>0</v>
      </c>
      <c r="S633" s="11">
        <v>1</v>
      </c>
      <c r="T633" s="11">
        <v>0</v>
      </c>
      <c r="U633" s="11">
        <v>1</v>
      </c>
      <c r="V633" s="2">
        <v>0</v>
      </c>
      <c r="W633" s="2">
        <v>1</v>
      </c>
      <c r="X633" s="2">
        <v>3</v>
      </c>
      <c r="Y633" s="2">
        <v>1</v>
      </c>
      <c r="Z633" s="26" t="s">
        <v>5167</v>
      </c>
      <c r="AA633" s="31">
        <v>1941.09</v>
      </c>
    </row>
    <row r="634" spans="1:27" ht="16" x14ac:dyDescent="0.2">
      <c r="A634" s="3" t="s">
        <v>1878</v>
      </c>
      <c r="B634" s="2" t="s">
        <v>1879</v>
      </c>
      <c r="C634" s="8">
        <v>15129</v>
      </c>
      <c r="D634" s="2">
        <v>1941</v>
      </c>
      <c r="E634" s="2">
        <v>1940</v>
      </c>
      <c r="F634" s="2">
        <v>0</v>
      </c>
      <c r="G634" s="2">
        <v>0</v>
      </c>
      <c r="H634" s="3" t="s">
        <v>27</v>
      </c>
      <c r="I634" s="3" t="s">
        <v>1880</v>
      </c>
      <c r="J634" s="3" t="s">
        <v>1880</v>
      </c>
      <c r="K634" s="3" t="s">
        <v>1881</v>
      </c>
      <c r="L634" s="10">
        <v>14059</v>
      </c>
      <c r="M634" s="4">
        <f>11+24</f>
        <v>35</v>
      </c>
      <c r="N634" s="2">
        <v>75</v>
      </c>
      <c r="O634" s="2">
        <v>5</v>
      </c>
      <c r="Q634" s="2">
        <v>0</v>
      </c>
      <c r="R634" s="2">
        <v>0</v>
      </c>
      <c r="S634" s="11">
        <v>1</v>
      </c>
      <c r="T634" s="11">
        <v>0</v>
      </c>
      <c r="U634" s="11">
        <v>0</v>
      </c>
      <c r="V634" s="2">
        <v>0</v>
      </c>
      <c r="W634" s="2">
        <v>0</v>
      </c>
      <c r="X634" s="2">
        <v>0</v>
      </c>
      <c r="Y634" s="2">
        <v>0</v>
      </c>
      <c r="Z634" s="26" t="s">
        <v>5167</v>
      </c>
      <c r="AA634" s="31">
        <v>1941.1</v>
      </c>
    </row>
    <row r="635" spans="1:27" ht="16" x14ac:dyDescent="0.2">
      <c r="A635" s="3" t="s">
        <v>1872</v>
      </c>
      <c r="B635" s="2" t="s">
        <v>1873</v>
      </c>
      <c r="C635" s="8">
        <v>15332</v>
      </c>
      <c r="D635" s="2">
        <v>1941</v>
      </c>
      <c r="E635" s="2">
        <v>1940</v>
      </c>
      <c r="F635" s="2">
        <v>0</v>
      </c>
      <c r="G635" s="2">
        <v>0</v>
      </c>
      <c r="H635" s="3" t="s">
        <v>27</v>
      </c>
      <c r="I635" s="3" t="s">
        <v>4891</v>
      </c>
      <c r="J635" s="3" t="s">
        <v>1874</v>
      </c>
      <c r="K635" s="21" t="s">
        <v>1875</v>
      </c>
      <c r="L635" s="10">
        <v>13026</v>
      </c>
      <c r="M635" s="4">
        <f>4+72</f>
        <v>76</v>
      </c>
      <c r="N635" s="2">
        <v>74</v>
      </c>
      <c r="O635" s="2">
        <v>6</v>
      </c>
      <c r="P635" s="2">
        <v>4</v>
      </c>
      <c r="Q635" s="2">
        <v>0</v>
      </c>
      <c r="R635" s="2">
        <v>0</v>
      </c>
      <c r="S635" s="11">
        <v>1</v>
      </c>
      <c r="T635" s="11">
        <v>1</v>
      </c>
      <c r="U635" s="11">
        <v>1</v>
      </c>
      <c r="V635" s="2">
        <v>0</v>
      </c>
      <c r="W635" s="2">
        <v>1</v>
      </c>
      <c r="X635" s="2">
        <v>0</v>
      </c>
      <c r="Y635" s="2">
        <v>0</v>
      </c>
      <c r="Z635" s="26" t="s">
        <v>5167</v>
      </c>
      <c r="AA635" s="31">
        <v>1941.11</v>
      </c>
    </row>
    <row r="636" spans="1:27" ht="16" x14ac:dyDescent="0.2">
      <c r="A636" t="s">
        <v>1876</v>
      </c>
      <c r="B636" s="2" t="s">
        <v>1877</v>
      </c>
      <c r="C636" s="8">
        <v>15332</v>
      </c>
      <c r="D636" s="2">
        <v>1941</v>
      </c>
      <c r="E636" s="2">
        <v>1940</v>
      </c>
      <c r="F636" s="2">
        <v>0</v>
      </c>
      <c r="G636" s="2">
        <v>0</v>
      </c>
      <c r="H636" t="s">
        <v>27</v>
      </c>
      <c r="I636" t="s">
        <v>4908</v>
      </c>
      <c r="J636" t="s">
        <v>1672</v>
      </c>
      <c r="K636" s="21" t="s">
        <v>1673</v>
      </c>
      <c r="L636" s="10">
        <v>12970</v>
      </c>
      <c r="M636">
        <f>5+(6*12)</f>
        <v>77</v>
      </c>
      <c r="N636" s="2">
        <v>74</v>
      </c>
      <c r="O636" s="2">
        <v>2</v>
      </c>
      <c r="Q636" s="2">
        <v>1</v>
      </c>
      <c r="R636" s="2">
        <v>1</v>
      </c>
      <c r="S636" s="11">
        <v>1</v>
      </c>
      <c r="T636" s="11">
        <v>1</v>
      </c>
      <c r="U636" s="11">
        <v>1</v>
      </c>
      <c r="V636" s="2">
        <v>0</v>
      </c>
      <c r="W636" s="2">
        <v>1</v>
      </c>
      <c r="X636" s="2">
        <v>0</v>
      </c>
      <c r="Y636" s="2">
        <v>0</v>
      </c>
      <c r="Z636" s="26" t="s">
        <v>5167</v>
      </c>
      <c r="AA636" s="31">
        <v>1941.12</v>
      </c>
    </row>
    <row r="637" spans="1:27" ht="16" x14ac:dyDescent="0.2">
      <c r="A637" s="3" t="s">
        <v>1866</v>
      </c>
      <c r="B637" s="2" t="s">
        <v>1867</v>
      </c>
      <c r="C637" s="8">
        <v>15290</v>
      </c>
      <c r="D637" s="2">
        <v>1941</v>
      </c>
      <c r="E637" s="2">
        <v>1940</v>
      </c>
      <c r="F637" s="2">
        <v>0</v>
      </c>
      <c r="G637" s="2">
        <v>0</v>
      </c>
      <c r="H637" s="3" t="s">
        <v>27</v>
      </c>
      <c r="I637" s="3" t="s">
        <v>4923</v>
      </c>
      <c r="J637" s="21" t="s">
        <v>1793</v>
      </c>
      <c r="K637" s="21" t="s">
        <v>1276</v>
      </c>
      <c r="L637" s="10">
        <v>6043</v>
      </c>
      <c r="M637" s="4">
        <f>(12*25)+4</f>
        <v>304</v>
      </c>
      <c r="N637" s="2">
        <v>64</v>
      </c>
      <c r="O637" s="2">
        <v>5</v>
      </c>
      <c r="Q637" s="2">
        <v>1</v>
      </c>
      <c r="R637" s="2">
        <v>0</v>
      </c>
      <c r="S637" s="11">
        <v>1</v>
      </c>
      <c r="T637" s="11">
        <v>1</v>
      </c>
      <c r="U637" s="11">
        <v>1</v>
      </c>
      <c r="V637" s="2">
        <v>0</v>
      </c>
      <c r="W637" s="2">
        <v>0</v>
      </c>
      <c r="X637" s="2">
        <v>0</v>
      </c>
      <c r="Y637" s="2">
        <v>0</v>
      </c>
      <c r="Z637" s="26" t="s">
        <v>5167</v>
      </c>
      <c r="AA637" s="31">
        <v>1941.13</v>
      </c>
    </row>
    <row r="638" spans="1:27" ht="16" x14ac:dyDescent="0.2">
      <c r="A638" s="3" t="s">
        <v>1917</v>
      </c>
      <c r="B638" s="2" t="s">
        <v>1918</v>
      </c>
      <c r="C638" s="8">
        <v>15346</v>
      </c>
      <c r="D638" s="2">
        <v>1942</v>
      </c>
      <c r="E638" s="2">
        <v>1940</v>
      </c>
      <c r="F638" s="2">
        <v>0</v>
      </c>
      <c r="G638" s="2">
        <v>0</v>
      </c>
      <c r="H638" s="3" t="s">
        <v>27</v>
      </c>
      <c r="I638" s="3" t="s">
        <v>4913</v>
      </c>
      <c r="J638" s="3" t="s">
        <v>1919</v>
      </c>
      <c r="K638" s="21" t="s">
        <v>1727</v>
      </c>
      <c r="L638" s="10">
        <v>11846</v>
      </c>
      <c r="M638" s="4">
        <f>(9*12)+7</f>
        <v>115</v>
      </c>
      <c r="N638" s="2">
        <v>72</v>
      </c>
      <c r="O638" s="2">
        <v>1</v>
      </c>
      <c r="P638" s="2">
        <v>6</v>
      </c>
      <c r="Q638" s="2">
        <v>0</v>
      </c>
      <c r="R638" s="2">
        <v>0</v>
      </c>
      <c r="S638" s="11">
        <v>1</v>
      </c>
      <c r="T638" s="11">
        <v>1</v>
      </c>
      <c r="U638" s="11">
        <v>1</v>
      </c>
      <c r="V638" s="2">
        <v>0</v>
      </c>
      <c r="W638" s="2">
        <v>1</v>
      </c>
      <c r="X638" s="2">
        <v>0</v>
      </c>
      <c r="Y638" s="2">
        <v>0</v>
      </c>
      <c r="Z638" s="26" t="s">
        <v>5167</v>
      </c>
      <c r="AA638" s="31">
        <v>1942.01</v>
      </c>
    </row>
    <row r="639" spans="1:27" ht="16" x14ac:dyDescent="0.2">
      <c r="A639" s="3" t="s">
        <v>1920</v>
      </c>
      <c r="B639" s="2" t="s">
        <v>1921</v>
      </c>
      <c r="C639" s="8">
        <v>15374</v>
      </c>
      <c r="D639" s="2">
        <v>1942</v>
      </c>
      <c r="E639" s="2">
        <v>1940</v>
      </c>
      <c r="F639" s="2">
        <v>0</v>
      </c>
      <c r="G639" s="2">
        <v>0</v>
      </c>
      <c r="H639" s="3" t="s">
        <v>27</v>
      </c>
      <c r="I639" s="3" t="s">
        <v>4745</v>
      </c>
      <c r="J639" s="3" t="s">
        <v>1922</v>
      </c>
      <c r="K639" s="21" t="s">
        <v>1828</v>
      </c>
      <c r="L639" s="10">
        <v>13669</v>
      </c>
      <c r="M639" s="4">
        <f>8+48</f>
        <v>56</v>
      </c>
      <c r="N639" s="2">
        <v>75</v>
      </c>
      <c r="O639" s="2">
        <v>5</v>
      </c>
      <c r="Q639" s="2">
        <v>0</v>
      </c>
      <c r="R639" s="2">
        <v>0</v>
      </c>
      <c r="S639" s="11">
        <v>1</v>
      </c>
      <c r="T639" s="11">
        <v>1</v>
      </c>
      <c r="U639" s="11">
        <v>1</v>
      </c>
      <c r="V639" s="2">
        <v>0</v>
      </c>
      <c r="W639" s="2">
        <v>1</v>
      </c>
      <c r="X639" s="2">
        <v>0</v>
      </c>
      <c r="Y639" s="2">
        <v>0</v>
      </c>
      <c r="Z639" s="26" t="s">
        <v>5167</v>
      </c>
      <c r="AA639" s="31">
        <v>1942.02</v>
      </c>
    </row>
    <row r="640" spans="1:27" ht="16" x14ac:dyDescent="0.2">
      <c r="A640" s="3" t="s">
        <v>1910</v>
      </c>
      <c r="B640" s="2" t="s">
        <v>1911</v>
      </c>
      <c r="C640" s="8">
        <v>15416</v>
      </c>
      <c r="D640" s="2">
        <v>1942</v>
      </c>
      <c r="E640" s="2">
        <v>1940</v>
      </c>
      <c r="F640" s="2">
        <v>0</v>
      </c>
      <c r="G640" s="2">
        <v>0</v>
      </c>
      <c r="H640" s="3" t="s">
        <v>27</v>
      </c>
      <c r="I640" s="3" t="s">
        <v>4924</v>
      </c>
      <c r="J640" s="3" t="s">
        <v>1912</v>
      </c>
      <c r="K640" s="21" t="s">
        <v>1913</v>
      </c>
      <c r="L640" s="10">
        <v>14052</v>
      </c>
      <c r="M640" s="4">
        <v>44</v>
      </c>
      <c r="N640" s="2">
        <v>75</v>
      </c>
      <c r="O640" s="2">
        <v>5</v>
      </c>
      <c r="P640" s="2">
        <v>4</v>
      </c>
      <c r="Q640" s="2">
        <v>1</v>
      </c>
      <c r="R640" s="2">
        <v>1</v>
      </c>
      <c r="S640" s="11">
        <v>1</v>
      </c>
      <c r="T640" s="11">
        <v>1</v>
      </c>
      <c r="U640" s="11">
        <v>1</v>
      </c>
      <c r="V640" s="2">
        <v>0</v>
      </c>
      <c r="W640" s="2">
        <v>1</v>
      </c>
      <c r="X640" s="2">
        <v>0</v>
      </c>
      <c r="Y640" s="2">
        <v>0</v>
      </c>
      <c r="Z640" s="26" t="s">
        <v>5167</v>
      </c>
      <c r="AA640" s="31">
        <v>1942.03</v>
      </c>
    </row>
    <row r="641" spans="1:27" ht="16" x14ac:dyDescent="0.2">
      <c r="A641" s="3" t="s">
        <v>1906</v>
      </c>
      <c r="B641" s="2" t="s">
        <v>1907</v>
      </c>
      <c r="C641" s="8">
        <v>15493</v>
      </c>
      <c r="D641" s="2">
        <v>1942</v>
      </c>
      <c r="E641" s="2">
        <v>1940</v>
      </c>
      <c r="F641" s="2">
        <v>0</v>
      </c>
      <c r="G641" s="2">
        <v>0</v>
      </c>
      <c r="H641" s="3" t="s">
        <v>27</v>
      </c>
      <c r="I641" s="3" t="s">
        <v>4856</v>
      </c>
      <c r="J641" s="3" t="s">
        <v>1884</v>
      </c>
      <c r="K641" s="3" t="s">
        <v>1885</v>
      </c>
      <c r="L641" s="10">
        <v>14056</v>
      </c>
      <c r="M641" s="4">
        <v>47</v>
      </c>
      <c r="N641" s="2">
        <v>75</v>
      </c>
      <c r="O641" s="2">
        <v>5</v>
      </c>
      <c r="Q641" s="2">
        <v>1</v>
      </c>
      <c r="R641" s="2">
        <v>0</v>
      </c>
      <c r="S641" s="11">
        <v>1</v>
      </c>
      <c r="T641" s="11">
        <v>1</v>
      </c>
      <c r="U641" s="11">
        <v>0</v>
      </c>
      <c r="V641" s="2">
        <v>0</v>
      </c>
      <c r="W641" s="2">
        <v>1</v>
      </c>
      <c r="X641" s="2">
        <v>1</v>
      </c>
      <c r="Y641" s="2">
        <v>0</v>
      </c>
      <c r="Z641" s="26" t="s">
        <v>5167</v>
      </c>
      <c r="AA641" s="31">
        <v>1942.04</v>
      </c>
    </row>
    <row r="642" spans="1:27" ht="16" x14ac:dyDescent="0.2">
      <c r="A642" s="3" t="s">
        <v>1914</v>
      </c>
      <c r="B642" s="2" t="s">
        <v>1915</v>
      </c>
      <c r="C642" s="8">
        <v>15500</v>
      </c>
      <c r="D642" s="2">
        <v>1942</v>
      </c>
      <c r="E642" s="2">
        <v>1940</v>
      </c>
      <c r="F642" s="2">
        <v>0</v>
      </c>
      <c r="G642" s="2">
        <v>0</v>
      </c>
      <c r="H642" s="3" t="s">
        <v>27</v>
      </c>
      <c r="I642" s="3" t="s">
        <v>4856</v>
      </c>
      <c r="J642" s="3" t="s">
        <v>1916</v>
      </c>
      <c r="K642" s="3" t="s">
        <v>1885</v>
      </c>
      <c r="L642" s="10">
        <v>14056</v>
      </c>
      <c r="M642" s="4">
        <f>11+36</f>
        <v>47</v>
      </c>
      <c r="N642" s="2">
        <v>75</v>
      </c>
      <c r="O642" s="2">
        <v>5</v>
      </c>
      <c r="Q642" s="2">
        <v>1</v>
      </c>
      <c r="R642" s="2">
        <v>0</v>
      </c>
      <c r="S642" s="11">
        <v>1</v>
      </c>
      <c r="T642" s="11">
        <v>1</v>
      </c>
      <c r="U642" s="11">
        <v>0</v>
      </c>
      <c r="V642" s="2">
        <v>0</v>
      </c>
      <c r="W642" s="2">
        <v>0</v>
      </c>
      <c r="X642" s="2">
        <v>1</v>
      </c>
      <c r="Y642" s="2">
        <v>0</v>
      </c>
      <c r="Z642" s="26" t="s">
        <v>5167</v>
      </c>
      <c r="AA642" s="31">
        <v>1942.05</v>
      </c>
    </row>
    <row r="643" spans="1:27" ht="16" x14ac:dyDescent="0.2">
      <c r="A643" s="3" t="s">
        <v>1908</v>
      </c>
      <c r="B643" s="2" t="s">
        <v>1909</v>
      </c>
      <c r="C643" s="8">
        <v>15643</v>
      </c>
      <c r="D643" s="2">
        <v>1942</v>
      </c>
      <c r="E643" s="2">
        <v>1940</v>
      </c>
      <c r="F643" s="2">
        <v>0</v>
      </c>
      <c r="G643" s="2">
        <v>0</v>
      </c>
      <c r="H643" s="3" t="s">
        <v>27</v>
      </c>
      <c r="I643" s="3" t="s">
        <v>5046</v>
      </c>
      <c r="J643" s="3" t="s">
        <v>4692</v>
      </c>
      <c r="K643" s="3" t="s">
        <v>4693</v>
      </c>
      <c r="L643" s="10">
        <v>7461</v>
      </c>
      <c r="M643" s="4">
        <f>4+(22*12)</f>
        <v>268</v>
      </c>
      <c r="N643" s="2">
        <v>66</v>
      </c>
      <c r="O643" s="2">
        <v>1</v>
      </c>
      <c r="P643" s="2">
        <v>6</v>
      </c>
      <c r="Q643" s="2">
        <v>0</v>
      </c>
      <c r="R643" s="2">
        <v>0</v>
      </c>
      <c r="S643" s="11">
        <v>1</v>
      </c>
      <c r="T643" s="11">
        <v>1</v>
      </c>
      <c r="U643" s="11">
        <v>0</v>
      </c>
      <c r="V643" s="2">
        <v>0</v>
      </c>
      <c r="W643" s="2">
        <v>1</v>
      </c>
      <c r="X643" s="2">
        <v>0</v>
      </c>
      <c r="Y643" s="2">
        <v>1</v>
      </c>
      <c r="Z643" s="26" t="s">
        <v>5167</v>
      </c>
      <c r="AA643" s="31">
        <v>1942.06</v>
      </c>
    </row>
    <row r="644" spans="1:27" ht="16" x14ac:dyDescent="0.2">
      <c r="A644" s="3" t="s">
        <v>1923</v>
      </c>
      <c r="B644" s="2" t="s">
        <v>1924</v>
      </c>
      <c r="C644" s="8">
        <v>15627</v>
      </c>
      <c r="D644" s="2">
        <v>1942</v>
      </c>
      <c r="E644" s="2">
        <v>1940</v>
      </c>
      <c r="F644" s="2">
        <v>0</v>
      </c>
      <c r="G644" s="2">
        <v>0</v>
      </c>
      <c r="H644" s="3" t="s">
        <v>27</v>
      </c>
      <c r="I644" s="3" t="s">
        <v>4925</v>
      </c>
      <c r="J644" s="3" t="s">
        <v>1925</v>
      </c>
      <c r="K644" s="21" t="s">
        <v>1926</v>
      </c>
      <c r="L644" s="10">
        <v>15122</v>
      </c>
      <c r="M644" s="4">
        <v>17</v>
      </c>
      <c r="N644" s="2">
        <v>77</v>
      </c>
      <c r="O644" s="2">
        <v>5</v>
      </c>
      <c r="P644" s="2">
        <v>4</v>
      </c>
      <c r="Q644" s="2">
        <v>1</v>
      </c>
      <c r="R644" s="2">
        <v>1</v>
      </c>
      <c r="S644" s="11">
        <v>1</v>
      </c>
      <c r="T644" s="11">
        <v>0</v>
      </c>
      <c r="U644" s="11">
        <v>1</v>
      </c>
      <c r="V644" s="2">
        <v>0</v>
      </c>
      <c r="W644" s="2">
        <v>1</v>
      </c>
      <c r="X644" s="2">
        <v>0</v>
      </c>
      <c r="Y644" s="2">
        <v>0</v>
      </c>
      <c r="Z644" s="26" t="s">
        <v>5167</v>
      </c>
      <c r="AA644" s="31">
        <v>1942.07</v>
      </c>
    </row>
    <row r="645" spans="1:27" ht="16" x14ac:dyDescent="0.2">
      <c r="A645" t="s">
        <v>1931</v>
      </c>
      <c r="B645" s="2" t="s">
        <v>1932</v>
      </c>
      <c r="C645" s="8">
        <v>15710</v>
      </c>
      <c r="D645" s="2">
        <v>1943</v>
      </c>
      <c r="E645" s="2">
        <v>1940</v>
      </c>
      <c r="F645" s="2">
        <v>0</v>
      </c>
      <c r="G645" s="2">
        <v>0</v>
      </c>
      <c r="H645" t="s">
        <v>27</v>
      </c>
      <c r="I645" t="s">
        <v>4891</v>
      </c>
      <c r="J645" s="3" t="s">
        <v>1657</v>
      </c>
      <c r="K645" s="21" t="s">
        <v>1416</v>
      </c>
      <c r="L645" s="10">
        <v>9554</v>
      </c>
      <c r="M645">
        <f>11+(12*16)</f>
        <v>203</v>
      </c>
      <c r="N645" s="2">
        <v>69</v>
      </c>
      <c r="O645" s="2">
        <v>4</v>
      </c>
      <c r="Q645" s="2">
        <v>1</v>
      </c>
      <c r="R645" s="2">
        <v>0</v>
      </c>
      <c r="S645" s="11">
        <v>1</v>
      </c>
      <c r="T645" s="11">
        <v>1</v>
      </c>
      <c r="U645" s="11">
        <v>0</v>
      </c>
      <c r="V645" s="2">
        <v>0</v>
      </c>
      <c r="W645" s="2">
        <v>1</v>
      </c>
      <c r="X645" s="2">
        <v>0</v>
      </c>
      <c r="Y645" s="2">
        <v>1</v>
      </c>
      <c r="Z645" s="26" t="s">
        <v>5167</v>
      </c>
      <c r="AA645" s="31">
        <v>1943.01</v>
      </c>
    </row>
    <row r="646" spans="1:27" ht="16" x14ac:dyDescent="0.2">
      <c r="A646" s="3" t="s">
        <v>1939</v>
      </c>
      <c r="B646" s="2" t="s">
        <v>1940</v>
      </c>
      <c r="C646" s="8">
        <v>15717</v>
      </c>
      <c r="D646" s="2">
        <v>1943</v>
      </c>
      <c r="E646" s="2">
        <v>1940</v>
      </c>
      <c r="F646" s="2">
        <v>0</v>
      </c>
      <c r="G646" s="2">
        <v>0</v>
      </c>
      <c r="H646" s="3" t="s">
        <v>27</v>
      </c>
      <c r="I646" s="3" t="s">
        <v>4913</v>
      </c>
      <c r="J646" s="21" t="s">
        <v>1941</v>
      </c>
      <c r="K646" s="21" t="s">
        <v>1727</v>
      </c>
      <c r="L646" s="10">
        <v>11846</v>
      </c>
      <c r="M646" s="4">
        <f>120+7</f>
        <v>127</v>
      </c>
      <c r="N646" s="2">
        <v>72</v>
      </c>
      <c r="O646" s="2">
        <v>4</v>
      </c>
      <c r="Q646" s="2">
        <v>0</v>
      </c>
      <c r="R646" s="2">
        <v>0</v>
      </c>
      <c r="S646" s="11">
        <v>1</v>
      </c>
      <c r="T646" s="11">
        <v>1</v>
      </c>
      <c r="U646" s="11">
        <v>1</v>
      </c>
      <c r="V646" s="2">
        <v>0</v>
      </c>
      <c r="W646" s="2">
        <v>1</v>
      </c>
      <c r="X646" s="2">
        <v>0</v>
      </c>
      <c r="Y646" s="2">
        <v>0</v>
      </c>
      <c r="Z646" s="26" t="s">
        <v>5167</v>
      </c>
      <c r="AA646" s="31">
        <v>1943.02</v>
      </c>
    </row>
    <row r="647" spans="1:27" ht="16" x14ac:dyDescent="0.2">
      <c r="A647" t="s">
        <v>1935</v>
      </c>
      <c r="B647" s="2" t="s">
        <v>1936</v>
      </c>
      <c r="C647" s="8">
        <v>15717</v>
      </c>
      <c r="D647" s="2">
        <v>1943</v>
      </c>
      <c r="E647" s="2">
        <v>1940</v>
      </c>
      <c r="F647" s="2">
        <v>0</v>
      </c>
      <c r="G647" s="2">
        <v>0</v>
      </c>
      <c r="H647" t="s">
        <v>27</v>
      </c>
      <c r="I647" t="s">
        <v>1937</v>
      </c>
      <c r="J647" t="s">
        <v>1937</v>
      </c>
      <c r="K647" s="21" t="s">
        <v>1938</v>
      </c>
      <c r="L647" s="10">
        <v>12965</v>
      </c>
      <c r="M647">
        <f>7+(12*7)</f>
        <v>91</v>
      </c>
      <c r="N647" s="2">
        <v>74</v>
      </c>
      <c r="O647" s="2">
        <v>1</v>
      </c>
      <c r="P647" s="2">
        <v>4</v>
      </c>
      <c r="Q647" s="2">
        <v>1</v>
      </c>
      <c r="R647" s="2">
        <v>0</v>
      </c>
      <c r="S647" s="11">
        <v>1</v>
      </c>
      <c r="T647" s="11">
        <v>1</v>
      </c>
      <c r="U647" s="11">
        <v>1</v>
      </c>
      <c r="V647" s="2">
        <v>0</v>
      </c>
      <c r="W647" s="2">
        <v>1</v>
      </c>
      <c r="X647" s="2">
        <v>2</v>
      </c>
      <c r="Y647" s="2">
        <v>0</v>
      </c>
      <c r="Z647" s="26" t="s">
        <v>5167</v>
      </c>
      <c r="AA647" s="31">
        <v>1943.03</v>
      </c>
    </row>
    <row r="648" spans="1:27" ht="16" x14ac:dyDescent="0.2">
      <c r="A648" s="3" t="s">
        <v>1965</v>
      </c>
      <c r="B648" s="2" t="s">
        <v>1966</v>
      </c>
      <c r="C648" s="8">
        <v>15724</v>
      </c>
      <c r="D648" s="2">
        <v>1943</v>
      </c>
      <c r="E648" s="2">
        <v>1940</v>
      </c>
      <c r="F648" s="2">
        <v>0</v>
      </c>
      <c r="G648" s="2">
        <v>0</v>
      </c>
      <c r="H648" s="3" t="s">
        <v>27</v>
      </c>
      <c r="I648" s="3" t="s">
        <v>1967</v>
      </c>
      <c r="J648" s="3" t="s">
        <v>1967</v>
      </c>
      <c r="K648" s="15"/>
      <c r="L648" s="4" t="s">
        <v>1968</v>
      </c>
      <c r="M648" s="4">
        <f>10+(12*79)</f>
        <v>958</v>
      </c>
      <c r="N648" s="2">
        <v>37</v>
      </c>
      <c r="O648" s="2">
        <v>1</v>
      </c>
      <c r="Q648" s="2">
        <v>0</v>
      </c>
      <c r="R648" s="2">
        <v>0</v>
      </c>
      <c r="S648" s="11">
        <v>1</v>
      </c>
      <c r="T648" s="11">
        <v>1</v>
      </c>
      <c r="U648" s="11">
        <v>1</v>
      </c>
      <c r="V648" s="2">
        <v>0</v>
      </c>
      <c r="W648" s="2">
        <v>1</v>
      </c>
      <c r="X648" s="2">
        <v>1</v>
      </c>
      <c r="Y648" s="2">
        <v>1</v>
      </c>
      <c r="Z648" s="26" t="s">
        <v>5167</v>
      </c>
      <c r="AA648" s="31">
        <v>1943.04</v>
      </c>
    </row>
    <row r="649" spans="1:27" ht="16" x14ac:dyDescent="0.2">
      <c r="A649" s="3" t="s">
        <v>1963</v>
      </c>
      <c r="B649" s="2" t="s">
        <v>1964</v>
      </c>
      <c r="C649" s="8">
        <v>15745</v>
      </c>
      <c r="D649" s="2">
        <v>1943</v>
      </c>
      <c r="E649" s="2">
        <v>1940</v>
      </c>
      <c r="F649" s="2">
        <v>0</v>
      </c>
      <c r="G649" s="2">
        <v>0</v>
      </c>
      <c r="H649" s="3" t="s">
        <v>27</v>
      </c>
      <c r="I649" s="3" t="s">
        <v>4904</v>
      </c>
      <c r="J649" s="3" t="s">
        <v>1630</v>
      </c>
      <c r="K649" s="21" t="s">
        <v>1631</v>
      </c>
      <c r="L649" s="10">
        <v>12116</v>
      </c>
      <c r="M649" s="4">
        <f>11+(9*12)</f>
        <v>119</v>
      </c>
      <c r="N649" s="2">
        <v>72</v>
      </c>
      <c r="O649" s="2">
        <v>4</v>
      </c>
      <c r="P649" s="2">
        <v>6</v>
      </c>
      <c r="Q649" s="2">
        <v>0</v>
      </c>
      <c r="R649" s="2">
        <v>0</v>
      </c>
      <c r="S649" s="11">
        <v>1</v>
      </c>
      <c r="T649" s="11">
        <v>1</v>
      </c>
      <c r="U649" s="11">
        <v>1</v>
      </c>
      <c r="V649" s="2">
        <v>0</v>
      </c>
      <c r="W649" s="2">
        <v>0</v>
      </c>
      <c r="X649" s="2">
        <v>0</v>
      </c>
      <c r="Y649" s="2">
        <v>0</v>
      </c>
      <c r="Z649" s="26" t="s">
        <v>5167</v>
      </c>
      <c r="AA649" s="31">
        <v>1943.05</v>
      </c>
    </row>
    <row r="650" spans="1:27" ht="16" x14ac:dyDescent="0.2">
      <c r="A650" s="3" t="s">
        <v>1950</v>
      </c>
      <c r="B650" s="2" t="s">
        <v>1951</v>
      </c>
      <c r="C650" s="8">
        <v>15766</v>
      </c>
      <c r="D650" s="2">
        <v>1943</v>
      </c>
      <c r="E650" s="2">
        <v>1940</v>
      </c>
      <c r="F650" s="2">
        <v>0</v>
      </c>
      <c r="G650" s="2">
        <v>0</v>
      </c>
      <c r="H650" s="3" t="s">
        <v>27</v>
      </c>
      <c r="I650" s="3" t="s">
        <v>1952</v>
      </c>
      <c r="J650" s="3" t="s">
        <v>1952</v>
      </c>
      <c r="K650" s="21" t="s">
        <v>1953</v>
      </c>
      <c r="L650" s="10">
        <v>13229</v>
      </c>
      <c r="M650" s="4">
        <f>11+(12*6)</f>
        <v>83</v>
      </c>
      <c r="N650" s="2">
        <v>74</v>
      </c>
      <c r="O650" s="2">
        <v>5</v>
      </c>
      <c r="P650" s="2">
        <v>1</v>
      </c>
      <c r="Q650" s="2">
        <v>0</v>
      </c>
      <c r="R650" s="2">
        <v>0</v>
      </c>
      <c r="S650" s="11">
        <v>1</v>
      </c>
      <c r="T650" s="11">
        <v>1</v>
      </c>
      <c r="U650" s="11">
        <v>0</v>
      </c>
      <c r="V650" s="2">
        <v>0</v>
      </c>
      <c r="W650" s="2">
        <v>0</v>
      </c>
      <c r="X650" s="2">
        <v>0</v>
      </c>
      <c r="Y650" s="2">
        <v>0</v>
      </c>
      <c r="Z650" s="26" t="s">
        <v>5167</v>
      </c>
      <c r="AA650" s="31">
        <v>1943.06</v>
      </c>
    </row>
    <row r="651" spans="1:27" ht="16" x14ac:dyDescent="0.2">
      <c r="A651" s="3" t="s">
        <v>1960</v>
      </c>
      <c r="B651" s="8" t="s">
        <v>1961</v>
      </c>
      <c r="C651" s="8">
        <v>15738</v>
      </c>
      <c r="D651" s="2">
        <v>1943</v>
      </c>
      <c r="E651" s="2">
        <v>1940</v>
      </c>
      <c r="F651" s="2">
        <v>0</v>
      </c>
      <c r="G651" s="2">
        <v>0</v>
      </c>
      <c r="H651" s="3" t="s">
        <v>27</v>
      </c>
      <c r="I651" s="3" t="s">
        <v>4901</v>
      </c>
      <c r="J651" s="3" t="s">
        <v>1962</v>
      </c>
      <c r="K651" s="21" t="s">
        <v>1288</v>
      </c>
      <c r="L651" s="10">
        <v>7462</v>
      </c>
      <c r="M651" s="4">
        <f>8+(12*22)</f>
        <v>272</v>
      </c>
      <c r="N651" s="2">
        <v>66</v>
      </c>
      <c r="O651" s="2">
        <v>5</v>
      </c>
      <c r="Q651" s="2">
        <v>1</v>
      </c>
      <c r="R651" s="2">
        <v>0</v>
      </c>
      <c r="S651" s="11">
        <v>0</v>
      </c>
      <c r="T651" s="11">
        <v>1</v>
      </c>
      <c r="U651" s="11">
        <v>1</v>
      </c>
      <c r="V651" s="2">
        <v>0</v>
      </c>
      <c r="W651" s="2">
        <v>0</v>
      </c>
      <c r="X651" s="2">
        <v>0</v>
      </c>
      <c r="Y651" s="2">
        <v>1</v>
      </c>
      <c r="Z651" s="26" t="s">
        <v>5167</v>
      </c>
      <c r="AA651" s="31">
        <v>1943.07</v>
      </c>
    </row>
    <row r="652" spans="1:27" ht="16" x14ac:dyDescent="0.2">
      <c r="A652" s="3" t="s">
        <v>1933</v>
      </c>
      <c r="B652" s="2" t="s">
        <v>1934</v>
      </c>
      <c r="C652" s="8">
        <v>15780</v>
      </c>
      <c r="D652" s="2">
        <v>1943</v>
      </c>
      <c r="E652" s="2">
        <v>1940</v>
      </c>
      <c r="F652" s="2">
        <v>0</v>
      </c>
      <c r="G652" s="2">
        <v>0</v>
      </c>
      <c r="H652" s="3" t="s">
        <v>27</v>
      </c>
      <c r="I652" s="3" t="s">
        <v>4904</v>
      </c>
      <c r="J652" s="21" t="s">
        <v>1630</v>
      </c>
      <c r="K652" s="21" t="s">
        <v>1631</v>
      </c>
      <c r="L652" s="10">
        <v>12116</v>
      </c>
      <c r="M652" s="4">
        <v>120</v>
      </c>
      <c r="N652" s="2">
        <v>72</v>
      </c>
      <c r="O652" s="2">
        <v>1</v>
      </c>
      <c r="Q652" s="2">
        <v>0</v>
      </c>
      <c r="R652" s="2">
        <v>0</v>
      </c>
      <c r="S652" s="11">
        <v>1</v>
      </c>
      <c r="T652" s="11">
        <v>1</v>
      </c>
      <c r="U652" s="11">
        <v>1</v>
      </c>
      <c r="V652" s="2">
        <v>0</v>
      </c>
      <c r="W652" s="2">
        <v>0</v>
      </c>
      <c r="X652" s="2">
        <v>0</v>
      </c>
      <c r="Y652" s="2">
        <v>0</v>
      </c>
      <c r="Z652" s="26" t="s">
        <v>5167</v>
      </c>
      <c r="AA652" s="31">
        <v>1943.08</v>
      </c>
    </row>
    <row r="653" spans="1:27" ht="16" x14ac:dyDescent="0.2">
      <c r="A653" s="3" t="s">
        <v>1927</v>
      </c>
      <c r="B653" s="2" t="s">
        <v>1928</v>
      </c>
      <c r="C653" s="8">
        <v>15815</v>
      </c>
      <c r="D653" s="2">
        <v>1943</v>
      </c>
      <c r="E653" s="2">
        <v>1940</v>
      </c>
      <c r="F653" s="2">
        <v>0</v>
      </c>
      <c r="G653" s="2">
        <v>0</v>
      </c>
      <c r="H653" s="3" t="s">
        <v>27</v>
      </c>
      <c r="I653" s="3" t="s">
        <v>1929</v>
      </c>
      <c r="J653" s="3" t="s">
        <v>1929</v>
      </c>
      <c r="K653" s="21" t="s">
        <v>1930</v>
      </c>
      <c r="L653" s="10">
        <v>13654</v>
      </c>
      <c r="M653" s="4">
        <f>11+(12*5)</f>
        <v>71</v>
      </c>
      <c r="N653" s="2">
        <v>75</v>
      </c>
      <c r="O653" s="2">
        <v>5</v>
      </c>
      <c r="Q653" s="2">
        <v>0</v>
      </c>
      <c r="R653" s="2">
        <v>0</v>
      </c>
      <c r="S653" s="11">
        <v>1</v>
      </c>
      <c r="T653" s="11">
        <v>1</v>
      </c>
      <c r="U653" s="11">
        <v>0</v>
      </c>
      <c r="V653" s="2">
        <v>0</v>
      </c>
      <c r="W653" s="2">
        <v>1</v>
      </c>
      <c r="X653" s="2">
        <v>0</v>
      </c>
      <c r="Y653" s="2">
        <v>0</v>
      </c>
      <c r="Z653" s="26" t="s">
        <v>5167</v>
      </c>
      <c r="AA653" s="31">
        <v>1943.09</v>
      </c>
    </row>
    <row r="654" spans="1:27" ht="16" x14ac:dyDescent="0.2">
      <c r="A654" s="3" t="s">
        <v>1946</v>
      </c>
      <c r="B654" s="2" t="s">
        <v>1947</v>
      </c>
      <c r="C654" s="8">
        <v>15836</v>
      </c>
      <c r="D654" s="2">
        <v>1943</v>
      </c>
      <c r="E654" s="2">
        <v>1940</v>
      </c>
      <c r="F654" s="2">
        <v>0</v>
      </c>
      <c r="G654" s="2">
        <v>0</v>
      </c>
      <c r="H654" s="3" t="s">
        <v>27</v>
      </c>
      <c r="I654" s="3" t="s">
        <v>4926</v>
      </c>
      <c r="J654" s="3" t="s">
        <v>1948</v>
      </c>
      <c r="K654" s="21" t="s">
        <v>1949</v>
      </c>
      <c r="L654" s="10">
        <v>15371</v>
      </c>
      <c r="M654" s="4">
        <v>16</v>
      </c>
      <c r="N654" s="2">
        <v>77</v>
      </c>
      <c r="O654" s="2">
        <v>6</v>
      </c>
      <c r="Q654" s="2">
        <v>1</v>
      </c>
      <c r="R654" s="2">
        <v>0</v>
      </c>
      <c r="S654" s="11">
        <v>1</v>
      </c>
      <c r="T654" s="11">
        <v>0</v>
      </c>
      <c r="U654" s="11">
        <v>0</v>
      </c>
      <c r="V654" s="2">
        <v>0</v>
      </c>
      <c r="W654" s="2">
        <v>1</v>
      </c>
      <c r="X654" s="2">
        <v>0</v>
      </c>
      <c r="Y654" s="2">
        <v>0</v>
      </c>
      <c r="Z654" s="26" t="s">
        <v>5167</v>
      </c>
      <c r="AA654" s="31">
        <v>1943.1</v>
      </c>
    </row>
    <row r="655" spans="1:27" ht="16" x14ac:dyDescent="0.2">
      <c r="A655" s="3" t="s">
        <v>1958</v>
      </c>
      <c r="B655" s="2" t="s">
        <v>1959</v>
      </c>
      <c r="C655" s="8">
        <v>15836</v>
      </c>
      <c r="D655" s="2">
        <v>1943</v>
      </c>
      <c r="E655" s="2">
        <v>1940</v>
      </c>
      <c r="F655" s="2">
        <v>0</v>
      </c>
      <c r="G655" s="2">
        <v>0</v>
      </c>
      <c r="H655" s="3" t="s">
        <v>27</v>
      </c>
      <c r="I655" s="3" t="s">
        <v>4920</v>
      </c>
      <c r="J655" s="3" t="s">
        <v>1835</v>
      </c>
      <c r="K655" s="21" t="s">
        <v>1836</v>
      </c>
      <c r="L655" s="10">
        <v>12580</v>
      </c>
      <c r="M655" s="4">
        <f>11+96</f>
        <v>107</v>
      </c>
      <c r="N655" s="2">
        <v>73</v>
      </c>
      <c r="O655" s="2">
        <v>6</v>
      </c>
      <c r="P655" s="2">
        <v>2</v>
      </c>
      <c r="Q655" s="2">
        <v>1</v>
      </c>
      <c r="R655" s="2">
        <v>1</v>
      </c>
      <c r="S655" s="11">
        <v>1</v>
      </c>
      <c r="T655" s="11">
        <v>0</v>
      </c>
      <c r="U655" s="11">
        <v>0</v>
      </c>
      <c r="V655" s="2">
        <v>0</v>
      </c>
      <c r="W655" s="2">
        <v>1</v>
      </c>
      <c r="X655" s="2">
        <v>2</v>
      </c>
      <c r="Y655" s="2">
        <v>0</v>
      </c>
      <c r="Z655" s="26" t="s">
        <v>5167</v>
      </c>
      <c r="AA655" s="31">
        <v>1943.11</v>
      </c>
    </row>
    <row r="656" spans="1:27" ht="16" x14ac:dyDescent="0.2">
      <c r="A656" s="3" t="s">
        <v>1954</v>
      </c>
      <c r="B656" s="2" t="s">
        <v>1955</v>
      </c>
      <c r="C656" s="8">
        <v>15858</v>
      </c>
      <c r="D656" s="2">
        <v>1943</v>
      </c>
      <c r="E656" s="2">
        <v>1940</v>
      </c>
      <c r="F656" s="2">
        <v>0</v>
      </c>
      <c r="G656" s="2">
        <v>0</v>
      </c>
      <c r="H656" s="3" t="s">
        <v>27</v>
      </c>
      <c r="I656" s="3" t="s">
        <v>4927</v>
      </c>
      <c r="J656" s="3" t="s">
        <v>1956</v>
      </c>
      <c r="K656" s="21" t="s">
        <v>1957</v>
      </c>
      <c r="L656" s="10">
        <v>15544</v>
      </c>
      <c r="M656" s="4">
        <v>11</v>
      </c>
      <c r="N656" s="2">
        <v>77</v>
      </c>
      <c r="O656" s="2">
        <v>5</v>
      </c>
      <c r="Q656" s="2">
        <v>0</v>
      </c>
      <c r="R656" s="2">
        <v>0</v>
      </c>
      <c r="S656" s="11">
        <v>1</v>
      </c>
      <c r="T656" s="11">
        <v>0</v>
      </c>
      <c r="U656" s="11">
        <v>0</v>
      </c>
      <c r="V656" s="2">
        <v>0</v>
      </c>
      <c r="W656" s="2">
        <v>1</v>
      </c>
      <c r="X656" s="2">
        <v>0</v>
      </c>
      <c r="Y656" s="2">
        <v>0</v>
      </c>
      <c r="Z656" s="26" t="s">
        <v>5167</v>
      </c>
      <c r="AA656" s="31">
        <v>1943.12</v>
      </c>
    </row>
    <row r="657" spans="1:27" ht="16" x14ac:dyDescent="0.2">
      <c r="A657" s="3" t="s">
        <v>3914</v>
      </c>
      <c r="B657" s="2" t="s">
        <v>3915</v>
      </c>
      <c r="C657" s="8">
        <v>15864</v>
      </c>
      <c r="D657" s="2">
        <v>1943</v>
      </c>
      <c r="E657" s="2">
        <v>1940</v>
      </c>
      <c r="F657" s="2">
        <v>1</v>
      </c>
      <c r="G657" s="2">
        <v>1</v>
      </c>
      <c r="H657" s="3" t="s">
        <v>3442</v>
      </c>
      <c r="I657" s="3" t="s">
        <v>4928</v>
      </c>
      <c r="J657" s="3" t="s">
        <v>3916</v>
      </c>
      <c r="K657" s="21" t="s">
        <v>3917</v>
      </c>
      <c r="L657" s="10">
        <v>14061</v>
      </c>
      <c r="M657" s="4">
        <f>11+48</f>
        <v>59</v>
      </c>
      <c r="N657" s="2">
        <v>75</v>
      </c>
      <c r="O657" s="2">
        <v>1</v>
      </c>
      <c r="Q657" s="2">
        <v>0</v>
      </c>
      <c r="R657" s="2">
        <v>0</v>
      </c>
      <c r="S657" s="11">
        <v>1</v>
      </c>
      <c r="T657" s="11">
        <v>1</v>
      </c>
      <c r="U657" s="11">
        <v>1</v>
      </c>
      <c r="V657" s="2">
        <v>1</v>
      </c>
      <c r="W657" s="2">
        <v>1</v>
      </c>
      <c r="X657" s="2">
        <v>0</v>
      </c>
      <c r="Y657" s="2">
        <v>0</v>
      </c>
      <c r="Z657" s="26" t="s">
        <v>5167</v>
      </c>
      <c r="AA657" s="31">
        <v>1943.13</v>
      </c>
    </row>
    <row r="658" spans="1:27" ht="16" x14ac:dyDescent="0.2">
      <c r="A658" s="3" t="s">
        <v>3911</v>
      </c>
      <c r="B658" s="2" t="s">
        <v>3912</v>
      </c>
      <c r="C658" s="8">
        <v>15878</v>
      </c>
      <c r="D658" s="2">
        <v>1943</v>
      </c>
      <c r="E658" s="2">
        <v>1940</v>
      </c>
      <c r="F658" s="2">
        <v>1</v>
      </c>
      <c r="G658" s="2">
        <v>1</v>
      </c>
      <c r="H658" s="3" t="s">
        <v>3442</v>
      </c>
      <c r="I658" s="3" t="s">
        <v>968</v>
      </c>
      <c r="J658" s="3" t="s">
        <v>3913</v>
      </c>
      <c r="K658" s="21" t="s">
        <v>970</v>
      </c>
      <c r="L658" s="10">
        <v>2372</v>
      </c>
      <c r="M658" s="4">
        <f>37*12</f>
        <v>444</v>
      </c>
      <c r="N658" s="2">
        <v>59</v>
      </c>
      <c r="O658" s="2">
        <v>2</v>
      </c>
      <c r="Q658" s="2">
        <v>1</v>
      </c>
      <c r="R658" s="2">
        <v>0</v>
      </c>
      <c r="S658" s="11">
        <v>1</v>
      </c>
      <c r="T658" s="11">
        <v>1</v>
      </c>
      <c r="U658" s="11">
        <v>1</v>
      </c>
      <c r="V658" s="2">
        <v>0</v>
      </c>
      <c r="W658" s="2">
        <v>1</v>
      </c>
      <c r="X658" s="2">
        <v>3</v>
      </c>
      <c r="Y658" s="2">
        <v>1</v>
      </c>
      <c r="Z658" s="26" t="s">
        <v>5167</v>
      </c>
      <c r="AA658" s="31">
        <v>1943.14</v>
      </c>
    </row>
    <row r="659" spans="1:27" ht="16" x14ac:dyDescent="0.2">
      <c r="A659" s="3" t="s">
        <v>1942</v>
      </c>
      <c r="B659" s="2" t="s">
        <v>1943</v>
      </c>
      <c r="C659" s="8">
        <v>15878</v>
      </c>
      <c r="D659" s="2">
        <v>1943</v>
      </c>
      <c r="E659" s="2">
        <v>1940</v>
      </c>
      <c r="F659" s="2">
        <v>0</v>
      </c>
      <c r="G659" s="2">
        <v>0</v>
      </c>
      <c r="H659" s="3" t="s">
        <v>27</v>
      </c>
      <c r="I659" s="3" t="s">
        <v>1944</v>
      </c>
      <c r="J659" s="3" t="s">
        <v>1944</v>
      </c>
      <c r="K659" s="21" t="s">
        <v>1945</v>
      </c>
      <c r="L659" s="10">
        <v>15421</v>
      </c>
      <c r="M659" s="4">
        <v>15</v>
      </c>
      <c r="N659" s="2">
        <v>77</v>
      </c>
      <c r="O659" s="2">
        <v>6</v>
      </c>
      <c r="P659" s="2">
        <v>3</v>
      </c>
      <c r="Q659" s="2">
        <v>0</v>
      </c>
      <c r="R659" s="2">
        <v>0</v>
      </c>
      <c r="S659" s="11">
        <v>1</v>
      </c>
      <c r="T659" s="11">
        <v>1</v>
      </c>
      <c r="U659" s="11">
        <v>0</v>
      </c>
      <c r="V659" s="2">
        <v>0</v>
      </c>
      <c r="W659" s="2">
        <v>1</v>
      </c>
      <c r="X659" s="2">
        <v>0</v>
      </c>
      <c r="Y659" s="2">
        <v>0</v>
      </c>
      <c r="Z659" s="26" t="s">
        <v>5167</v>
      </c>
      <c r="AA659" s="31">
        <v>1943.15</v>
      </c>
    </row>
    <row r="660" spans="1:27" ht="16" x14ac:dyDescent="0.2">
      <c r="A660" t="s">
        <v>1973</v>
      </c>
      <c r="B660" s="2" t="s">
        <v>1974</v>
      </c>
      <c r="C660" s="8">
        <v>16074</v>
      </c>
      <c r="D660" s="2">
        <v>1944</v>
      </c>
      <c r="E660" s="2">
        <v>1940</v>
      </c>
      <c r="F660" s="2">
        <v>0</v>
      </c>
      <c r="G660" s="2">
        <v>0</v>
      </c>
      <c r="H660" t="s">
        <v>27</v>
      </c>
      <c r="I660" s="3" t="s">
        <v>4924</v>
      </c>
      <c r="J660" t="s">
        <v>1912</v>
      </c>
      <c r="K660" s="21" t="s">
        <v>1913</v>
      </c>
      <c r="L660" s="10">
        <v>14052</v>
      </c>
      <c r="M660">
        <f>7+60</f>
        <v>67</v>
      </c>
      <c r="N660" s="2">
        <v>75</v>
      </c>
      <c r="O660" s="2">
        <v>4</v>
      </c>
      <c r="Q660" s="2">
        <v>1</v>
      </c>
      <c r="R660" s="2">
        <v>1</v>
      </c>
      <c r="S660" s="11">
        <v>1</v>
      </c>
      <c r="T660" s="11">
        <v>1</v>
      </c>
      <c r="U660" s="11">
        <v>1</v>
      </c>
      <c r="V660" s="2">
        <v>0</v>
      </c>
      <c r="W660" s="2">
        <v>1</v>
      </c>
      <c r="X660" s="2">
        <v>3</v>
      </c>
      <c r="Y660" s="2">
        <v>0</v>
      </c>
      <c r="Z660" s="26" t="s">
        <v>5167</v>
      </c>
      <c r="AA660" s="31">
        <v>1944.01</v>
      </c>
    </row>
    <row r="661" spans="1:27" ht="16" x14ac:dyDescent="0.2">
      <c r="A661" s="3" t="s">
        <v>1980</v>
      </c>
      <c r="B661" s="2" t="s">
        <v>1981</v>
      </c>
      <c r="C661" s="8">
        <v>16102</v>
      </c>
      <c r="D661" s="2">
        <v>1944</v>
      </c>
      <c r="E661" s="2">
        <v>1940</v>
      </c>
      <c r="F661" s="2">
        <v>0</v>
      </c>
      <c r="G661" s="2">
        <v>0</v>
      </c>
      <c r="H661" s="3" t="s">
        <v>27</v>
      </c>
      <c r="I661" s="3" t="s">
        <v>4912</v>
      </c>
      <c r="J661" s="3" t="s">
        <v>1982</v>
      </c>
      <c r="K661" s="3" t="s">
        <v>1737</v>
      </c>
      <c r="L661" s="10">
        <v>13022</v>
      </c>
      <c r="M661" s="4">
        <f>5+96</f>
        <v>101</v>
      </c>
      <c r="N661" s="2">
        <v>74</v>
      </c>
      <c r="O661" s="2">
        <v>4</v>
      </c>
      <c r="P661" s="2">
        <v>5</v>
      </c>
      <c r="Q661" s="2">
        <v>1</v>
      </c>
      <c r="R661" s="2">
        <v>0</v>
      </c>
      <c r="S661" s="11">
        <v>1</v>
      </c>
      <c r="T661" s="11">
        <v>1</v>
      </c>
      <c r="U661" s="11">
        <v>0</v>
      </c>
      <c r="V661" s="2">
        <v>0</v>
      </c>
      <c r="W661" s="2">
        <v>1</v>
      </c>
      <c r="X661" s="2">
        <v>0</v>
      </c>
      <c r="Y661" s="2">
        <v>0</v>
      </c>
      <c r="Z661" s="26" t="s">
        <v>5167</v>
      </c>
      <c r="AA661" s="31">
        <v>1944.02</v>
      </c>
    </row>
    <row r="662" spans="1:27" ht="16" x14ac:dyDescent="0.2">
      <c r="A662" s="3" t="s">
        <v>1992</v>
      </c>
      <c r="B662" s="2" t="s">
        <v>1993</v>
      </c>
      <c r="C662" s="8">
        <v>16158</v>
      </c>
      <c r="D662" s="2">
        <v>1944</v>
      </c>
      <c r="E662" s="2">
        <v>1940</v>
      </c>
      <c r="F662" s="2">
        <v>0</v>
      </c>
      <c r="G662" s="2">
        <v>0</v>
      </c>
      <c r="H662" s="3" t="s">
        <v>27</v>
      </c>
      <c r="I662" s="3" t="s">
        <v>4926</v>
      </c>
      <c r="J662" s="3" t="s">
        <v>1948</v>
      </c>
      <c r="K662" s="21" t="s">
        <v>1949</v>
      </c>
      <c r="L662" s="10">
        <v>15371</v>
      </c>
      <c r="M662" s="4">
        <v>26</v>
      </c>
      <c r="N662" s="2">
        <v>77</v>
      </c>
      <c r="O662" s="2">
        <v>6</v>
      </c>
      <c r="P662" s="2">
        <v>1</v>
      </c>
      <c r="Q662" s="2">
        <v>1</v>
      </c>
      <c r="R662" s="2">
        <v>1</v>
      </c>
      <c r="S662" s="11">
        <v>1</v>
      </c>
      <c r="T662" s="11">
        <v>1</v>
      </c>
      <c r="U662" s="11">
        <v>0</v>
      </c>
      <c r="V662" s="2">
        <v>0</v>
      </c>
      <c r="W662" s="2">
        <v>1</v>
      </c>
      <c r="X662" s="2">
        <v>3</v>
      </c>
      <c r="Y662" s="2">
        <v>0</v>
      </c>
      <c r="Z662" s="26" t="s">
        <v>5167</v>
      </c>
      <c r="AA662" s="31">
        <v>1944.03</v>
      </c>
    </row>
    <row r="663" spans="1:27" ht="16" x14ac:dyDescent="0.2">
      <c r="A663" s="3" t="s">
        <v>1969</v>
      </c>
      <c r="B663" s="2" t="s">
        <v>1970</v>
      </c>
      <c r="C663" s="8">
        <v>16158</v>
      </c>
      <c r="D663" s="2">
        <v>1944</v>
      </c>
      <c r="E663" s="2">
        <v>1940</v>
      </c>
      <c r="F663" s="2">
        <v>0</v>
      </c>
      <c r="G663" s="2">
        <v>0</v>
      </c>
      <c r="H663" s="3" t="s">
        <v>27</v>
      </c>
      <c r="I663" s="3" t="s">
        <v>4926</v>
      </c>
      <c r="J663" s="3" t="s">
        <v>1948</v>
      </c>
      <c r="K663" s="21" t="s">
        <v>1949</v>
      </c>
      <c r="L663" s="10">
        <v>15371</v>
      </c>
      <c r="M663" s="4">
        <v>26</v>
      </c>
      <c r="N663" s="2">
        <v>77</v>
      </c>
      <c r="O663" s="2">
        <v>4</v>
      </c>
      <c r="P663" s="2">
        <v>5</v>
      </c>
      <c r="Q663" s="2">
        <v>1</v>
      </c>
      <c r="R663" s="2">
        <v>1</v>
      </c>
      <c r="S663" s="11">
        <v>1</v>
      </c>
      <c r="T663" s="11">
        <v>0</v>
      </c>
      <c r="U663" s="11">
        <v>1</v>
      </c>
      <c r="V663" s="2">
        <v>0</v>
      </c>
      <c r="W663" s="2">
        <v>1</v>
      </c>
      <c r="X663" s="2">
        <v>1</v>
      </c>
      <c r="Y663" s="2">
        <v>0</v>
      </c>
      <c r="Z663" s="26" t="s">
        <v>5167</v>
      </c>
      <c r="AA663" s="31">
        <v>1944.04</v>
      </c>
    </row>
    <row r="664" spans="1:27" ht="16" x14ac:dyDescent="0.2">
      <c r="A664" s="3" t="s">
        <v>1977</v>
      </c>
      <c r="B664" s="2" t="s">
        <v>1978</v>
      </c>
      <c r="C664" s="8">
        <v>16214</v>
      </c>
      <c r="D664" s="2">
        <v>1944</v>
      </c>
      <c r="E664" s="2">
        <v>1940</v>
      </c>
      <c r="F664" s="2">
        <v>0</v>
      </c>
      <c r="G664" s="2">
        <v>0</v>
      </c>
      <c r="H664" s="3" t="s">
        <v>27</v>
      </c>
      <c r="I664" s="3" t="s">
        <v>1979</v>
      </c>
      <c r="J664" s="3" t="s">
        <v>1979</v>
      </c>
      <c r="K664" s="21" t="s">
        <v>1945</v>
      </c>
      <c r="L664" s="10">
        <v>15427</v>
      </c>
      <c r="M664" s="4">
        <v>26</v>
      </c>
      <c r="N664" s="2">
        <v>77</v>
      </c>
      <c r="O664" s="2">
        <v>6</v>
      </c>
      <c r="Q664" s="2">
        <v>1</v>
      </c>
      <c r="R664" s="2">
        <v>1</v>
      </c>
      <c r="S664" s="11">
        <v>1</v>
      </c>
      <c r="T664" s="11">
        <v>1</v>
      </c>
      <c r="U664" s="11">
        <v>0</v>
      </c>
      <c r="V664" s="2">
        <v>0</v>
      </c>
      <c r="W664" s="2">
        <v>1</v>
      </c>
      <c r="X664" s="2">
        <v>1</v>
      </c>
      <c r="Y664" s="2">
        <v>0</v>
      </c>
      <c r="Z664" s="26" t="s">
        <v>5167</v>
      </c>
      <c r="AA664" s="31">
        <v>1944.05</v>
      </c>
    </row>
    <row r="665" spans="1:27" ht="16" x14ac:dyDescent="0.2">
      <c r="A665" s="3" t="s">
        <v>1990</v>
      </c>
      <c r="B665" s="2" t="s">
        <v>1991</v>
      </c>
      <c r="C665" s="8">
        <v>16228</v>
      </c>
      <c r="D665" s="2">
        <v>1944</v>
      </c>
      <c r="E665" s="2">
        <v>1940</v>
      </c>
      <c r="F665" s="2">
        <v>0</v>
      </c>
      <c r="G665" s="2">
        <v>0</v>
      </c>
      <c r="H665" s="3" t="s">
        <v>27</v>
      </c>
      <c r="I665" s="3" t="s">
        <v>779</v>
      </c>
      <c r="J665" s="3" t="s">
        <v>1535</v>
      </c>
      <c r="K665" s="15"/>
      <c r="L665" s="4" t="s">
        <v>780</v>
      </c>
      <c r="M665" s="4">
        <f>(53*12)+11</f>
        <v>647</v>
      </c>
      <c r="N665" s="2">
        <v>51</v>
      </c>
      <c r="O665" s="2">
        <v>5</v>
      </c>
      <c r="Q665" s="2">
        <v>1</v>
      </c>
      <c r="R665" s="2">
        <v>1</v>
      </c>
      <c r="S665" s="11">
        <v>1</v>
      </c>
      <c r="T665" s="11">
        <v>0</v>
      </c>
      <c r="U665" s="11">
        <v>1</v>
      </c>
      <c r="V665" s="2">
        <v>0</v>
      </c>
      <c r="W665" s="2">
        <v>1</v>
      </c>
      <c r="X665" s="2">
        <v>3</v>
      </c>
      <c r="Y665" s="2">
        <v>1</v>
      </c>
      <c r="Z665" s="26" t="s">
        <v>5167</v>
      </c>
      <c r="AA665" s="31">
        <v>1944.06</v>
      </c>
    </row>
    <row r="666" spans="1:27" ht="16" x14ac:dyDescent="0.2">
      <c r="A666" s="3" t="s">
        <v>1983</v>
      </c>
      <c r="B666" s="2" t="s">
        <v>1984</v>
      </c>
      <c r="C666" s="8">
        <v>16228</v>
      </c>
      <c r="D666" s="2">
        <v>1944</v>
      </c>
      <c r="E666" s="2">
        <v>1940</v>
      </c>
      <c r="F666" s="2">
        <v>0</v>
      </c>
      <c r="G666" s="2">
        <v>0</v>
      </c>
      <c r="H666" s="3" t="s">
        <v>27</v>
      </c>
      <c r="I666" t="s">
        <v>4908</v>
      </c>
      <c r="J666" s="3" t="s">
        <v>1985</v>
      </c>
      <c r="K666" s="21" t="s">
        <v>1673</v>
      </c>
      <c r="L666" s="10">
        <v>12970</v>
      </c>
      <c r="M666" s="4">
        <f>11+96</f>
        <v>107</v>
      </c>
      <c r="N666" s="2">
        <v>74</v>
      </c>
      <c r="O666" s="2">
        <v>5</v>
      </c>
      <c r="Q666" s="2">
        <v>1</v>
      </c>
      <c r="R666" s="2">
        <v>1</v>
      </c>
      <c r="S666" s="11">
        <v>1</v>
      </c>
      <c r="T666" s="11">
        <v>1</v>
      </c>
      <c r="U666" s="11">
        <v>0</v>
      </c>
      <c r="V666" s="2">
        <v>0</v>
      </c>
      <c r="W666" s="2">
        <v>1</v>
      </c>
      <c r="X666" s="2">
        <v>0</v>
      </c>
      <c r="Y666" s="2">
        <v>0</v>
      </c>
      <c r="Z666" s="26" t="s">
        <v>5167</v>
      </c>
      <c r="AA666" s="31">
        <v>1944.07</v>
      </c>
    </row>
    <row r="667" spans="1:27" ht="16" x14ac:dyDescent="0.2">
      <c r="A667" s="3" t="s">
        <v>3922</v>
      </c>
      <c r="B667" s="2" t="s">
        <v>3923</v>
      </c>
      <c r="C667" s="8">
        <v>16186</v>
      </c>
      <c r="D667" s="2">
        <v>1944</v>
      </c>
      <c r="E667" s="2">
        <v>1940</v>
      </c>
      <c r="F667" s="2">
        <v>1</v>
      </c>
      <c r="G667" s="2">
        <v>1</v>
      </c>
      <c r="H667" s="3" t="s">
        <v>3442</v>
      </c>
      <c r="I667" s="3" t="s">
        <v>5054</v>
      </c>
      <c r="J667" s="3" t="s">
        <v>3924</v>
      </c>
      <c r="K667" s="21" t="s">
        <v>1236</v>
      </c>
      <c r="L667" s="10">
        <v>3352</v>
      </c>
      <c r="M667" s="4">
        <f>1+(12*35)</f>
        <v>421</v>
      </c>
      <c r="N667" s="2">
        <v>60</v>
      </c>
      <c r="O667" s="2">
        <v>2</v>
      </c>
      <c r="Q667" s="2">
        <v>1</v>
      </c>
      <c r="R667" s="2">
        <v>0</v>
      </c>
      <c r="S667" s="11">
        <v>1</v>
      </c>
      <c r="T667" s="11">
        <v>1</v>
      </c>
      <c r="U667" s="11">
        <v>1</v>
      </c>
      <c r="V667" s="2">
        <v>0</v>
      </c>
      <c r="W667" s="2">
        <v>1</v>
      </c>
      <c r="X667" s="2">
        <v>4</v>
      </c>
      <c r="Y667" s="2">
        <v>1</v>
      </c>
      <c r="Z667" s="26" t="s">
        <v>5167</v>
      </c>
      <c r="AA667" s="31">
        <v>1944.08</v>
      </c>
    </row>
    <row r="668" spans="1:27" ht="16" x14ac:dyDescent="0.2">
      <c r="A668" s="3" t="s">
        <v>1986</v>
      </c>
      <c r="B668" s="2" t="s">
        <v>1987</v>
      </c>
      <c r="C668" s="8">
        <v>16382</v>
      </c>
      <c r="D668" s="2">
        <v>1944</v>
      </c>
      <c r="E668" s="2">
        <v>1940</v>
      </c>
      <c r="F668" s="2">
        <v>0</v>
      </c>
      <c r="G668" s="2">
        <v>0</v>
      </c>
      <c r="H668" s="3" t="s">
        <v>27</v>
      </c>
      <c r="I668" s="3" t="s">
        <v>4929</v>
      </c>
      <c r="J668" s="3" t="s">
        <v>1988</v>
      </c>
      <c r="K668" s="21" t="s">
        <v>1989</v>
      </c>
      <c r="L668" s="10">
        <v>15399</v>
      </c>
      <c r="M668" s="4">
        <v>33</v>
      </c>
      <c r="N668" s="2">
        <v>77</v>
      </c>
      <c r="O668" s="2">
        <v>6</v>
      </c>
      <c r="Q668" s="2">
        <v>0</v>
      </c>
      <c r="R668" s="2">
        <v>0</v>
      </c>
      <c r="S668" s="11">
        <v>1</v>
      </c>
      <c r="T668" s="11">
        <v>1</v>
      </c>
      <c r="U668" s="11">
        <v>1</v>
      </c>
      <c r="V668" s="2">
        <v>0</v>
      </c>
      <c r="W668" s="2">
        <v>1</v>
      </c>
      <c r="X668" s="2">
        <v>0</v>
      </c>
      <c r="Y668" s="2">
        <v>0</v>
      </c>
      <c r="Z668" s="26" t="s">
        <v>5167</v>
      </c>
      <c r="AA668" s="31">
        <v>1944.09</v>
      </c>
    </row>
    <row r="669" spans="1:27" ht="16" x14ac:dyDescent="0.2">
      <c r="A669" s="3" t="s">
        <v>1971</v>
      </c>
      <c r="B669" s="2" t="s">
        <v>1972</v>
      </c>
      <c r="C669" s="8">
        <v>16382</v>
      </c>
      <c r="D669" s="2">
        <v>1944</v>
      </c>
      <c r="E669" s="2">
        <v>1940</v>
      </c>
      <c r="F669" s="2">
        <v>0</v>
      </c>
      <c r="G669" s="2">
        <v>0</v>
      </c>
      <c r="H669" s="3" t="s">
        <v>27</v>
      </c>
      <c r="I669" s="3" t="s">
        <v>5078</v>
      </c>
      <c r="J669" s="3" t="s">
        <v>1778</v>
      </c>
      <c r="K669" s="21" t="s">
        <v>1779</v>
      </c>
      <c r="L669" s="10">
        <v>8464</v>
      </c>
      <c r="M669" s="4">
        <f>8+252</f>
        <v>260</v>
      </c>
      <c r="N669" s="2">
        <v>67</v>
      </c>
      <c r="O669" s="2">
        <v>5</v>
      </c>
      <c r="P669" s="2">
        <v>4</v>
      </c>
      <c r="Q669" s="2">
        <v>0</v>
      </c>
      <c r="R669" s="2">
        <v>0</v>
      </c>
      <c r="S669" s="11">
        <v>1</v>
      </c>
      <c r="T669" s="11">
        <v>1</v>
      </c>
      <c r="U669" s="11">
        <v>0</v>
      </c>
      <c r="V669" s="2">
        <v>0</v>
      </c>
      <c r="W669" s="2">
        <v>1</v>
      </c>
      <c r="X669" s="2">
        <v>0</v>
      </c>
      <c r="Y669" s="2">
        <v>1</v>
      </c>
      <c r="Z669" s="26" t="s">
        <v>5167</v>
      </c>
      <c r="AA669" s="31">
        <v>1944.1</v>
      </c>
    </row>
    <row r="670" spans="1:27" ht="16" x14ac:dyDescent="0.2">
      <c r="A670" s="3" t="s">
        <v>3920</v>
      </c>
      <c r="B670" s="2" t="s">
        <v>3921</v>
      </c>
      <c r="C670" s="8">
        <v>16424</v>
      </c>
      <c r="D670" s="2">
        <v>1944</v>
      </c>
      <c r="E670" s="2">
        <v>1940</v>
      </c>
      <c r="F670" s="2">
        <v>1</v>
      </c>
      <c r="G670" s="2">
        <v>1</v>
      </c>
      <c r="H670" s="3" t="s">
        <v>3442</v>
      </c>
      <c r="I670" s="3" t="s">
        <v>4889</v>
      </c>
      <c r="J670" s="3" t="s">
        <v>1718</v>
      </c>
      <c r="K670" s="21" t="s">
        <v>1719</v>
      </c>
      <c r="L670" s="10">
        <v>12591</v>
      </c>
      <c r="M670" s="4">
        <f>6+120</f>
        <v>126</v>
      </c>
      <c r="N670" s="2">
        <v>73</v>
      </c>
      <c r="O670" s="2">
        <v>3</v>
      </c>
      <c r="Q670" s="2">
        <v>0</v>
      </c>
      <c r="R670" s="2">
        <v>0</v>
      </c>
      <c r="S670" s="11">
        <v>1</v>
      </c>
      <c r="T670" s="11">
        <v>1</v>
      </c>
      <c r="U670" s="11">
        <v>1</v>
      </c>
      <c r="V670" s="2">
        <v>0</v>
      </c>
      <c r="W670" s="2">
        <v>0</v>
      </c>
      <c r="X670" s="2">
        <v>0</v>
      </c>
      <c r="Y670" s="2">
        <v>0</v>
      </c>
      <c r="Z670" s="26" t="s">
        <v>5167</v>
      </c>
      <c r="AA670" s="31">
        <v>1944.11</v>
      </c>
    </row>
    <row r="671" spans="1:27" ht="16" x14ac:dyDescent="0.2">
      <c r="A671" s="3" t="s">
        <v>1975</v>
      </c>
      <c r="B671" s="2" t="s">
        <v>1976</v>
      </c>
      <c r="C671" s="8">
        <v>16424</v>
      </c>
      <c r="D671" s="2">
        <v>1944</v>
      </c>
      <c r="E671" s="2">
        <v>1940</v>
      </c>
      <c r="F671" s="2">
        <v>0</v>
      </c>
      <c r="G671" s="2">
        <v>0</v>
      </c>
      <c r="H671" s="3" t="s">
        <v>27</v>
      </c>
      <c r="I671" s="3" t="s">
        <v>1944</v>
      </c>
      <c r="J671" s="3" t="s">
        <v>1944</v>
      </c>
      <c r="K671" s="21" t="s">
        <v>1945</v>
      </c>
      <c r="L671" s="10">
        <v>15421</v>
      </c>
      <c r="M671" s="4">
        <f>24+9</f>
        <v>33</v>
      </c>
      <c r="N671" s="2">
        <v>77</v>
      </c>
      <c r="O671" s="2">
        <v>3</v>
      </c>
      <c r="P671" s="2">
        <v>1</v>
      </c>
      <c r="Q671" s="2">
        <v>0</v>
      </c>
      <c r="R671" s="2">
        <v>0</v>
      </c>
      <c r="S671" s="11">
        <v>1</v>
      </c>
      <c r="T671" s="11">
        <v>1</v>
      </c>
      <c r="U671" s="11">
        <v>0</v>
      </c>
      <c r="V671" s="2">
        <v>0</v>
      </c>
      <c r="W671" s="2">
        <v>1</v>
      </c>
      <c r="X671" s="2">
        <v>3</v>
      </c>
      <c r="Y671" s="2">
        <v>0</v>
      </c>
      <c r="Z671" s="26" t="s">
        <v>5167</v>
      </c>
      <c r="AA671" s="31">
        <v>1944.12</v>
      </c>
    </row>
    <row r="672" spans="1:27" ht="12.75" customHeight="1" x14ac:dyDescent="0.2">
      <c r="A672" s="3" t="s">
        <v>3918</v>
      </c>
      <c r="B672" s="2" t="s">
        <v>3919</v>
      </c>
      <c r="C672" s="8">
        <v>16424</v>
      </c>
      <c r="D672" s="2">
        <v>1944</v>
      </c>
      <c r="E672" s="2">
        <v>1940</v>
      </c>
      <c r="F672" s="2">
        <v>1</v>
      </c>
      <c r="G672" s="2">
        <v>1</v>
      </c>
      <c r="H672" s="3" t="s">
        <v>3442</v>
      </c>
      <c r="I672" s="3" t="s">
        <v>1944</v>
      </c>
      <c r="J672" s="3" t="s">
        <v>1944</v>
      </c>
      <c r="K672" s="21" t="s">
        <v>1945</v>
      </c>
      <c r="L672" s="10">
        <v>15421</v>
      </c>
      <c r="M672" s="4">
        <v>33</v>
      </c>
      <c r="N672" s="2">
        <v>77</v>
      </c>
      <c r="O672" s="2">
        <v>1</v>
      </c>
      <c r="Q672" s="2">
        <v>0</v>
      </c>
      <c r="R672" s="2">
        <v>0</v>
      </c>
      <c r="S672" s="11">
        <v>1</v>
      </c>
      <c r="T672" s="11">
        <v>0</v>
      </c>
      <c r="U672" s="11">
        <v>1</v>
      </c>
      <c r="V672" s="2">
        <v>0</v>
      </c>
      <c r="W672" s="2">
        <v>1</v>
      </c>
      <c r="X672" s="2">
        <v>0</v>
      </c>
      <c r="Y672" s="2">
        <v>0</v>
      </c>
      <c r="Z672" s="26" t="s">
        <v>5167</v>
      </c>
      <c r="AA672" s="31">
        <v>1944.13</v>
      </c>
    </row>
    <row r="673" spans="1:27" ht="16" x14ac:dyDescent="0.2">
      <c r="A673" s="3" t="s">
        <v>2006</v>
      </c>
      <c r="B673" s="2" t="s">
        <v>2007</v>
      </c>
      <c r="C673" s="8">
        <v>16501</v>
      </c>
      <c r="D673" s="2">
        <v>1945</v>
      </c>
      <c r="E673" s="2">
        <v>1940</v>
      </c>
      <c r="F673" s="2">
        <v>0</v>
      </c>
      <c r="G673" s="2">
        <v>0</v>
      </c>
      <c r="H673" s="3" t="s">
        <v>27</v>
      </c>
      <c r="I673" s="3" t="s">
        <v>4930</v>
      </c>
      <c r="J673" s="3" t="s">
        <v>2008</v>
      </c>
      <c r="K673" s="21" t="s">
        <v>2009</v>
      </c>
      <c r="L673" s="10">
        <v>13744</v>
      </c>
      <c r="M673" s="4">
        <f>8+84</f>
        <v>92</v>
      </c>
      <c r="N673" s="2">
        <v>75</v>
      </c>
      <c r="O673" s="2">
        <v>5</v>
      </c>
      <c r="Q673" s="2">
        <v>0</v>
      </c>
      <c r="R673" s="2">
        <v>0</v>
      </c>
      <c r="S673" s="11">
        <v>1</v>
      </c>
      <c r="T673" s="11">
        <v>1</v>
      </c>
      <c r="U673" s="11">
        <v>1</v>
      </c>
      <c r="V673" s="2">
        <v>0</v>
      </c>
      <c r="W673" s="2">
        <v>1</v>
      </c>
      <c r="X673" s="2">
        <v>0</v>
      </c>
      <c r="Y673" s="2">
        <v>0</v>
      </c>
      <c r="Z673" s="26" t="s">
        <v>5167</v>
      </c>
      <c r="AA673" s="31">
        <v>1945.01</v>
      </c>
    </row>
    <row r="674" spans="1:27" ht="16" x14ac:dyDescent="0.2">
      <c r="A674" s="3" t="s">
        <v>2002</v>
      </c>
      <c r="B674" s="2" t="s">
        <v>2003</v>
      </c>
      <c r="C674" s="8">
        <v>16522</v>
      </c>
      <c r="D674" s="2">
        <v>1945</v>
      </c>
      <c r="E674" s="2">
        <v>1940</v>
      </c>
      <c r="F674" s="2">
        <v>0</v>
      </c>
      <c r="G674" s="2">
        <v>0</v>
      </c>
      <c r="H674" s="3" t="s">
        <v>27</v>
      </c>
      <c r="I674" s="3" t="s">
        <v>2004</v>
      </c>
      <c r="J674" s="3" t="s">
        <v>2004</v>
      </c>
      <c r="K674" s="21" t="s">
        <v>2005</v>
      </c>
      <c r="L674" s="10">
        <v>14390</v>
      </c>
      <c r="M674" s="4">
        <f>70</f>
        <v>70</v>
      </c>
      <c r="N674" s="2">
        <v>76</v>
      </c>
      <c r="O674" s="2">
        <v>4</v>
      </c>
      <c r="P674" s="2">
        <v>5</v>
      </c>
      <c r="Q674" s="2">
        <v>0</v>
      </c>
      <c r="R674" s="2">
        <v>0</v>
      </c>
      <c r="S674" s="11">
        <v>1</v>
      </c>
      <c r="T674" s="11">
        <v>1</v>
      </c>
      <c r="U674" s="11">
        <v>1</v>
      </c>
      <c r="V674" s="2">
        <v>0</v>
      </c>
      <c r="W674" s="2">
        <v>1</v>
      </c>
      <c r="X674" s="2">
        <v>1</v>
      </c>
      <c r="Y674" s="2">
        <v>0</v>
      </c>
      <c r="Z674" s="26" t="s">
        <v>5167</v>
      </c>
      <c r="AA674" s="31">
        <v>1945.02</v>
      </c>
    </row>
    <row r="675" spans="1:27" ht="12.75" customHeight="1" x14ac:dyDescent="0.2">
      <c r="A675" s="3" t="s">
        <v>2000</v>
      </c>
      <c r="B675" s="2" t="s">
        <v>2001</v>
      </c>
      <c r="C675" s="8">
        <v>16564</v>
      </c>
      <c r="D675" s="2">
        <v>1945</v>
      </c>
      <c r="E675" s="2">
        <v>1940</v>
      </c>
      <c r="F675" s="2">
        <v>0</v>
      </c>
      <c r="G675" s="2">
        <v>0</v>
      </c>
      <c r="H675" s="3" t="s">
        <v>27</v>
      </c>
      <c r="I675" s="3" t="s">
        <v>5048</v>
      </c>
      <c r="J675" s="3" t="s">
        <v>1899</v>
      </c>
      <c r="K675" s="21" t="s">
        <v>1236</v>
      </c>
      <c r="L675" s="10">
        <v>3351</v>
      </c>
      <c r="M675" s="4">
        <f>2+(12*36)</f>
        <v>434</v>
      </c>
      <c r="N675" s="2">
        <v>60</v>
      </c>
      <c r="O675" s="2">
        <v>1</v>
      </c>
      <c r="P675" s="2">
        <v>5</v>
      </c>
      <c r="Q675" s="2">
        <v>1</v>
      </c>
      <c r="R675" s="2">
        <v>1</v>
      </c>
      <c r="S675" s="11">
        <v>1</v>
      </c>
      <c r="T675" s="11">
        <v>1</v>
      </c>
      <c r="U675" s="11">
        <v>1</v>
      </c>
      <c r="V675" s="2">
        <v>0</v>
      </c>
      <c r="W675" s="2">
        <v>1</v>
      </c>
      <c r="X675" s="2">
        <v>4</v>
      </c>
      <c r="Y675" s="2">
        <v>1</v>
      </c>
      <c r="Z675" s="26" t="s">
        <v>5167</v>
      </c>
      <c r="AA675" s="31">
        <v>1945.03</v>
      </c>
    </row>
    <row r="676" spans="1:27" ht="16" x14ac:dyDescent="0.2">
      <c r="A676" s="3" t="s">
        <v>1994</v>
      </c>
      <c r="B676" s="2" t="s">
        <v>1995</v>
      </c>
      <c r="C676" s="8">
        <v>16606</v>
      </c>
      <c r="D676" s="2">
        <v>1945</v>
      </c>
      <c r="E676" s="2">
        <v>1940</v>
      </c>
      <c r="F676" s="2">
        <v>0</v>
      </c>
      <c r="G676" s="2">
        <v>0</v>
      </c>
      <c r="H676" s="3" t="s">
        <v>27</v>
      </c>
      <c r="I676" s="3" t="s">
        <v>779</v>
      </c>
      <c r="J676" s="3" t="s">
        <v>1535</v>
      </c>
      <c r="K676" s="15"/>
      <c r="L676" s="4" t="s">
        <v>780</v>
      </c>
      <c r="M676" s="4">
        <f>(54*12)+11</f>
        <v>659</v>
      </c>
      <c r="N676" s="2">
        <v>51</v>
      </c>
      <c r="O676" s="2">
        <v>2</v>
      </c>
      <c r="Q676" s="2">
        <v>1</v>
      </c>
      <c r="R676" s="2">
        <v>1</v>
      </c>
      <c r="S676" s="11">
        <v>1</v>
      </c>
      <c r="T676" s="11">
        <v>0</v>
      </c>
      <c r="U676" s="11">
        <v>0</v>
      </c>
      <c r="V676" s="2">
        <v>0</v>
      </c>
      <c r="W676" s="2">
        <v>1</v>
      </c>
      <c r="X676" s="2">
        <v>3</v>
      </c>
      <c r="Y676" s="2">
        <v>1</v>
      </c>
      <c r="Z676" s="26" t="s">
        <v>5167</v>
      </c>
      <c r="AA676" s="31">
        <v>1945.04</v>
      </c>
    </row>
    <row r="677" spans="1:27" ht="16" x14ac:dyDescent="0.2">
      <c r="A677" s="3" t="s">
        <v>3925</v>
      </c>
      <c r="B677" s="2" t="s">
        <v>3926</v>
      </c>
      <c r="C677" s="8">
        <v>16606</v>
      </c>
      <c r="D677" s="2">
        <v>1945</v>
      </c>
      <c r="E677" s="2">
        <v>1940</v>
      </c>
      <c r="F677" s="2">
        <v>1</v>
      </c>
      <c r="G677" s="2">
        <v>1</v>
      </c>
      <c r="H677" s="3" t="s">
        <v>3442</v>
      </c>
      <c r="I677" s="3" t="s">
        <v>4931</v>
      </c>
      <c r="J677" s="3" t="s">
        <v>3927</v>
      </c>
      <c r="K677" s="21" t="s">
        <v>2157</v>
      </c>
      <c r="L677" s="10">
        <v>14790</v>
      </c>
      <c r="M677" s="4">
        <f>5*12</f>
        <v>60</v>
      </c>
      <c r="N677" s="2">
        <v>76</v>
      </c>
      <c r="O677" s="2">
        <v>2</v>
      </c>
      <c r="Q677" s="2">
        <v>1</v>
      </c>
      <c r="R677" s="2">
        <v>1</v>
      </c>
      <c r="S677" s="11">
        <v>1</v>
      </c>
      <c r="T677" s="11">
        <v>1</v>
      </c>
      <c r="U677" s="11">
        <v>1</v>
      </c>
      <c r="V677" s="2">
        <v>0</v>
      </c>
      <c r="W677" s="2">
        <v>1</v>
      </c>
      <c r="X677" s="2">
        <v>3</v>
      </c>
      <c r="Y677" s="2">
        <v>0</v>
      </c>
      <c r="Z677" s="26" t="s">
        <v>5167</v>
      </c>
      <c r="AA677" s="31">
        <v>1945.05</v>
      </c>
    </row>
    <row r="678" spans="1:27" ht="16" x14ac:dyDescent="0.2">
      <c r="A678" s="3" t="s">
        <v>1996</v>
      </c>
      <c r="B678" s="2" t="s">
        <v>1997</v>
      </c>
      <c r="C678" s="8">
        <v>16781</v>
      </c>
      <c r="D678" s="2">
        <v>1945</v>
      </c>
      <c r="E678" s="2">
        <v>1940</v>
      </c>
      <c r="F678" s="2">
        <v>0</v>
      </c>
      <c r="G678" s="2">
        <v>0</v>
      </c>
      <c r="H678" s="3" t="s">
        <v>27</v>
      </c>
      <c r="I678" s="3" t="s">
        <v>4932</v>
      </c>
      <c r="J678" s="3" t="s">
        <v>1998</v>
      </c>
      <c r="K678" s="21" t="s">
        <v>1999</v>
      </c>
      <c r="L678" s="10">
        <v>15635</v>
      </c>
      <c r="M678" s="4">
        <v>38</v>
      </c>
      <c r="N678" s="2">
        <v>77</v>
      </c>
      <c r="O678" s="2">
        <v>4</v>
      </c>
      <c r="P678" s="2">
        <v>5</v>
      </c>
      <c r="Q678" s="2">
        <v>1</v>
      </c>
      <c r="R678" s="2">
        <v>0</v>
      </c>
      <c r="S678" s="11">
        <v>1</v>
      </c>
      <c r="T678" s="11">
        <v>0</v>
      </c>
      <c r="U678" s="11">
        <v>1</v>
      </c>
      <c r="V678" s="2">
        <v>0</v>
      </c>
      <c r="W678" s="2">
        <v>1</v>
      </c>
      <c r="X678" s="2">
        <v>0</v>
      </c>
      <c r="Y678" s="2">
        <v>0</v>
      </c>
      <c r="Z678" s="26" t="s">
        <v>5167</v>
      </c>
      <c r="AA678" s="31">
        <v>1945.06</v>
      </c>
    </row>
    <row r="679" spans="1:27" ht="16" x14ac:dyDescent="0.2">
      <c r="A679" s="3" t="s">
        <v>1300</v>
      </c>
      <c r="B679" s="2" t="s">
        <v>2036</v>
      </c>
      <c r="C679" s="8">
        <v>16816</v>
      </c>
      <c r="D679" s="2">
        <v>1946</v>
      </c>
      <c r="E679" s="2">
        <v>1940</v>
      </c>
      <c r="F679" s="2">
        <v>0</v>
      </c>
      <c r="G679" s="2">
        <v>0</v>
      </c>
      <c r="H679" s="3" t="s">
        <v>27</v>
      </c>
      <c r="I679" s="3" t="s">
        <v>4913</v>
      </c>
      <c r="J679" s="3" t="s">
        <v>2037</v>
      </c>
      <c r="K679" s="21" t="s">
        <v>1727</v>
      </c>
      <c r="L679" s="10">
        <v>11846</v>
      </c>
      <c r="M679" s="4">
        <f>7+156</f>
        <v>163</v>
      </c>
      <c r="N679" s="2">
        <v>72</v>
      </c>
      <c r="O679" s="2">
        <v>5</v>
      </c>
      <c r="Q679" s="2">
        <v>0</v>
      </c>
      <c r="R679" s="2">
        <v>0</v>
      </c>
      <c r="S679" s="11">
        <v>1</v>
      </c>
      <c r="T679" s="11">
        <v>1</v>
      </c>
      <c r="U679" s="11">
        <v>0</v>
      </c>
      <c r="V679" s="2">
        <v>0</v>
      </c>
      <c r="W679" s="2">
        <v>1</v>
      </c>
      <c r="X679" s="2">
        <v>2</v>
      </c>
      <c r="Y679" s="2">
        <v>0</v>
      </c>
      <c r="Z679" s="26" t="s">
        <v>5167</v>
      </c>
      <c r="AA679" s="31">
        <v>1946.01</v>
      </c>
    </row>
    <row r="680" spans="1:27" ht="16" x14ac:dyDescent="0.2">
      <c r="A680" s="3" t="s">
        <v>2027</v>
      </c>
      <c r="B680" s="2" t="s">
        <v>2028</v>
      </c>
      <c r="C680" s="8">
        <v>16837</v>
      </c>
      <c r="D680" s="2">
        <v>1946</v>
      </c>
      <c r="E680" s="2">
        <v>1940</v>
      </c>
      <c r="F680" s="2">
        <v>0</v>
      </c>
      <c r="G680" s="2">
        <v>0</v>
      </c>
      <c r="H680" s="3" t="s">
        <v>27</v>
      </c>
      <c r="I680" s="3" t="s">
        <v>5046</v>
      </c>
      <c r="J680" s="3" t="s">
        <v>4692</v>
      </c>
      <c r="K680" s="3" t="s">
        <v>4693</v>
      </c>
      <c r="L680" s="10">
        <v>7461</v>
      </c>
      <c r="M680" s="4">
        <f>8+300</f>
        <v>308</v>
      </c>
      <c r="N680" s="2">
        <v>66</v>
      </c>
      <c r="O680" s="2">
        <v>6</v>
      </c>
      <c r="P680" s="2">
        <v>1</v>
      </c>
      <c r="Q680" s="2">
        <v>0</v>
      </c>
      <c r="R680" s="2">
        <v>0</v>
      </c>
      <c r="S680" s="11">
        <v>1</v>
      </c>
      <c r="T680" s="11">
        <v>0</v>
      </c>
      <c r="U680" s="11">
        <v>0</v>
      </c>
      <c r="V680" s="2">
        <v>0</v>
      </c>
      <c r="W680" s="2">
        <v>1</v>
      </c>
      <c r="X680" s="2">
        <v>2</v>
      </c>
      <c r="Y680" s="2">
        <v>1</v>
      </c>
      <c r="Z680" s="26" t="s">
        <v>5167</v>
      </c>
      <c r="AA680" s="31">
        <v>1946.02</v>
      </c>
    </row>
    <row r="681" spans="1:27" ht="16" x14ac:dyDescent="0.2">
      <c r="A681" s="3" t="s">
        <v>3931</v>
      </c>
      <c r="B681" s="2" t="s">
        <v>3932</v>
      </c>
      <c r="C681" s="8">
        <v>16837</v>
      </c>
      <c r="D681" s="2">
        <v>1946</v>
      </c>
      <c r="E681" s="2">
        <v>1940</v>
      </c>
      <c r="F681" s="2">
        <v>1</v>
      </c>
      <c r="G681" s="2">
        <v>1</v>
      </c>
      <c r="H681" s="3" t="s">
        <v>3442</v>
      </c>
      <c r="I681" s="3" t="s">
        <v>3933</v>
      </c>
      <c r="J681" s="3" t="s">
        <v>3933</v>
      </c>
      <c r="K681" s="21" t="s">
        <v>3934</v>
      </c>
      <c r="L681" s="10">
        <v>12581</v>
      </c>
      <c r="M681" s="4">
        <f>8+132</f>
        <v>140</v>
      </c>
      <c r="N681" s="2">
        <v>73</v>
      </c>
      <c r="O681" s="2">
        <v>2</v>
      </c>
      <c r="Q681" s="2">
        <v>0</v>
      </c>
      <c r="R681" s="2">
        <v>0</v>
      </c>
      <c r="S681" s="11">
        <v>1</v>
      </c>
      <c r="T681" s="11">
        <v>1</v>
      </c>
      <c r="U681" s="11">
        <v>0</v>
      </c>
      <c r="V681" s="2">
        <v>0</v>
      </c>
      <c r="W681" s="2">
        <v>1</v>
      </c>
      <c r="X681" s="2">
        <v>0</v>
      </c>
      <c r="Y681" s="2">
        <v>0</v>
      </c>
      <c r="Z681" s="26" t="s">
        <v>5167</v>
      </c>
      <c r="AA681" s="31">
        <v>1946.03</v>
      </c>
    </row>
    <row r="682" spans="1:27" ht="16" x14ac:dyDescent="0.2">
      <c r="A682" s="3" t="s">
        <v>2033</v>
      </c>
      <c r="B682" s="2" t="s">
        <v>2034</v>
      </c>
      <c r="C682" s="8">
        <v>16844</v>
      </c>
      <c r="D682" s="2">
        <v>1946</v>
      </c>
      <c r="E682" s="2">
        <v>1940</v>
      </c>
      <c r="F682" s="2">
        <v>0</v>
      </c>
      <c r="G682" s="2">
        <v>0</v>
      </c>
      <c r="H682" s="3" t="s">
        <v>27</v>
      </c>
      <c r="I682" s="3" t="s">
        <v>4856</v>
      </c>
      <c r="J682" s="3" t="s">
        <v>2035</v>
      </c>
      <c r="K682" s="3" t="s">
        <v>1885</v>
      </c>
      <c r="L682" s="10">
        <v>14056</v>
      </c>
      <c r="M682" s="4">
        <f>8+84</f>
        <v>92</v>
      </c>
      <c r="N682" s="2">
        <v>75</v>
      </c>
      <c r="O682" s="2">
        <v>5</v>
      </c>
      <c r="P682" s="2">
        <v>2</v>
      </c>
      <c r="Q682" s="2">
        <v>1</v>
      </c>
      <c r="R682" s="2">
        <v>1</v>
      </c>
      <c r="S682" s="11">
        <v>1</v>
      </c>
      <c r="T682" s="11">
        <v>1</v>
      </c>
      <c r="U682" s="11">
        <v>1</v>
      </c>
      <c r="V682" s="2">
        <v>0</v>
      </c>
      <c r="W682" s="2">
        <v>0</v>
      </c>
      <c r="X682" s="2">
        <v>1</v>
      </c>
      <c r="Y682" s="2">
        <v>0</v>
      </c>
      <c r="Z682" s="26" t="s">
        <v>5167</v>
      </c>
      <c r="AA682" s="31">
        <v>1946.04</v>
      </c>
    </row>
    <row r="683" spans="1:27" ht="16" x14ac:dyDescent="0.2">
      <c r="A683" s="3" t="s">
        <v>2041</v>
      </c>
      <c r="B683" s="2" t="s">
        <v>2042</v>
      </c>
      <c r="C683" s="8">
        <v>16844</v>
      </c>
      <c r="D683" s="2">
        <v>1946</v>
      </c>
      <c r="E683" s="2">
        <v>1940</v>
      </c>
      <c r="F683" s="2">
        <v>0</v>
      </c>
      <c r="G683" s="2">
        <v>0</v>
      </c>
      <c r="H683" s="3" t="s">
        <v>27</v>
      </c>
      <c r="I683" s="3" t="s">
        <v>4856</v>
      </c>
      <c r="J683" s="3" t="s">
        <v>1884</v>
      </c>
      <c r="K683" s="3" t="s">
        <v>1885</v>
      </c>
      <c r="L683" s="10">
        <v>14056</v>
      </c>
      <c r="M683" s="4">
        <v>92</v>
      </c>
      <c r="N683" s="2">
        <v>75</v>
      </c>
      <c r="O683" s="2">
        <v>1</v>
      </c>
      <c r="Q683" s="2">
        <v>1</v>
      </c>
      <c r="R683" s="2">
        <v>0</v>
      </c>
      <c r="S683" s="11">
        <v>1</v>
      </c>
      <c r="T683" s="11">
        <v>1</v>
      </c>
      <c r="U683" s="11">
        <v>0</v>
      </c>
      <c r="V683" s="2">
        <v>0</v>
      </c>
      <c r="W683" s="2">
        <v>1</v>
      </c>
      <c r="X683" s="2">
        <v>1</v>
      </c>
      <c r="Y683" s="2">
        <v>0</v>
      </c>
      <c r="Z683" s="26" t="s">
        <v>5167</v>
      </c>
      <c r="AA683" s="31">
        <v>1946.05</v>
      </c>
    </row>
    <row r="684" spans="1:27" ht="16" x14ac:dyDescent="0.2">
      <c r="A684" s="3" t="s">
        <v>3928</v>
      </c>
      <c r="B684" s="2" t="s">
        <v>3929</v>
      </c>
      <c r="C684" s="8">
        <v>16858</v>
      </c>
      <c r="D684" s="2">
        <v>1946</v>
      </c>
      <c r="E684" s="2">
        <v>1940</v>
      </c>
      <c r="F684" s="2">
        <v>1</v>
      </c>
      <c r="G684" s="2">
        <v>1</v>
      </c>
      <c r="H684" s="3" t="s">
        <v>3442</v>
      </c>
      <c r="I684" s="3" t="s">
        <v>5055</v>
      </c>
      <c r="J684" s="3" t="s">
        <v>3930</v>
      </c>
      <c r="K684" s="15"/>
      <c r="L684" s="10">
        <v>121</v>
      </c>
      <c r="M684" s="4">
        <f>10+(12*45)</f>
        <v>550</v>
      </c>
      <c r="N684" s="2">
        <v>56</v>
      </c>
      <c r="O684" s="2">
        <v>1</v>
      </c>
      <c r="P684" s="2">
        <v>6</v>
      </c>
      <c r="Q684" s="2">
        <v>1</v>
      </c>
      <c r="R684" s="2">
        <v>0</v>
      </c>
      <c r="S684" s="11">
        <v>1</v>
      </c>
      <c r="T684" s="11">
        <v>1</v>
      </c>
      <c r="U684" s="11">
        <v>1</v>
      </c>
      <c r="V684" s="2">
        <v>0</v>
      </c>
      <c r="W684" s="2">
        <v>0</v>
      </c>
      <c r="X684" s="2">
        <v>2</v>
      </c>
      <c r="Y684" s="2">
        <v>1</v>
      </c>
      <c r="Z684" s="26" t="s">
        <v>5167</v>
      </c>
      <c r="AA684" s="31">
        <v>1946.06</v>
      </c>
    </row>
    <row r="685" spans="1:27" ht="16" x14ac:dyDescent="0.2">
      <c r="A685" s="3" t="s">
        <v>2038</v>
      </c>
      <c r="B685" s="2" t="s">
        <v>2039</v>
      </c>
      <c r="C685" s="8">
        <v>16893</v>
      </c>
      <c r="D685" s="2">
        <v>1946</v>
      </c>
      <c r="E685" s="2">
        <v>1940</v>
      </c>
      <c r="F685" s="2">
        <v>0</v>
      </c>
      <c r="G685" s="2">
        <v>0</v>
      </c>
      <c r="H685" s="3" t="s">
        <v>27</v>
      </c>
      <c r="I685" s="3" t="s">
        <v>4912</v>
      </c>
      <c r="J685" s="3" t="s">
        <v>2040</v>
      </c>
      <c r="K685" s="3" t="s">
        <v>1737</v>
      </c>
      <c r="L685" s="10">
        <v>13022</v>
      </c>
      <c r="M685" s="4">
        <f>8+120</f>
        <v>128</v>
      </c>
      <c r="N685" s="2">
        <v>74</v>
      </c>
      <c r="O685" s="2">
        <v>5</v>
      </c>
      <c r="P685" s="2">
        <v>4</v>
      </c>
      <c r="Q685" s="2">
        <v>1</v>
      </c>
      <c r="R685" s="2">
        <v>1</v>
      </c>
      <c r="S685" s="11">
        <v>1</v>
      </c>
      <c r="T685" s="11">
        <v>1</v>
      </c>
      <c r="U685" s="11">
        <v>0</v>
      </c>
      <c r="V685" s="2">
        <v>0</v>
      </c>
      <c r="W685" s="2">
        <v>1</v>
      </c>
      <c r="X685" s="2">
        <v>0</v>
      </c>
      <c r="Y685" s="2">
        <v>0</v>
      </c>
      <c r="Z685" s="26" t="s">
        <v>5167</v>
      </c>
      <c r="AA685" s="31">
        <v>1946.07</v>
      </c>
    </row>
    <row r="686" spans="1:27" ht="16" x14ac:dyDescent="0.2">
      <c r="A686" s="3" t="s">
        <v>2015</v>
      </c>
      <c r="B686" s="2" t="s">
        <v>2016</v>
      </c>
      <c r="C686" s="8">
        <v>16837</v>
      </c>
      <c r="D686" s="2">
        <v>1946</v>
      </c>
      <c r="E686" s="2">
        <v>1940</v>
      </c>
      <c r="F686" s="2">
        <v>0</v>
      </c>
      <c r="G686" s="2">
        <v>0</v>
      </c>
      <c r="H686" s="3" t="s">
        <v>27</v>
      </c>
      <c r="I686" s="3" t="s">
        <v>2017</v>
      </c>
      <c r="J686" s="3" t="s">
        <v>2017</v>
      </c>
      <c r="K686" s="21" t="s">
        <v>2018</v>
      </c>
      <c r="L686" s="10">
        <v>16618</v>
      </c>
      <c r="M686" s="4">
        <v>8</v>
      </c>
      <c r="N686" s="2">
        <v>79</v>
      </c>
      <c r="O686" s="2">
        <v>5</v>
      </c>
      <c r="P686" s="2">
        <v>6</v>
      </c>
      <c r="Q686" s="2">
        <v>0</v>
      </c>
      <c r="R686" s="2">
        <v>0</v>
      </c>
      <c r="S686" s="11">
        <v>1</v>
      </c>
      <c r="T686" s="11">
        <v>1</v>
      </c>
      <c r="U686" s="11">
        <v>0</v>
      </c>
      <c r="V686" s="2">
        <v>0</v>
      </c>
      <c r="W686" s="2">
        <v>1</v>
      </c>
      <c r="X686" s="2">
        <v>1</v>
      </c>
      <c r="Y686" s="2">
        <v>0</v>
      </c>
      <c r="Z686" s="26" t="s">
        <v>5167</v>
      </c>
      <c r="AA686" s="31">
        <v>1946.08</v>
      </c>
    </row>
    <row r="687" spans="1:27" ht="16" x14ac:dyDescent="0.2">
      <c r="A687" s="3" t="s">
        <v>3935</v>
      </c>
      <c r="B687" s="2" t="s">
        <v>3936</v>
      </c>
      <c r="C687" s="8">
        <v>16949</v>
      </c>
      <c r="D687" s="2">
        <v>1946</v>
      </c>
      <c r="E687" s="2">
        <v>1940</v>
      </c>
      <c r="F687" s="2">
        <v>1</v>
      </c>
      <c r="G687" s="2">
        <v>1</v>
      </c>
      <c r="H687" s="3" t="s">
        <v>3442</v>
      </c>
      <c r="I687" s="3" t="s">
        <v>4933</v>
      </c>
      <c r="J687" s="3" t="s">
        <v>3937</v>
      </c>
      <c r="K687" s="3" t="s">
        <v>3938</v>
      </c>
      <c r="L687" s="10">
        <v>14054</v>
      </c>
      <c r="M687" s="4">
        <f>11+(12*7)</f>
        <v>95</v>
      </c>
      <c r="N687" s="2">
        <v>75</v>
      </c>
      <c r="O687" s="2">
        <v>4</v>
      </c>
      <c r="Q687" s="2">
        <v>1</v>
      </c>
      <c r="R687" s="2">
        <v>0</v>
      </c>
      <c r="S687" s="11">
        <v>1</v>
      </c>
      <c r="T687" s="11">
        <v>1</v>
      </c>
      <c r="U687" s="11">
        <v>1</v>
      </c>
      <c r="V687" s="2">
        <v>0</v>
      </c>
      <c r="W687" s="2">
        <v>1</v>
      </c>
      <c r="X687" s="2">
        <v>2</v>
      </c>
      <c r="Y687" s="2">
        <v>0</v>
      </c>
      <c r="Z687" s="26" t="s">
        <v>5167</v>
      </c>
      <c r="AA687" s="31">
        <v>1946.09</v>
      </c>
    </row>
    <row r="688" spans="1:27" ht="16" x14ac:dyDescent="0.2">
      <c r="A688" s="3" t="s">
        <v>3939</v>
      </c>
      <c r="B688" s="2" t="s">
        <v>3940</v>
      </c>
      <c r="C688" s="8">
        <v>16956</v>
      </c>
      <c r="D688" s="2">
        <v>1946</v>
      </c>
      <c r="E688" s="2">
        <v>1940</v>
      </c>
      <c r="F688" s="2">
        <v>2</v>
      </c>
      <c r="G688" s="2">
        <v>1</v>
      </c>
      <c r="H688" s="3" t="s">
        <v>3434</v>
      </c>
      <c r="I688" s="3" t="s">
        <v>4934</v>
      </c>
      <c r="J688" s="3" t="s">
        <v>3941</v>
      </c>
      <c r="K688" s="21" t="s">
        <v>3942</v>
      </c>
      <c r="L688" s="10">
        <v>15899</v>
      </c>
      <c r="M688" s="4">
        <f>24+11</f>
        <v>35</v>
      </c>
      <c r="N688" s="2">
        <v>78</v>
      </c>
      <c r="O688" s="2">
        <v>6</v>
      </c>
      <c r="P688" s="2">
        <v>1</v>
      </c>
      <c r="Q688" s="2">
        <v>0</v>
      </c>
      <c r="R688" s="2">
        <v>0</v>
      </c>
      <c r="S688" s="11">
        <v>1</v>
      </c>
      <c r="T688" s="11">
        <v>1</v>
      </c>
      <c r="U688" s="11">
        <v>0</v>
      </c>
      <c r="V688" s="2">
        <v>1</v>
      </c>
      <c r="W688" s="2">
        <v>1</v>
      </c>
      <c r="X688" s="2">
        <v>0</v>
      </c>
      <c r="Y688" s="2">
        <v>0</v>
      </c>
      <c r="Z688" s="26" t="s">
        <v>5167</v>
      </c>
      <c r="AA688" s="31">
        <v>1946.1</v>
      </c>
    </row>
    <row r="689" spans="1:27" ht="16" x14ac:dyDescent="0.2">
      <c r="A689" s="3" t="s">
        <v>2043</v>
      </c>
      <c r="B689" s="2" t="s">
        <v>2044</v>
      </c>
      <c r="C689" s="8">
        <v>16956</v>
      </c>
      <c r="D689" s="2">
        <v>1946</v>
      </c>
      <c r="E689" s="2">
        <v>1940</v>
      </c>
      <c r="F689" s="2">
        <v>0</v>
      </c>
      <c r="G689" s="2">
        <v>0</v>
      </c>
      <c r="H689" s="3" t="s">
        <v>27</v>
      </c>
      <c r="I689" s="3" t="s">
        <v>2045</v>
      </c>
      <c r="J689" s="3" t="s">
        <v>2045</v>
      </c>
      <c r="K689" s="21" t="s">
        <v>2046</v>
      </c>
      <c r="L689" s="10">
        <v>16505</v>
      </c>
      <c r="M689" s="4">
        <v>15</v>
      </c>
      <c r="N689" s="2">
        <v>79</v>
      </c>
      <c r="O689" s="2">
        <v>4</v>
      </c>
      <c r="P689" s="2">
        <v>5</v>
      </c>
      <c r="Q689" s="2">
        <v>1</v>
      </c>
      <c r="R689" s="2">
        <v>1</v>
      </c>
      <c r="S689" s="11">
        <v>0</v>
      </c>
      <c r="T689" s="11">
        <v>0</v>
      </c>
      <c r="U689" s="11">
        <v>0</v>
      </c>
      <c r="V689" s="2">
        <v>0</v>
      </c>
      <c r="W689" s="2">
        <v>0</v>
      </c>
      <c r="X689" s="2">
        <v>0</v>
      </c>
      <c r="Y689" s="2">
        <v>0</v>
      </c>
      <c r="Z689" s="26" t="s">
        <v>5167</v>
      </c>
      <c r="AA689" s="31">
        <v>1946.11</v>
      </c>
    </row>
    <row r="690" spans="1:27" ht="16" x14ac:dyDescent="0.2">
      <c r="A690" s="3" t="s">
        <v>2024</v>
      </c>
      <c r="B690" s="2" t="s">
        <v>2025</v>
      </c>
      <c r="C690" s="8">
        <v>16963</v>
      </c>
      <c r="D690" s="2">
        <v>1946</v>
      </c>
      <c r="E690" s="2">
        <v>1940</v>
      </c>
      <c r="F690" s="2">
        <v>0</v>
      </c>
      <c r="G690" s="2">
        <v>0</v>
      </c>
      <c r="H690" s="3" t="s">
        <v>27</v>
      </c>
      <c r="I690" s="3" t="s">
        <v>2026</v>
      </c>
      <c r="J690" s="3" t="s">
        <v>2026</v>
      </c>
      <c r="K690" s="21" t="s">
        <v>1945</v>
      </c>
      <c r="L690" s="10">
        <v>15427</v>
      </c>
      <c r="M690" s="4">
        <v>51</v>
      </c>
      <c r="N690" s="2">
        <v>77</v>
      </c>
      <c r="O690" s="2">
        <v>4</v>
      </c>
      <c r="P690" s="2">
        <v>1</v>
      </c>
      <c r="Q690" s="2">
        <v>1</v>
      </c>
      <c r="R690" s="2">
        <v>0</v>
      </c>
      <c r="S690" s="11">
        <v>1</v>
      </c>
      <c r="T690" s="11">
        <v>1</v>
      </c>
      <c r="U690" s="11">
        <v>0</v>
      </c>
      <c r="V690" s="2">
        <v>0</v>
      </c>
      <c r="W690" s="2">
        <v>1</v>
      </c>
      <c r="X690" s="2">
        <v>3</v>
      </c>
      <c r="Y690" s="2">
        <v>0</v>
      </c>
      <c r="Z690" s="26" t="s">
        <v>5167</v>
      </c>
      <c r="AA690" s="31">
        <v>1946.12</v>
      </c>
    </row>
    <row r="691" spans="1:27" ht="16" x14ac:dyDescent="0.2">
      <c r="A691" s="3" t="s">
        <v>2029</v>
      </c>
      <c r="B691" s="8" t="s">
        <v>2030</v>
      </c>
      <c r="C691" s="8">
        <v>16963</v>
      </c>
      <c r="D691" s="2">
        <v>1946</v>
      </c>
      <c r="E691" s="2">
        <v>1940</v>
      </c>
      <c r="F691" s="2">
        <v>0</v>
      </c>
      <c r="G691" s="2">
        <v>0</v>
      </c>
      <c r="H691" s="3" t="s">
        <v>27</v>
      </c>
      <c r="I691" s="3" t="s">
        <v>4935</v>
      </c>
      <c r="J691" s="3" t="s">
        <v>2031</v>
      </c>
      <c r="K691" s="21" t="s">
        <v>2032</v>
      </c>
      <c r="L691" s="10">
        <v>14898</v>
      </c>
      <c r="M691" s="4">
        <f>68</f>
        <v>68</v>
      </c>
      <c r="N691" s="2">
        <v>76</v>
      </c>
      <c r="O691" s="2">
        <v>2</v>
      </c>
      <c r="P691" s="2">
        <v>1</v>
      </c>
      <c r="Q691" s="2">
        <v>0</v>
      </c>
      <c r="R691" s="2">
        <v>0</v>
      </c>
      <c r="S691" s="11">
        <v>1</v>
      </c>
      <c r="T691" s="11">
        <v>1</v>
      </c>
      <c r="U691" s="11">
        <v>0</v>
      </c>
      <c r="V691" s="2">
        <v>0</v>
      </c>
      <c r="W691" s="2">
        <v>1</v>
      </c>
      <c r="X691" s="2">
        <v>2</v>
      </c>
      <c r="Y691" s="2">
        <v>0</v>
      </c>
      <c r="Z691" s="26" t="s">
        <v>5167</v>
      </c>
      <c r="AA691" s="31">
        <v>1946.13</v>
      </c>
    </row>
    <row r="692" spans="1:27" ht="16" x14ac:dyDescent="0.2">
      <c r="A692" s="3" t="s">
        <v>2047</v>
      </c>
      <c r="B692" s="2" t="s">
        <v>2048</v>
      </c>
      <c r="C692" s="8">
        <v>16963</v>
      </c>
      <c r="D692" s="2">
        <v>1946</v>
      </c>
      <c r="E692" s="2">
        <v>1940</v>
      </c>
      <c r="F692" s="2">
        <v>0</v>
      </c>
      <c r="G692" s="2">
        <v>0</v>
      </c>
      <c r="H692" s="3" t="s">
        <v>27</v>
      </c>
      <c r="I692" s="3" t="s">
        <v>4936</v>
      </c>
      <c r="J692" s="3" t="s">
        <v>2049</v>
      </c>
      <c r="K692" s="21" t="s">
        <v>2050</v>
      </c>
      <c r="L692" s="10">
        <v>14870</v>
      </c>
      <c r="M692" s="4">
        <f>(5*12)+9</f>
        <v>69</v>
      </c>
      <c r="N692" s="2">
        <v>76</v>
      </c>
      <c r="O692" s="2">
        <v>1</v>
      </c>
      <c r="Q692" s="2">
        <v>1</v>
      </c>
      <c r="R692" s="2">
        <v>0</v>
      </c>
      <c r="S692" s="11">
        <v>1</v>
      </c>
      <c r="T692" s="11">
        <v>0</v>
      </c>
      <c r="U692" s="11">
        <v>1</v>
      </c>
      <c r="V692" s="2">
        <v>0</v>
      </c>
      <c r="W692" s="2">
        <v>1</v>
      </c>
      <c r="X692" s="2">
        <v>0</v>
      </c>
      <c r="Y692" s="2">
        <v>0</v>
      </c>
      <c r="Z692" s="26" t="s">
        <v>5167</v>
      </c>
      <c r="AA692" s="31">
        <v>1946.14</v>
      </c>
    </row>
    <row r="693" spans="1:27" ht="16" x14ac:dyDescent="0.2">
      <c r="A693" s="3" t="s">
        <v>2013</v>
      </c>
      <c r="B693" s="2" t="s">
        <v>2014</v>
      </c>
      <c r="C693" s="8">
        <v>16963</v>
      </c>
      <c r="D693" s="2">
        <v>1946</v>
      </c>
      <c r="E693" s="2">
        <v>1940</v>
      </c>
      <c r="F693" s="2">
        <v>0</v>
      </c>
      <c r="G693" s="2">
        <v>0</v>
      </c>
      <c r="H693" s="3" t="s">
        <v>27</v>
      </c>
      <c r="I693" s="3" t="s">
        <v>779</v>
      </c>
      <c r="J693" s="3" t="s">
        <v>1535</v>
      </c>
      <c r="K693" s="15"/>
      <c r="L693" s="4" t="s">
        <v>780</v>
      </c>
      <c r="M693" s="4">
        <f>11+(12*55)</f>
        <v>671</v>
      </c>
      <c r="N693" s="2">
        <v>51</v>
      </c>
      <c r="O693" s="2">
        <v>1</v>
      </c>
      <c r="Q693" s="2">
        <v>1</v>
      </c>
      <c r="R693" s="2">
        <v>0</v>
      </c>
      <c r="S693" s="11">
        <v>1</v>
      </c>
      <c r="T693" s="11">
        <v>1</v>
      </c>
      <c r="U693" s="11">
        <v>0</v>
      </c>
      <c r="V693" s="2">
        <v>0</v>
      </c>
      <c r="W693" s="2">
        <v>1</v>
      </c>
      <c r="X693" s="2">
        <v>0</v>
      </c>
      <c r="Y693" s="2">
        <v>1</v>
      </c>
      <c r="Z693" s="26" t="s">
        <v>5167</v>
      </c>
      <c r="AA693" s="31">
        <v>1946.15</v>
      </c>
    </row>
    <row r="694" spans="1:27" x14ac:dyDescent="0.2">
      <c r="A694" t="s">
        <v>2022</v>
      </c>
      <c r="B694" s="2" t="s">
        <v>2023</v>
      </c>
      <c r="C694" s="8">
        <v>17124</v>
      </c>
      <c r="D694" s="2">
        <v>1946</v>
      </c>
      <c r="E694" s="2">
        <v>1940</v>
      </c>
      <c r="F694" s="2">
        <v>0</v>
      </c>
      <c r="G694" s="2">
        <v>0</v>
      </c>
      <c r="H694" t="s">
        <v>27</v>
      </c>
      <c r="I694" t="s">
        <v>1048</v>
      </c>
      <c r="J694" t="s">
        <v>1049</v>
      </c>
      <c r="K694" s="21" t="s">
        <v>1050</v>
      </c>
      <c r="L694" s="10">
        <v>3829</v>
      </c>
      <c r="M694">
        <f>5+(12*36)</f>
        <v>437</v>
      </c>
      <c r="N694" s="2">
        <v>61</v>
      </c>
      <c r="O694" s="2">
        <v>5</v>
      </c>
      <c r="Q694" s="2">
        <v>1</v>
      </c>
      <c r="R694" s="2">
        <v>1</v>
      </c>
      <c r="S694" s="11">
        <v>1</v>
      </c>
      <c r="T694" s="11">
        <v>1</v>
      </c>
      <c r="U694" s="11">
        <v>0</v>
      </c>
      <c r="V694" s="2">
        <v>0</v>
      </c>
      <c r="W694" s="2">
        <v>1</v>
      </c>
      <c r="X694" s="2">
        <v>3</v>
      </c>
      <c r="Y694" s="2">
        <v>1</v>
      </c>
      <c r="Z694" s="27">
        <v>1946.002</v>
      </c>
      <c r="AA694" s="31">
        <v>1946.16</v>
      </c>
    </row>
    <row r="695" spans="1:27" x14ac:dyDescent="0.2">
      <c r="A695" s="3" t="s">
        <v>2051</v>
      </c>
      <c r="B695" s="2" t="s">
        <v>2052</v>
      </c>
      <c r="C695" s="8">
        <v>17145</v>
      </c>
      <c r="D695" s="2">
        <v>1946</v>
      </c>
      <c r="E695" s="2">
        <v>1940</v>
      </c>
      <c r="F695" s="2">
        <v>0</v>
      </c>
      <c r="G695" s="2">
        <v>0</v>
      </c>
      <c r="H695" s="3" t="s">
        <v>27</v>
      </c>
      <c r="I695" s="3" t="s">
        <v>2053</v>
      </c>
      <c r="J695" s="3" t="s">
        <v>2053</v>
      </c>
      <c r="K695" s="21" t="s">
        <v>2054</v>
      </c>
      <c r="L695" s="10">
        <v>14360</v>
      </c>
      <c r="M695" s="4">
        <f>8+(7*12)</f>
        <v>92</v>
      </c>
      <c r="N695" s="2">
        <v>76</v>
      </c>
      <c r="O695" s="2">
        <v>4</v>
      </c>
      <c r="P695" s="2">
        <v>5</v>
      </c>
      <c r="Q695" s="2">
        <v>0</v>
      </c>
      <c r="R695" s="2">
        <v>0</v>
      </c>
      <c r="S695" s="11">
        <v>1</v>
      </c>
      <c r="T695" s="11">
        <v>1</v>
      </c>
      <c r="U695" s="11">
        <v>1</v>
      </c>
      <c r="V695" s="2">
        <v>0</v>
      </c>
      <c r="W695" s="2">
        <v>1</v>
      </c>
      <c r="X695" s="2">
        <v>0</v>
      </c>
      <c r="Y695" s="2">
        <v>0</v>
      </c>
      <c r="Z695" s="27">
        <v>1946.0160000000001</v>
      </c>
      <c r="AA695" s="31">
        <v>1946.17</v>
      </c>
    </row>
    <row r="696" spans="1:27" x14ac:dyDescent="0.2">
      <c r="A696" s="3" t="s">
        <v>2019</v>
      </c>
      <c r="B696" s="2" t="s">
        <v>2020</v>
      </c>
      <c r="C696" s="8">
        <v>17124</v>
      </c>
      <c r="D696" s="2">
        <v>1946</v>
      </c>
      <c r="E696" s="2">
        <v>1940</v>
      </c>
      <c r="F696" s="2">
        <v>0</v>
      </c>
      <c r="G696" s="2">
        <v>0</v>
      </c>
      <c r="H696" s="3" t="s">
        <v>27</v>
      </c>
      <c r="I696" s="3" t="s">
        <v>4920</v>
      </c>
      <c r="J696" s="3" t="s">
        <v>2021</v>
      </c>
      <c r="K696" s="21" t="s">
        <v>1836</v>
      </c>
      <c r="L696" s="10">
        <v>12580</v>
      </c>
      <c r="M696" s="4">
        <f>5+144</f>
        <v>149</v>
      </c>
      <c r="N696" s="2">
        <v>73</v>
      </c>
      <c r="O696" s="2">
        <v>5</v>
      </c>
      <c r="P696" s="2">
        <v>4</v>
      </c>
      <c r="Q696" s="2">
        <v>0</v>
      </c>
      <c r="R696" s="2">
        <v>0</v>
      </c>
      <c r="S696" s="11">
        <v>1</v>
      </c>
      <c r="T696" s="11">
        <v>0</v>
      </c>
      <c r="U696" s="11">
        <v>0</v>
      </c>
      <c r="V696" s="2">
        <v>0</v>
      </c>
      <c r="W696" s="2">
        <v>1</v>
      </c>
      <c r="X696" s="2">
        <v>4</v>
      </c>
      <c r="Y696" s="2">
        <v>0</v>
      </c>
      <c r="Z696" s="27">
        <v>1946.0029999999999</v>
      </c>
      <c r="AA696" s="31">
        <v>1946.18</v>
      </c>
    </row>
    <row r="697" spans="1:27" x14ac:dyDescent="0.2">
      <c r="A697" s="3" t="s">
        <v>2010</v>
      </c>
      <c r="B697" s="2" t="s">
        <v>2011</v>
      </c>
      <c r="C697" s="8">
        <v>17131</v>
      </c>
      <c r="D697" s="2">
        <v>1946</v>
      </c>
      <c r="E697" s="2">
        <v>1940</v>
      </c>
      <c r="F697" s="2">
        <v>0</v>
      </c>
      <c r="G697" s="2">
        <v>0</v>
      </c>
      <c r="H697" s="3" t="s">
        <v>27</v>
      </c>
      <c r="I697" s="3" t="s">
        <v>4912</v>
      </c>
      <c r="J697" s="3" t="s">
        <v>2012</v>
      </c>
      <c r="K697" s="3" t="s">
        <v>1737</v>
      </c>
      <c r="L697" s="10">
        <v>13022</v>
      </c>
      <c r="M697" s="4">
        <f>3+132</f>
        <v>135</v>
      </c>
      <c r="N697" s="2">
        <v>74</v>
      </c>
      <c r="O697" s="2">
        <v>5</v>
      </c>
      <c r="P697" s="2">
        <v>6</v>
      </c>
      <c r="Q697" s="2">
        <v>1</v>
      </c>
      <c r="R697" s="2">
        <v>0</v>
      </c>
      <c r="S697" s="11">
        <v>1</v>
      </c>
      <c r="T697" s="11">
        <v>1</v>
      </c>
      <c r="U697" s="11">
        <v>0</v>
      </c>
      <c r="V697" s="2">
        <v>0</v>
      </c>
      <c r="W697" s="2">
        <v>1</v>
      </c>
      <c r="X697" s="2">
        <v>2</v>
      </c>
      <c r="Y697" s="2">
        <v>0</v>
      </c>
      <c r="Z697" s="27">
        <v>1946.0070000000001</v>
      </c>
      <c r="AA697" s="31">
        <v>1946.19</v>
      </c>
    </row>
    <row r="698" spans="1:27" x14ac:dyDescent="0.2">
      <c r="A698" s="3" t="s">
        <v>2055</v>
      </c>
      <c r="B698" s="2" t="s">
        <v>2056</v>
      </c>
      <c r="C698" s="8">
        <v>17173</v>
      </c>
      <c r="D698" s="2">
        <v>1947</v>
      </c>
      <c r="E698" s="2">
        <v>1940</v>
      </c>
      <c r="F698" s="2">
        <v>0</v>
      </c>
      <c r="G698" s="2">
        <v>0</v>
      </c>
      <c r="H698" s="3" t="s">
        <v>27</v>
      </c>
      <c r="I698" s="3" t="s">
        <v>4937</v>
      </c>
      <c r="J698" s="3" t="s">
        <v>2057</v>
      </c>
      <c r="K698" s="3" t="s">
        <v>2058</v>
      </c>
      <c r="L698" s="10">
        <v>13019</v>
      </c>
      <c r="M698" s="4">
        <f>(11*12)+5</f>
        <v>137</v>
      </c>
      <c r="N698" s="2">
        <v>74</v>
      </c>
      <c r="O698" s="2">
        <v>6</v>
      </c>
      <c r="Q698" s="2">
        <v>1</v>
      </c>
      <c r="R698" s="2">
        <v>0</v>
      </c>
      <c r="S698" s="11">
        <v>1</v>
      </c>
      <c r="T698" s="11">
        <v>1</v>
      </c>
      <c r="U698" s="11">
        <v>1</v>
      </c>
      <c r="V698" s="2">
        <v>0</v>
      </c>
      <c r="W698" s="2">
        <v>1</v>
      </c>
      <c r="X698" s="2">
        <v>0</v>
      </c>
      <c r="Y698" s="2">
        <v>0</v>
      </c>
      <c r="Z698" s="27">
        <v>1946.0309999999999</v>
      </c>
      <c r="AA698" s="31">
        <v>1947.01</v>
      </c>
    </row>
    <row r="699" spans="1:27" x14ac:dyDescent="0.2">
      <c r="A699" s="3" t="s">
        <v>2066</v>
      </c>
      <c r="B699" s="2" t="s">
        <v>2067</v>
      </c>
      <c r="C699" s="8">
        <v>17187</v>
      </c>
      <c r="D699" s="2">
        <v>1947</v>
      </c>
      <c r="E699" s="2">
        <v>1940</v>
      </c>
      <c r="F699" s="2">
        <v>0</v>
      </c>
      <c r="G699" s="2">
        <v>0</v>
      </c>
      <c r="H699" s="3" t="s">
        <v>27</v>
      </c>
      <c r="I699" s="3" t="s">
        <v>4904</v>
      </c>
      <c r="J699" s="3" t="s">
        <v>2068</v>
      </c>
      <c r="K699" s="3" t="s">
        <v>2069</v>
      </c>
      <c r="L699" s="10">
        <v>13023</v>
      </c>
      <c r="M699" s="4">
        <f>5+(11*12)</f>
        <v>137</v>
      </c>
      <c r="N699" s="2">
        <v>74</v>
      </c>
      <c r="O699" s="2">
        <v>5</v>
      </c>
      <c r="Q699" s="2">
        <v>0</v>
      </c>
      <c r="R699" s="2">
        <v>0</v>
      </c>
      <c r="S699" s="11">
        <v>0</v>
      </c>
      <c r="T699" s="11">
        <v>1</v>
      </c>
      <c r="U699" s="11">
        <v>1</v>
      </c>
      <c r="V699" s="2">
        <v>0</v>
      </c>
      <c r="W699" s="2">
        <v>1</v>
      </c>
      <c r="X699" s="2">
        <v>0</v>
      </c>
      <c r="Y699" s="2">
        <v>0</v>
      </c>
      <c r="Z699" s="27">
        <v>1946.04</v>
      </c>
      <c r="AA699" s="31">
        <v>1947.02</v>
      </c>
    </row>
    <row r="700" spans="1:27" x14ac:dyDescent="0.2">
      <c r="A700" s="3" t="s">
        <v>2070</v>
      </c>
      <c r="B700" s="2" t="s">
        <v>2071</v>
      </c>
      <c r="C700" s="8">
        <v>17208</v>
      </c>
      <c r="D700" s="2">
        <v>1947</v>
      </c>
      <c r="E700" s="2">
        <v>1940</v>
      </c>
      <c r="F700" s="2">
        <v>0</v>
      </c>
      <c r="G700" s="2">
        <v>0</v>
      </c>
      <c r="H700" s="3" t="s">
        <v>27</v>
      </c>
      <c r="I700" s="3" t="s">
        <v>5056</v>
      </c>
      <c r="J700" s="3" t="s">
        <v>2072</v>
      </c>
      <c r="K700" s="21" t="s">
        <v>2078</v>
      </c>
      <c r="L700" s="10">
        <v>14459</v>
      </c>
      <c r="M700" s="4">
        <v>91</v>
      </c>
      <c r="N700" s="2">
        <v>75</v>
      </c>
      <c r="O700" s="2">
        <v>5</v>
      </c>
      <c r="Q700" s="2">
        <v>1</v>
      </c>
      <c r="R700" s="2">
        <v>1</v>
      </c>
      <c r="S700" s="11">
        <v>1</v>
      </c>
      <c r="T700" s="11">
        <v>1</v>
      </c>
      <c r="U700" s="11">
        <v>0</v>
      </c>
      <c r="V700" s="2">
        <v>0</v>
      </c>
      <c r="W700" s="2">
        <v>1</v>
      </c>
      <c r="X700" s="2">
        <v>3</v>
      </c>
      <c r="Y700" s="2">
        <v>0</v>
      </c>
      <c r="Z700" s="27">
        <v>1946.0509999999999</v>
      </c>
      <c r="AA700" s="31">
        <v>1947.03</v>
      </c>
    </row>
    <row r="701" spans="1:27" x14ac:dyDescent="0.2">
      <c r="A701" s="3" t="s">
        <v>2073</v>
      </c>
      <c r="B701" s="2" t="s">
        <v>2074</v>
      </c>
      <c r="C701" s="8">
        <v>17236</v>
      </c>
      <c r="D701" s="2">
        <v>1947</v>
      </c>
      <c r="E701" s="2">
        <v>1940</v>
      </c>
      <c r="F701" s="2">
        <v>0</v>
      </c>
      <c r="G701" s="2">
        <v>0</v>
      </c>
      <c r="H701" s="3" t="s">
        <v>27</v>
      </c>
      <c r="I701" s="3" t="s">
        <v>4926</v>
      </c>
      <c r="J701" s="3" t="s">
        <v>2075</v>
      </c>
      <c r="K701" s="21" t="s">
        <v>1949</v>
      </c>
      <c r="L701" s="10">
        <v>15371</v>
      </c>
      <c r="M701" s="4">
        <v>62</v>
      </c>
      <c r="N701" s="2">
        <v>77</v>
      </c>
      <c r="O701" s="2">
        <v>5</v>
      </c>
      <c r="Q701" s="2">
        <v>1</v>
      </c>
      <c r="R701" s="2">
        <v>0</v>
      </c>
      <c r="S701" s="11">
        <v>1</v>
      </c>
      <c r="T701" s="11">
        <v>1</v>
      </c>
      <c r="U701" s="11">
        <v>1</v>
      </c>
      <c r="V701" s="2">
        <v>0</v>
      </c>
      <c r="W701" s="2">
        <v>0</v>
      </c>
      <c r="X701" s="2">
        <v>0</v>
      </c>
      <c r="Y701" s="2">
        <v>0</v>
      </c>
      <c r="Z701" s="27">
        <v>1946.0609999999999</v>
      </c>
      <c r="AA701" s="31">
        <v>1947.04</v>
      </c>
    </row>
    <row r="702" spans="1:27" x14ac:dyDescent="0.2">
      <c r="A702" s="3" t="s">
        <v>2076</v>
      </c>
      <c r="B702" s="2" t="s">
        <v>2077</v>
      </c>
      <c r="C702" s="8">
        <v>17208</v>
      </c>
      <c r="D702" s="2">
        <v>1947</v>
      </c>
      <c r="E702" s="2">
        <v>1940</v>
      </c>
      <c r="F702" s="2">
        <v>0</v>
      </c>
      <c r="G702" s="2">
        <v>0</v>
      </c>
      <c r="H702" s="3" t="s">
        <v>27</v>
      </c>
      <c r="I702" s="3" t="s">
        <v>5056</v>
      </c>
      <c r="J702" s="3" t="s">
        <v>2072</v>
      </c>
      <c r="K702" s="21" t="s">
        <v>2078</v>
      </c>
      <c r="L702" s="10">
        <v>14459</v>
      </c>
      <c r="M702" s="4">
        <f>7+(7*12)</f>
        <v>91</v>
      </c>
      <c r="N702" s="2">
        <v>76</v>
      </c>
      <c r="O702" s="2">
        <v>2</v>
      </c>
      <c r="Q702" s="2">
        <v>1</v>
      </c>
      <c r="R702" s="2">
        <v>1</v>
      </c>
      <c r="S702" s="11">
        <v>1</v>
      </c>
      <c r="T702" s="11">
        <v>0</v>
      </c>
      <c r="U702" s="11">
        <v>0</v>
      </c>
      <c r="V702" s="2">
        <v>0</v>
      </c>
      <c r="W702" s="2">
        <v>1</v>
      </c>
      <c r="X702" s="2">
        <v>3</v>
      </c>
      <c r="Y702" s="2">
        <v>0</v>
      </c>
      <c r="Z702" s="27">
        <v>1946.05</v>
      </c>
      <c r="AA702" s="31">
        <v>1947.05</v>
      </c>
    </row>
    <row r="703" spans="1:27" x14ac:dyDescent="0.2">
      <c r="A703" s="3" t="s">
        <v>2062</v>
      </c>
      <c r="B703" s="2" t="s">
        <v>2063</v>
      </c>
      <c r="C703" s="8">
        <v>17285</v>
      </c>
      <c r="D703" s="2">
        <v>1947</v>
      </c>
      <c r="E703" s="2">
        <v>1940</v>
      </c>
      <c r="F703" s="2">
        <v>0</v>
      </c>
      <c r="G703" s="2">
        <v>0</v>
      </c>
      <c r="H703" s="3" t="s">
        <v>27</v>
      </c>
      <c r="I703" s="3" t="s">
        <v>4938</v>
      </c>
      <c r="J703" s="3" t="s">
        <v>2064</v>
      </c>
      <c r="K703" s="21" t="s">
        <v>2065</v>
      </c>
      <c r="L703" s="10">
        <v>17008</v>
      </c>
      <c r="M703" s="4">
        <v>9</v>
      </c>
      <c r="N703" s="2">
        <v>79</v>
      </c>
      <c r="O703" s="2">
        <v>4</v>
      </c>
      <c r="Q703" s="2">
        <v>0</v>
      </c>
      <c r="R703" s="2">
        <v>0</v>
      </c>
      <c r="S703" s="11">
        <v>1</v>
      </c>
      <c r="T703" s="11">
        <v>0</v>
      </c>
      <c r="U703" s="11">
        <v>1</v>
      </c>
      <c r="V703" s="2">
        <v>0</v>
      </c>
      <c r="W703" s="2">
        <v>1</v>
      </c>
      <c r="X703" s="2">
        <v>1</v>
      </c>
      <c r="Y703" s="2">
        <v>0</v>
      </c>
      <c r="Z703" s="27">
        <v>1946.0909999999999</v>
      </c>
      <c r="AA703" s="31">
        <v>1947.06</v>
      </c>
    </row>
    <row r="704" spans="1:27" x14ac:dyDescent="0.2">
      <c r="A704" t="s">
        <v>2083</v>
      </c>
      <c r="B704" s="2" t="s">
        <v>2084</v>
      </c>
      <c r="C704" s="8">
        <v>17306</v>
      </c>
      <c r="D704" s="2">
        <v>1947</v>
      </c>
      <c r="E704" s="2">
        <v>1940</v>
      </c>
      <c r="F704" s="2">
        <v>0</v>
      </c>
      <c r="G704" s="2">
        <v>0</v>
      </c>
      <c r="H704" t="s">
        <v>27</v>
      </c>
      <c r="I704" t="s">
        <v>4939</v>
      </c>
      <c r="J704" t="s">
        <v>2085</v>
      </c>
      <c r="K704" t="s">
        <v>2086</v>
      </c>
      <c r="L704" s="10">
        <v>14056</v>
      </c>
      <c r="M704">
        <f>11+(8*12)</f>
        <v>107</v>
      </c>
      <c r="N704" s="2">
        <v>75</v>
      </c>
      <c r="O704" s="2">
        <v>5</v>
      </c>
      <c r="Q704" s="2">
        <v>1</v>
      </c>
      <c r="R704" s="2">
        <v>1</v>
      </c>
      <c r="S704" s="11">
        <v>1</v>
      </c>
      <c r="T704" s="11">
        <v>0</v>
      </c>
      <c r="U704" s="11">
        <v>1</v>
      </c>
      <c r="V704" s="2">
        <v>0</v>
      </c>
      <c r="W704" s="2">
        <v>1</v>
      </c>
      <c r="X704" s="2">
        <v>1</v>
      </c>
      <c r="Y704" s="2">
        <v>0</v>
      </c>
      <c r="Z704" s="27">
        <v>1946.105</v>
      </c>
      <c r="AA704" s="31">
        <v>1947.07</v>
      </c>
    </row>
    <row r="705" spans="1:27" x14ac:dyDescent="0.2">
      <c r="A705" t="s">
        <v>2079</v>
      </c>
      <c r="B705" s="2" t="s">
        <v>2080</v>
      </c>
      <c r="C705" s="8">
        <v>17341</v>
      </c>
      <c r="D705" s="2">
        <v>1947</v>
      </c>
      <c r="E705" s="2">
        <v>1940</v>
      </c>
      <c r="F705" s="2">
        <v>0</v>
      </c>
      <c r="G705" s="2">
        <v>0</v>
      </c>
      <c r="H705" t="s">
        <v>27</v>
      </c>
      <c r="I705" t="s">
        <v>2081</v>
      </c>
      <c r="J705" t="s">
        <v>2081</v>
      </c>
      <c r="K705" s="21" t="s">
        <v>2082</v>
      </c>
      <c r="L705" s="10">
        <v>16908</v>
      </c>
      <c r="M705">
        <f>2+12</f>
        <v>14</v>
      </c>
      <c r="N705" s="2">
        <v>79</v>
      </c>
      <c r="O705" s="2">
        <v>1</v>
      </c>
      <c r="P705" s="2">
        <v>4</v>
      </c>
      <c r="Q705" s="2">
        <v>0</v>
      </c>
      <c r="R705" s="2">
        <v>0</v>
      </c>
      <c r="S705" s="11">
        <v>1</v>
      </c>
      <c r="T705" s="11">
        <v>0</v>
      </c>
      <c r="U705" s="11">
        <v>1</v>
      </c>
      <c r="V705" s="2">
        <v>0</v>
      </c>
      <c r="W705" s="2">
        <v>1</v>
      </c>
      <c r="X705" s="2">
        <v>3</v>
      </c>
      <c r="Y705" s="2">
        <v>0</v>
      </c>
      <c r="Z705" s="27">
        <v>1946.125</v>
      </c>
      <c r="AA705" s="31">
        <v>1947.08</v>
      </c>
    </row>
    <row r="706" spans="1:27" x14ac:dyDescent="0.2">
      <c r="A706" t="s">
        <v>2059</v>
      </c>
      <c r="B706" s="2" t="s">
        <v>2060</v>
      </c>
      <c r="C706" s="8">
        <v>17341</v>
      </c>
      <c r="D706" s="2">
        <v>1947</v>
      </c>
      <c r="E706" s="2">
        <v>1940</v>
      </c>
      <c r="F706" s="2">
        <v>0</v>
      </c>
      <c r="G706" s="2">
        <v>0</v>
      </c>
      <c r="H706" t="s">
        <v>27</v>
      </c>
      <c r="I706" t="s">
        <v>4940</v>
      </c>
      <c r="J706" t="s">
        <v>2061</v>
      </c>
      <c r="K706" s="21" t="s">
        <v>1807</v>
      </c>
      <c r="L706" s="10">
        <v>12218</v>
      </c>
      <c r="M706">
        <f>12*14</f>
        <v>168</v>
      </c>
      <c r="N706" s="2">
        <v>73</v>
      </c>
      <c r="O706" s="2">
        <v>6</v>
      </c>
      <c r="Q706" s="2">
        <v>1</v>
      </c>
      <c r="R706" s="2">
        <v>0</v>
      </c>
      <c r="S706" s="11">
        <v>1</v>
      </c>
      <c r="T706" s="11">
        <v>0</v>
      </c>
      <c r="U706" s="11">
        <v>1</v>
      </c>
      <c r="V706" s="2">
        <v>0</v>
      </c>
      <c r="W706" s="2">
        <v>1</v>
      </c>
      <c r="X706" s="2">
        <v>0</v>
      </c>
      <c r="Y706" s="2">
        <v>0</v>
      </c>
      <c r="Z706" s="27">
        <v>1946.136</v>
      </c>
      <c r="AA706" s="31">
        <v>1947.09</v>
      </c>
    </row>
    <row r="707" spans="1:27" x14ac:dyDescent="0.2">
      <c r="A707" s="3" t="s">
        <v>1431</v>
      </c>
      <c r="B707" s="2" t="s">
        <v>2105</v>
      </c>
      <c r="C707" s="8">
        <v>17551</v>
      </c>
      <c r="D707" s="2">
        <v>1948</v>
      </c>
      <c r="E707" s="2">
        <v>1940</v>
      </c>
      <c r="F707" s="2">
        <v>0</v>
      </c>
      <c r="G707" s="2">
        <v>0</v>
      </c>
      <c r="H707" s="3" t="s">
        <v>27</v>
      </c>
      <c r="I707" t="s">
        <v>4939</v>
      </c>
      <c r="J707" s="3" t="s">
        <v>2106</v>
      </c>
      <c r="K707" s="3" t="s">
        <v>2086</v>
      </c>
      <c r="L707" s="10">
        <v>14056</v>
      </c>
      <c r="M707" s="4">
        <f>6+(9*12)</f>
        <v>114</v>
      </c>
      <c r="N707" s="2">
        <v>75</v>
      </c>
      <c r="O707" s="2">
        <v>5</v>
      </c>
      <c r="Q707" s="2">
        <v>1</v>
      </c>
      <c r="R707" s="2">
        <v>1</v>
      </c>
      <c r="S707" s="11">
        <v>1</v>
      </c>
      <c r="T707" s="11">
        <v>1</v>
      </c>
      <c r="U707" s="11">
        <v>1</v>
      </c>
      <c r="V707" s="2">
        <v>0</v>
      </c>
      <c r="W707" s="2">
        <v>1</v>
      </c>
      <c r="X707" s="2">
        <v>3</v>
      </c>
      <c r="Y707" s="2">
        <v>0</v>
      </c>
      <c r="Z707" s="27">
        <v>1947.0260000000001</v>
      </c>
      <c r="AA707" s="31">
        <v>1948.01</v>
      </c>
    </row>
    <row r="708" spans="1:27" x14ac:dyDescent="0.2">
      <c r="A708" s="3" t="s">
        <v>2109</v>
      </c>
      <c r="B708" s="2" t="s">
        <v>2110</v>
      </c>
      <c r="C708" s="8">
        <v>17579</v>
      </c>
      <c r="D708" s="2">
        <v>1948</v>
      </c>
      <c r="E708" s="2">
        <v>1940</v>
      </c>
      <c r="F708" s="2">
        <v>0</v>
      </c>
      <c r="G708" s="2">
        <v>0</v>
      </c>
      <c r="H708" s="3" t="s">
        <v>27</v>
      </c>
      <c r="I708" s="3" t="s">
        <v>4941</v>
      </c>
      <c r="J708" s="3" t="s">
        <v>2111</v>
      </c>
      <c r="K708" s="3" t="s">
        <v>2112</v>
      </c>
      <c r="L708" s="10">
        <v>17348</v>
      </c>
      <c r="M708" s="4">
        <v>8</v>
      </c>
      <c r="N708" s="2">
        <v>80</v>
      </c>
      <c r="O708" s="2">
        <v>5</v>
      </c>
      <c r="P708" s="2">
        <v>4</v>
      </c>
      <c r="Q708" s="2">
        <v>0</v>
      </c>
      <c r="R708" s="2">
        <v>0</v>
      </c>
      <c r="S708" s="11">
        <v>1</v>
      </c>
      <c r="T708" s="11">
        <v>0</v>
      </c>
      <c r="U708" s="11">
        <v>1</v>
      </c>
      <c r="V708" s="2">
        <v>0</v>
      </c>
      <c r="W708" s="2">
        <v>1</v>
      </c>
      <c r="X708" s="2">
        <v>0</v>
      </c>
      <c r="Y708" s="2">
        <v>1</v>
      </c>
      <c r="Z708" s="27">
        <v>1947.04</v>
      </c>
      <c r="AA708" s="31">
        <v>1948.02</v>
      </c>
    </row>
    <row r="709" spans="1:27" x14ac:dyDescent="0.2">
      <c r="A709" s="3" t="s">
        <v>2102</v>
      </c>
      <c r="B709" s="2" t="s">
        <v>2103</v>
      </c>
      <c r="C709" s="8">
        <v>17600</v>
      </c>
      <c r="D709" s="2">
        <v>1948</v>
      </c>
      <c r="E709" s="2">
        <v>1940</v>
      </c>
      <c r="F709" s="2">
        <v>0</v>
      </c>
      <c r="G709" s="2">
        <v>0</v>
      </c>
      <c r="H709" s="3" t="s">
        <v>27</v>
      </c>
      <c r="I709" s="3" t="s">
        <v>1515</v>
      </c>
      <c r="J709" s="3" t="s">
        <v>2104</v>
      </c>
      <c r="K709" s="15"/>
      <c r="L709" s="4" t="s">
        <v>688</v>
      </c>
      <c r="M709" s="4">
        <f>(61*12)+1</f>
        <v>733</v>
      </c>
      <c r="N709" s="2">
        <v>49</v>
      </c>
      <c r="O709" s="2">
        <v>4</v>
      </c>
      <c r="Q709" s="2">
        <v>1</v>
      </c>
      <c r="R709" s="2">
        <v>1</v>
      </c>
      <c r="S709" s="11">
        <v>1</v>
      </c>
      <c r="T709" s="11">
        <v>0</v>
      </c>
      <c r="U709" s="11">
        <v>1</v>
      </c>
      <c r="V709" s="2">
        <v>0</v>
      </c>
      <c r="W709" s="2">
        <v>1</v>
      </c>
      <c r="X709" s="2">
        <v>1</v>
      </c>
      <c r="Y709" s="2">
        <v>0</v>
      </c>
      <c r="Z709" s="27">
        <v>1947.0440000000001</v>
      </c>
      <c r="AA709" s="31">
        <v>1948.03</v>
      </c>
    </row>
    <row r="710" spans="1:27" x14ac:dyDescent="0.2">
      <c r="A710" s="3" t="s">
        <v>2087</v>
      </c>
      <c r="B710" s="2" t="s">
        <v>2088</v>
      </c>
      <c r="C710" s="8">
        <v>17600</v>
      </c>
      <c r="D710" s="2">
        <v>1948</v>
      </c>
      <c r="E710" s="2">
        <v>1940</v>
      </c>
      <c r="F710" s="2">
        <v>0</v>
      </c>
      <c r="G710" s="2">
        <v>0</v>
      </c>
      <c r="H710" s="3" t="s">
        <v>27</v>
      </c>
      <c r="I710" s="3" t="s">
        <v>2089</v>
      </c>
      <c r="J710" s="3" t="s">
        <v>2089</v>
      </c>
      <c r="K710" s="15"/>
      <c r="L710" s="4" t="s">
        <v>728</v>
      </c>
      <c r="M710" s="4">
        <f>53*12</f>
        <v>636</v>
      </c>
      <c r="N710" s="2">
        <v>53</v>
      </c>
      <c r="O710" s="2">
        <v>2</v>
      </c>
      <c r="Q710" s="2">
        <v>0</v>
      </c>
      <c r="R710" s="2">
        <v>0</v>
      </c>
      <c r="S710" s="11">
        <v>1</v>
      </c>
      <c r="T710" s="11">
        <v>1</v>
      </c>
      <c r="U710" s="11">
        <v>1</v>
      </c>
      <c r="V710" s="2">
        <v>0</v>
      </c>
      <c r="W710" s="2">
        <v>1</v>
      </c>
      <c r="X710" s="2">
        <v>2</v>
      </c>
      <c r="Y710" s="2">
        <v>0</v>
      </c>
      <c r="Z710" s="27">
        <v>1947.0450000000001</v>
      </c>
      <c r="AA710" s="31">
        <v>1948.04</v>
      </c>
    </row>
    <row r="711" spans="1:27" x14ac:dyDescent="0.2">
      <c r="A711" s="3" t="s">
        <v>2090</v>
      </c>
      <c r="B711" s="2" t="s">
        <v>2091</v>
      </c>
      <c r="C711" s="8">
        <v>17698</v>
      </c>
      <c r="D711" s="2">
        <v>1948</v>
      </c>
      <c r="E711" s="2">
        <v>1940</v>
      </c>
      <c r="F711" s="2">
        <v>0</v>
      </c>
      <c r="G711" s="2">
        <v>0</v>
      </c>
      <c r="H711" s="3" t="s">
        <v>27</v>
      </c>
      <c r="I711" s="3" t="s">
        <v>4942</v>
      </c>
      <c r="J711" s="3" t="s">
        <v>2092</v>
      </c>
      <c r="K711" s="21" t="s">
        <v>2093</v>
      </c>
      <c r="L711" s="10">
        <v>15459</v>
      </c>
      <c r="M711" s="4">
        <f>2+(6*12)</f>
        <v>74</v>
      </c>
      <c r="N711" s="2">
        <v>77</v>
      </c>
      <c r="O711" s="2">
        <v>4</v>
      </c>
      <c r="P711" s="2">
        <v>5</v>
      </c>
      <c r="Q711" s="2">
        <v>0</v>
      </c>
      <c r="R711" s="2">
        <v>0</v>
      </c>
      <c r="S711" s="11">
        <v>1</v>
      </c>
      <c r="T711" s="11">
        <v>1</v>
      </c>
      <c r="U711" s="11">
        <v>0</v>
      </c>
      <c r="V711" s="2">
        <v>0</v>
      </c>
      <c r="W711" s="2">
        <v>1</v>
      </c>
      <c r="X711" s="2">
        <v>2</v>
      </c>
      <c r="Y711" s="2">
        <v>0</v>
      </c>
      <c r="Z711" s="27">
        <v>1947.1079999999999</v>
      </c>
      <c r="AA711" s="31">
        <v>1948.05</v>
      </c>
    </row>
    <row r="712" spans="1:27" x14ac:dyDescent="0.2">
      <c r="A712" s="3" t="s">
        <v>2099</v>
      </c>
      <c r="B712" s="2" t="s">
        <v>2100</v>
      </c>
      <c r="C712" s="8">
        <v>17705</v>
      </c>
      <c r="D712" s="2">
        <v>1948</v>
      </c>
      <c r="E712" s="2">
        <v>1940</v>
      </c>
      <c r="F712" s="2">
        <v>0</v>
      </c>
      <c r="G712" s="2">
        <v>0</v>
      </c>
      <c r="H712" s="3" t="s">
        <v>27</v>
      </c>
      <c r="I712" s="3" t="s">
        <v>4926</v>
      </c>
      <c r="J712" s="3" t="s">
        <v>2101</v>
      </c>
      <c r="K712" s="21" t="s">
        <v>1949</v>
      </c>
      <c r="L712" s="10">
        <v>15371</v>
      </c>
      <c r="M712" s="4">
        <f>77</f>
        <v>77</v>
      </c>
      <c r="N712" s="2">
        <v>77</v>
      </c>
      <c r="O712" s="2">
        <v>1</v>
      </c>
      <c r="Q712" s="2">
        <v>1</v>
      </c>
      <c r="R712" s="2">
        <v>0</v>
      </c>
      <c r="S712" s="11">
        <v>1</v>
      </c>
      <c r="T712" s="11">
        <v>1</v>
      </c>
      <c r="U712" s="11">
        <v>0</v>
      </c>
      <c r="V712" s="2">
        <v>0</v>
      </c>
      <c r="W712" s="2">
        <v>1</v>
      </c>
      <c r="X712" s="2">
        <v>4</v>
      </c>
      <c r="Y712" s="2">
        <v>0</v>
      </c>
      <c r="Z712" s="27">
        <v>1947.11</v>
      </c>
      <c r="AA712" s="31">
        <v>1948.06</v>
      </c>
    </row>
    <row r="713" spans="1:27" x14ac:dyDescent="0.2">
      <c r="A713" s="3" t="s">
        <v>3943</v>
      </c>
      <c r="B713" s="2" t="s">
        <v>3944</v>
      </c>
      <c r="C713" s="8">
        <v>17705</v>
      </c>
      <c r="D713" s="2">
        <v>1948</v>
      </c>
      <c r="E713" s="2">
        <v>1940</v>
      </c>
      <c r="F713" s="2">
        <v>1</v>
      </c>
      <c r="G713" s="2">
        <v>1</v>
      </c>
      <c r="H713" s="3" t="s">
        <v>3442</v>
      </c>
      <c r="I713" s="3" t="s">
        <v>5068</v>
      </c>
      <c r="J713" s="3" t="s">
        <v>3945</v>
      </c>
      <c r="K713" s="21" t="s">
        <v>2133</v>
      </c>
      <c r="L713" s="10">
        <v>17341</v>
      </c>
      <c r="M713" s="4">
        <v>12</v>
      </c>
      <c r="N713" s="2">
        <v>80</v>
      </c>
      <c r="O713" s="2">
        <v>2</v>
      </c>
      <c r="Q713" s="2">
        <v>1</v>
      </c>
      <c r="R713" s="2">
        <v>1</v>
      </c>
      <c r="S713" s="11">
        <v>1</v>
      </c>
      <c r="T713" s="11">
        <v>0</v>
      </c>
      <c r="U713" s="11">
        <v>0</v>
      </c>
      <c r="V713" s="2">
        <v>0</v>
      </c>
      <c r="W713" s="2">
        <v>1</v>
      </c>
      <c r="X713" s="2">
        <v>0</v>
      </c>
      <c r="Y713" s="2">
        <v>1</v>
      </c>
      <c r="Z713" s="27">
        <v>1947.1130000000001</v>
      </c>
      <c r="AA713" s="31">
        <v>1948.07</v>
      </c>
    </row>
    <row r="714" spans="1:27" x14ac:dyDescent="0.2">
      <c r="A714" s="3" t="s">
        <v>2094</v>
      </c>
      <c r="B714" s="2" t="s">
        <v>2095</v>
      </c>
      <c r="C714" s="8">
        <v>17705</v>
      </c>
      <c r="D714" s="2">
        <v>1948</v>
      </c>
      <c r="E714" s="2">
        <v>1940</v>
      </c>
      <c r="F714" s="2">
        <v>0</v>
      </c>
      <c r="G714" s="2">
        <v>0</v>
      </c>
      <c r="H714" s="3" t="s">
        <v>27</v>
      </c>
      <c r="I714" s="3" t="s">
        <v>2096</v>
      </c>
      <c r="J714" s="3" t="s">
        <v>2096</v>
      </c>
      <c r="K714" s="18" t="s">
        <v>2097</v>
      </c>
      <c r="L714" s="4" t="s">
        <v>2098</v>
      </c>
      <c r="M714" s="4">
        <f>150*12+11</f>
        <v>1811</v>
      </c>
      <c r="N714" s="2">
        <v>5</v>
      </c>
      <c r="O714" s="2">
        <v>1</v>
      </c>
      <c r="Q714" s="2">
        <v>1</v>
      </c>
      <c r="R714" s="2">
        <v>1</v>
      </c>
      <c r="S714" s="11">
        <v>1</v>
      </c>
      <c r="T714" s="11">
        <v>1</v>
      </c>
      <c r="U714" s="11">
        <v>0</v>
      </c>
      <c r="V714" s="2">
        <v>0</v>
      </c>
      <c r="W714" s="2">
        <v>1</v>
      </c>
      <c r="X714" s="2">
        <v>4</v>
      </c>
      <c r="Y714" s="2">
        <v>1</v>
      </c>
      <c r="Z714" s="27">
        <v>1947.114</v>
      </c>
      <c r="AA714" s="31">
        <v>1948.08</v>
      </c>
    </row>
    <row r="715" spans="1:27" x14ac:dyDescent="0.2">
      <c r="A715" s="3" t="s">
        <v>2107</v>
      </c>
      <c r="B715" s="2" t="s">
        <v>2108</v>
      </c>
      <c r="C715" s="8">
        <v>17873</v>
      </c>
      <c r="D715" s="2">
        <v>1948</v>
      </c>
      <c r="E715" s="2">
        <v>1940</v>
      </c>
      <c r="F715" s="2">
        <v>0</v>
      </c>
      <c r="G715" s="2">
        <v>0</v>
      </c>
      <c r="H715" s="3" t="s">
        <v>27</v>
      </c>
      <c r="I715" s="3" t="s">
        <v>4856</v>
      </c>
      <c r="J715" s="3" t="s">
        <v>1884</v>
      </c>
      <c r="K715" s="3" t="s">
        <v>1885</v>
      </c>
      <c r="L715" s="10">
        <v>14056</v>
      </c>
      <c r="M715" s="4">
        <v>126</v>
      </c>
      <c r="N715" s="2">
        <v>75</v>
      </c>
      <c r="O715" s="2">
        <v>4</v>
      </c>
      <c r="Q715" s="2">
        <v>1</v>
      </c>
      <c r="R715" s="2">
        <v>1</v>
      </c>
      <c r="S715" s="11">
        <v>1</v>
      </c>
      <c r="T715" s="11">
        <v>1</v>
      </c>
      <c r="U715" s="11">
        <v>0</v>
      </c>
      <c r="V715" s="2">
        <v>0</v>
      </c>
      <c r="W715" s="2">
        <v>0</v>
      </c>
      <c r="X715" s="2">
        <v>4</v>
      </c>
      <c r="Y715" s="2">
        <v>0</v>
      </c>
      <c r="Z715" s="27">
        <v>1948.01</v>
      </c>
      <c r="AA715" s="31">
        <v>1948.09</v>
      </c>
    </row>
    <row r="716" spans="1:27" x14ac:dyDescent="0.2">
      <c r="A716" s="3" t="s">
        <v>2122</v>
      </c>
      <c r="B716" s="2" t="s">
        <v>2123</v>
      </c>
      <c r="C716" s="8">
        <v>17957</v>
      </c>
      <c r="D716" s="2">
        <v>1949</v>
      </c>
      <c r="E716" s="2">
        <v>1940</v>
      </c>
      <c r="F716" s="2">
        <v>0</v>
      </c>
      <c r="G716" s="2">
        <v>0</v>
      </c>
      <c r="H716" s="3" t="s">
        <v>27</v>
      </c>
      <c r="I716" s="3" t="s">
        <v>4908</v>
      </c>
      <c r="J716" s="3" t="s">
        <v>1672</v>
      </c>
      <c r="K716" s="21" t="s">
        <v>1673</v>
      </c>
      <c r="L716" s="10">
        <v>12970</v>
      </c>
      <c r="M716" s="4">
        <f>7+(12*13)</f>
        <v>163</v>
      </c>
      <c r="N716" s="2">
        <v>74</v>
      </c>
      <c r="O716" s="2">
        <v>4</v>
      </c>
      <c r="Q716" s="2">
        <v>1</v>
      </c>
      <c r="R716" s="2">
        <v>1</v>
      </c>
      <c r="S716" s="11">
        <v>1</v>
      </c>
      <c r="T716" s="11">
        <v>1</v>
      </c>
      <c r="U716" s="11">
        <v>1</v>
      </c>
      <c r="V716" s="2">
        <v>0</v>
      </c>
      <c r="W716" s="2">
        <v>1</v>
      </c>
      <c r="X716" s="2">
        <v>3</v>
      </c>
      <c r="Y716" s="2">
        <v>0</v>
      </c>
      <c r="Z716" s="27">
        <v>1948.0419999999999</v>
      </c>
      <c r="AA716" s="31">
        <v>1949.01</v>
      </c>
    </row>
    <row r="717" spans="1:27" x14ac:dyDescent="0.2">
      <c r="A717" s="3" t="s">
        <v>2113</v>
      </c>
      <c r="B717" s="2" t="s">
        <v>2114</v>
      </c>
      <c r="C717" s="8">
        <v>18055</v>
      </c>
      <c r="D717" s="2">
        <v>1949</v>
      </c>
      <c r="E717" s="2">
        <v>1940</v>
      </c>
      <c r="F717" s="2">
        <v>0</v>
      </c>
      <c r="G717" s="2">
        <v>0</v>
      </c>
      <c r="H717" s="3" t="s">
        <v>27</v>
      </c>
      <c r="I717" s="3" t="s">
        <v>4920</v>
      </c>
      <c r="J717" s="3" t="s">
        <v>2115</v>
      </c>
      <c r="K717" s="21" t="s">
        <v>1836</v>
      </c>
      <c r="L717" s="10">
        <v>12589</v>
      </c>
      <c r="M717" s="4">
        <f>15*12</f>
        <v>180</v>
      </c>
      <c r="N717" s="2">
        <v>73</v>
      </c>
      <c r="O717" s="2">
        <v>1</v>
      </c>
      <c r="Q717" s="2">
        <v>1</v>
      </c>
      <c r="R717" s="2">
        <v>0</v>
      </c>
      <c r="S717" s="11">
        <v>1</v>
      </c>
      <c r="T717" s="11">
        <v>1</v>
      </c>
      <c r="U717" s="11">
        <v>1</v>
      </c>
      <c r="V717" s="2">
        <v>0</v>
      </c>
      <c r="W717" s="2">
        <v>1</v>
      </c>
      <c r="X717" s="2">
        <v>0</v>
      </c>
      <c r="Y717" s="2">
        <v>0</v>
      </c>
      <c r="Z717" s="27">
        <v>1948.0889999999999</v>
      </c>
      <c r="AA717" s="31">
        <v>1949.02</v>
      </c>
    </row>
    <row r="718" spans="1:27" x14ac:dyDescent="0.2">
      <c r="A718" s="3" t="s">
        <v>2124</v>
      </c>
      <c r="B718" s="2" t="s">
        <v>2125</v>
      </c>
      <c r="C718" s="8">
        <v>18062</v>
      </c>
      <c r="D718" s="2">
        <v>1949</v>
      </c>
      <c r="E718" s="2">
        <v>1940</v>
      </c>
      <c r="F718" s="2">
        <v>0</v>
      </c>
      <c r="G718" s="2">
        <v>0</v>
      </c>
      <c r="H718" s="3" t="s">
        <v>27</v>
      </c>
      <c r="I718" s="3" t="s">
        <v>4943</v>
      </c>
      <c r="J718" s="3" t="s">
        <v>2126</v>
      </c>
      <c r="K718" s="21" t="s">
        <v>2127</v>
      </c>
      <c r="L718" s="10">
        <v>13330</v>
      </c>
      <c r="M718" s="4">
        <f>13*12</f>
        <v>156</v>
      </c>
      <c r="N718" s="2">
        <v>74</v>
      </c>
      <c r="O718" s="2">
        <v>4</v>
      </c>
      <c r="Q718" s="2">
        <v>1</v>
      </c>
      <c r="R718" s="2">
        <v>0</v>
      </c>
      <c r="S718" s="11">
        <v>1</v>
      </c>
      <c r="T718" s="11">
        <v>1</v>
      </c>
      <c r="U718" s="11">
        <v>1</v>
      </c>
      <c r="V718" s="2">
        <v>0</v>
      </c>
      <c r="W718" s="2">
        <v>1</v>
      </c>
      <c r="X718" s="2">
        <v>4</v>
      </c>
      <c r="Y718" s="2">
        <v>0</v>
      </c>
      <c r="Z718" s="27">
        <v>1948.0920000000001</v>
      </c>
      <c r="AA718" s="31">
        <v>1949.03</v>
      </c>
    </row>
    <row r="719" spans="1:27" x14ac:dyDescent="0.2">
      <c r="A719" s="3" t="s">
        <v>2120</v>
      </c>
      <c r="B719" s="2" t="s">
        <v>2121</v>
      </c>
      <c r="C719" s="8">
        <v>18069</v>
      </c>
      <c r="D719" s="2">
        <v>1949</v>
      </c>
      <c r="E719" s="2">
        <v>1940</v>
      </c>
      <c r="F719" s="2">
        <v>0</v>
      </c>
      <c r="G719" s="2">
        <v>0</v>
      </c>
      <c r="H719" s="3" t="s">
        <v>27</v>
      </c>
      <c r="I719" s="3" t="s">
        <v>2118</v>
      </c>
      <c r="J719" s="3" t="s">
        <v>2118</v>
      </c>
      <c r="K719" s="21" t="s">
        <v>2119</v>
      </c>
      <c r="L719" s="10">
        <v>14721</v>
      </c>
      <c r="M719" s="4">
        <f>2+(9*12)</f>
        <v>110</v>
      </c>
      <c r="N719" s="2">
        <v>76</v>
      </c>
      <c r="O719" s="2">
        <v>6</v>
      </c>
      <c r="Q719" s="2">
        <v>0</v>
      </c>
      <c r="R719" s="2">
        <v>0</v>
      </c>
      <c r="S719" s="11">
        <v>1</v>
      </c>
      <c r="T719" s="11">
        <v>1</v>
      </c>
      <c r="U719" s="11">
        <v>1</v>
      </c>
      <c r="V719" s="2">
        <v>0</v>
      </c>
      <c r="W719" s="2">
        <v>0</v>
      </c>
      <c r="X719" s="2">
        <v>4</v>
      </c>
      <c r="Y719" s="2">
        <v>0</v>
      </c>
      <c r="Z719" s="27">
        <v>1948.1030000000001</v>
      </c>
      <c r="AA719" s="31">
        <v>1949.04</v>
      </c>
    </row>
    <row r="720" spans="1:27" x14ac:dyDescent="0.2">
      <c r="A720" s="3" t="s">
        <v>2116</v>
      </c>
      <c r="B720" s="2" t="s">
        <v>2117</v>
      </c>
      <c r="C720" s="8">
        <v>18209</v>
      </c>
      <c r="D720" s="2">
        <v>1949</v>
      </c>
      <c r="E720" s="2">
        <v>1940</v>
      </c>
      <c r="F720" s="2">
        <v>0</v>
      </c>
      <c r="G720" s="2">
        <v>0</v>
      </c>
      <c r="H720" s="3" t="s">
        <v>27</v>
      </c>
      <c r="I720" s="3" t="s">
        <v>2118</v>
      </c>
      <c r="J720" s="3" t="s">
        <v>2118</v>
      </c>
      <c r="K720" s="21" t="s">
        <v>2119</v>
      </c>
      <c r="L720" s="10">
        <v>14721</v>
      </c>
      <c r="M720" s="4">
        <v>115</v>
      </c>
      <c r="N720" s="2">
        <v>76</v>
      </c>
      <c r="O720" s="2">
        <v>6</v>
      </c>
      <c r="Q720" s="2">
        <v>0</v>
      </c>
      <c r="R720" s="2">
        <v>0</v>
      </c>
      <c r="S720" s="11">
        <v>1</v>
      </c>
      <c r="T720" s="11">
        <v>1</v>
      </c>
      <c r="U720" s="11">
        <v>1</v>
      </c>
      <c r="V720" s="2">
        <v>0</v>
      </c>
      <c r="W720" s="2">
        <v>0</v>
      </c>
      <c r="X720" s="2">
        <v>0</v>
      </c>
      <c r="Y720" s="2">
        <v>0</v>
      </c>
      <c r="Z720" s="27">
        <v>1949.0029999999999</v>
      </c>
      <c r="AA720" s="31">
        <v>1949.05</v>
      </c>
    </row>
    <row r="721" spans="1:27" x14ac:dyDescent="0.2">
      <c r="A721" s="3" t="s">
        <v>2128</v>
      </c>
      <c r="B721" s="2" t="s">
        <v>2129</v>
      </c>
      <c r="C721" s="8">
        <v>18244</v>
      </c>
      <c r="D721" s="2">
        <v>1949</v>
      </c>
      <c r="E721" s="2">
        <v>1940</v>
      </c>
      <c r="F721" s="2">
        <v>0</v>
      </c>
      <c r="G721" s="2">
        <v>0</v>
      </c>
      <c r="H721" s="3" t="s">
        <v>27</v>
      </c>
      <c r="I721" s="3" t="s">
        <v>4913</v>
      </c>
      <c r="J721" s="3" t="s">
        <v>1726</v>
      </c>
      <c r="K721" s="21" t="s">
        <v>1727</v>
      </c>
      <c r="L721" s="10">
        <v>11846</v>
      </c>
      <c r="M721" s="4">
        <f>6+(12*17)</f>
        <v>210</v>
      </c>
      <c r="N721" s="2">
        <v>72</v>
      </c>
      <c r="O721" s="2">
        <v>5</v>
      </c>
      <c r="Q721" s="2">
        <v>0</v>
      </c>
      <c r="R721" s="2">
        <v>0</v>
      </c>
      <c r="S721" s="11">
        <v>1</v>
      </c>
      <c r="T721" s="11">
        <v>1</v>
      </c>
      <c r="U721" s="11">
        <v>0</v>
      </c>
      <c r="V721" s="2">
        <v>0</v>
      </c>
      <c r="W721" s="2">
        <v>1</v>
      </c>
      <c r="X721" s="2">
        <v>0</v>
      </c>
      <c r="Y721" s="2">
        <v>0</v>
      </c>
      <c r="Z721" s="27">
        <v>1949.0219999999999</v>
      </c>
      <c r="AA721" s="31">
        <v>1949.06</v>
      </c>
    </row>
    <row r="722" spans="1:27" x14ac:dyDescent="0.2">
      <c r="A722" s="3" t="s">
        <v>2141</v>
      </c>
      <c r="B722" s="2" t="s">
        <v>2142</v>
      </c>
      <c r="C722" s="8">
        <v>18279</v>
      </c>
      <c r="D722" s="2">
        <v>1950</v>
      </c>
      <c r="E722" s="2">
        <v>1950</v>
      </c>
      <c r="F722" s="2">
        <v>0</v>
      </c>
      <c r="G722" s="2">
        <v>0</v>
      </c>
      <c r="H722" s="3" t="s">
        <v>27</v>
      </c>
      <c r="I722" s="3" t="s">
        <v>5057</v>
      </c>
      <c r="J722" s="3" t="s">
        <v>2143</v>
      </c>
      <c r="K722" s="21" t="s">
        <v>2144</v>
      </c>
      <c r="L722" s="10">
        <v>15148</v>
      </c>
      <c r="M722" s="4">
        <f>7+(12*8)</f>
        <v>103</v>
      </c>
      <c r="N722" s="2">
        <v>77</v>
      </c>
      <c r="O722" s="2">
        <v>6</v>
      </c>
      <c r="Q722" s="2">
        <v>0</v>
      </c>
      <c r="R722" s="2">
        <v>0</v>
      </c>
      <c r="S722" s="11">
        <v>1</v>
      </c>
      <c r="T722" s="11">
        <v>1</v>
      </c>
      <c r="U722" s="11">
        <v>0</v>
      </c>
      <c r="V722" s="2">
        <v>0</v>
      </c>
      <c r="W722" s="2">
        <v>1</v>
      </c>
      <c r="X722" s="2">
        <v>3</v>
      </c>
      <c r="Y722" s="2">
        <v>0</v>
      </c>
      <c r="Z722" s="27">
        <v>1949.0329999999999</v>
      </c>
      <c r="AA722" s="31">
        <v>1950.01</v>
      </c>
    </row>
    <row r="723" spans="1:27" x14ac:dyDescent="0.2">
      <c r="A723" s="3" t="s">
        <v>2137</v>
      </c>
      <c r="B723" s="2" t="s">
        <v>2138</v>
      </c>
      <c r="C723" s="8">
        <v>18300</v>
      </c>
      <c r="D723" s="2">
        <v>1950</v>
      </c>
      <c r="E723" s="2">
        <v>1950</v>
      </c>
      <c r="F723" s="2">
        <v>0</v>
      </c>
      <c r="G723" s="2">
        <v>0</v>
      </c>
      <c r="H723" s="3" t="s">
        <v>27</v>
      </c>
      <c r="I723" s="3" t="s">
        <v>4944</v>
      </c>
      <c r="J723" s="3" t="s">
        <v>2139</v>
      </c>
      <c r="K723" s="21" t="s">
        <v>2140</v>
      </c>
      <c r="L723" s="10">
        <v>17387</v>
      </c>
      <c r="M723" s="4">
        <f>6+24</f>
        <v>30</v>
      </c>
      <c r="N723" s="2">
        <v>80</v>
      </c>
      <c r="O723" s="2">
        <v>4</v>
      </c>
      <c r="P723" s="2">
        <v>5</v>
      </c>
      <c r="Q723" s="2">
        <v>0</v>
      </c>
      <c r="R723" s="2">
        <v>0</v>
      </c>
      <c r="S723" s="11">
        <v>1</v>
      </c>
      <c r="T723" s="11">
        <v>1</v>
      </c>
      <c r="U723" s="11">
        <v>1</v>
      </c>
      <c r="V723" s="2">
        <v>0</v>
      </c>
      <c r="W723" s="2">
        <v>1</v>
      </c>
      <c r="X723" s="2">
        <v>1</v>
      </c>
      <c r="Y723" s="2">
        <v>1</v>
      </c>
      <c r="Z723" s="27">
        <v>1949.038</v>
      </c>
      <c r="AA723" s="31">
        <v>1950.02</v>
      </c>
    </row>
    <row r="724" spans="1:27" x14ac:dyDescent="0.2">
      <c r="A724" s="3" t="s">
        <v>2145</v>
      </c>
      <c r="B724" s="2" t="s">
        <v>2146</v>
      </c>
      <c r="C724" s="8">
        <v>18300</v>
      </c>
      <c r="D724" s="2">
        <v>1950</v>
      </c>
      <c r="E724" s="2">
        <v>1950</v>
      </c>
      <c r="F724" s="2">
        <v>0</v>
      </c>
      <c r="G724" s="2">
        <v>0</v>
      </c>
      <c r="H724" s="3" t="s">
        <v>27</v>
      </c>
      <c r="I724" s="3" t="s">
        <v>3784</v>
      </c>
      <c r="J724" s="21" t="s">
        <v>1637</v>
      </c>
      <c r="K724" s="21" t="s">
        <v>1638</v>
      </c>
      <c r="L724" s="10">
        <v>5383</v>
      </c>
      <c r="M724" s="4">
        <f>5+(12*35)</f>
        <v>425</v>
      </c>
      <c r="N724" s="2">
        <v>63</v>
      </c>
      <c r="O724" s="2">
        <v>1</v>
      </c>
      <c r="P724" s="2">
        <v>2</v>
      </c>
      <c r="Q724" s="2">
        <v>1</v>
      </c>
      <c r="R724" s="2">
        <v>1</v>
      </c>
      <c r="S724" s="11">
        <v>1</v>
      </c>
      <c r="T724" s="11">
        <v>1</v>
      </c>
      <c r="U724" s="11">
        <v>1</v>
      </c>
      <c r="V724" s="2">
        <v>0</v>
      </c>
      <c r="W724" s="2">
        <v>1</v>
      </c>
      <c r="X724" s="2">
        <v>0</v>
      </c>
      <c r="Y724" s="2">
        <v>0</v>
      </c>
      <c r="Z724" s="27">
        <v>1949.04</v>
      </c>
      <c r="AA724" s="31">
        <v>1950.03</v>
      </c>
    </row>
    <row r="725" spans="1:27" x14ac:dyDescent="0.2">
      <c r="A725" s="3" t="s">
        <v>3946</v>
      </c>
      <c r="B725" s="2" t="s">
        <v>3947</v>
      </c>
      <c r="C725" s="8">
        <v>18314</v>
      </c>
      <c r="D725" s="2">
        <v>1950</v>
      </c>
      <c r="E725" s="2">
        <v>1950</v>
      </c>
      <c r="F725" s="2">
        <v>1</v>
      </c>
      <c r="G725" s="2">
        <v>1</v>
      </c>
      <c r="H725" s="3" t="s">
        <v>3442</v>
      </c>
      <c r="I725" s="3" t="s">
        <v>5076</v>
      </c>
      <c r="J725" s="3" t="s">
        <v>3948</v>
      </c>
      <c r="K725" s="21" t="s">
        <v>1555</v>
      </c>
      <c r="L725" s="10">
        <v>6246</v>
      </c>
      <c r="M725" s="4">
        <f>12*33</f>
        <v>396</v>
      </c>
      <c r="N725" s="2">
        <v>64</v>
      </c>
      <c r="O725" s="2">
        <v>1</v>
      </c>
      <c r="Q725" s="2">
        <v>1</v>
      </c>
      <c r="R725" s="2">
        <v>0</v>
      </c>
      <c r="S725" s="11">
        <v>1</v>
      </c>
      <c r="T725" s="11">
        <v>1</v>
      </c>
      <c r="U725" s="11">
        <v>1</v>
      </c>
      <c r="V725" s="2">
        <v>0</v>
      </c>
      <c r="W725" s="2">
        <v>1</v>
      </c>
      <c r="X725" s="2">
        <v>1</v>
      </c>
      <c r="Y725" s="2">
        <v>0</v>
      </c>
      <c r="Z725" s="27">
        <v>1949.048</v>
      </c>
      <c r="AA725" s="31">
        <v>1950.04</v>
      </c>
    </row>
    <row r="726" spans="1:27" x14ac:dyDescent="0.2">
      <c r="A726" s="3" t="s">
        <v>2130</v>
      </c>
      <c r="B726" s="2" t="s">
        <v>2131</v>
      </c>
      <c r="C726" s="8">
        <v>18391</v>
      </c>
      <c r="D726" s="2">
        <v>1950</v>
      </c>
      <c r="E726" s="2">
        <v>1950</v>
      </c>
      <c r="F726" s="2">
        <v>0</v>
      </c>
      <c r="G726" s="2">
        <v>0</v>
      </c>
      <c r="H726" s="3" t="s">
        <v>27</v>
      </c>
      <c r="I726" s="3" t="s">
        <v>5068</v>
      </c>
      <c r="J726" s="3" t="s">
        <v>2132</v>
      </c>
      <c r="K726" s="21" t="s">
        <v>2133</v>
      </c>
      <c r="L726" s="10">
        <v>17341</v>
      </c>
      <c r="M726" s="4">
        <f>11+24</f>
        <v>35</v>
      </c>
      <c r="N726" s="2">
        <v>80</v>
      </c>
      <c r="O726" s="2">
        <v>2</v>
      </c>
      <c r="P726" s="2">
        <v>4</v>
      </c>
      <c r="Q726" s="2">
        <v>1</v>
      </c>
      <c r="R726" s="2">
        <v>1</v>
      </c>
      <c r="S726" s="11">
        <v>1</v>
      </c>
      <c r="T726" s="11">
        <v>0</v>
      </c>
      <c r="U726" s="11">
        <v>0</v>
      </c>
      <c r="V726" s="2">
        <v>0</v>
      </c>
      <c r="W726" s="2">
        <v>1</v>
      </c>
      <c r="X726" s="2">
        <v>3</v>
      </c>
      <c r="Y726" s="2">
        <v>1</v>
      </c>
      <c r="Z726" s="27">
        <v>1949.07</v>
      </c>
      <c r="AA726" s="31">
        <v>1950.05</v>
      </c>
    </row>
    <row r="727" spans="1:27" x14ac:dyDescent="0.2">
      <c r="A727" s="3" t="s">
        <v>2134</v>
      </c>
      <c r="B727" s="2" t="s">
        <v>2135</v>
      </c>
      <c r="C727" s="8">
        <v>18412</v>
      </c>
      <c r="D727" s="2">
        <v>1950</v>
      </c>
      <c r="E727" s="2">
        <v>1950</v>
      </c>
      <c r="F727" s="2">
        <v>0</v>
      </c>
      <c r="G727" s="2">
        <v>0</v>
      </c>
      <c r="H727" s="3" t="s">
        <v>27</v>
      </c>
      <c r="I727" s="3" t="s">
        <v>4939</v>
      </c>
      <c r="J727" s="3" t="s">
        <v>2136</v>
      </c>
      <c r="K727" s="3" t="s">
        <v>2086</v>
      </c>
      <c r="L727" s="10">
        <v>14056</v>
      </c>
      <c r="M727" s="4">
        <f>11+(12*11)</f>
        <v>143</v>
      </c>
      <c r="N727" s="2">
        <v>75</v>
      </c>
      <c r="O727" s="2">
        <v>1</v>
      </c>
      <c r="Q727" s="2">
        <v>1</v>
      </c>
      <c r="R727" s="2">
        <v>0</v>
      </c>
      <c r="S727" s="11">
        <v>1</v>
      </c>
      <c r="T727" s="11">
        <v>0</v>
      </c>
      <c r="U727" s="11">
        <v>1</v>
      </c>
      <c r="V727" s="2">
        <v>0</v>
      </c>
      <c r="W727" s="2">
        <v>1</v>
      </c>
      <c r="X727" s="2">
        <v>2</v>
      </c>
      <c r="Y727" s="2">
        <v>0</v>
      </c>
      <c r="Z727" s="27">
        <v>1949.0809999999999</v>
      </c>
      <c r="AA727" s="31">
        <v>1950.06</v>
      </c>
    </row>
    <row r="728" spans="1:27" x14ac:dyDescent="0.2">
      <c r="A728" s="3" t="s">
        <v>2147</v>
      </c>
      <c r="B728" s="2" t="s">
        <v>2148</v>
      </c>
      <c r="C728" s="8">
        <v>18419</v>
      </c>
      <c r="D728" s="2">
        <v>1950</v>
      </c>
      <c r="E728" s="2">
        <v>1950</v>
      </c>
      <c r="F728" s="2">
        <v>0</v>
      </c>
      <c r="G728" s="2">
        <v>0</v>
      </c>
      <c r="H728" s="3" t="s">
        <v>27</v>
      </c>
      <c r="I728" s="3" t="s">
        <v>2149</v>
      </c>
      <c r="J728" s="3" t="s">
        <v>2149</v>
      </c>
      <c r="K728" s="15"/>
      <c r="L728" s="4" t="s">
        <v>2150</v>
      </c>
      <c r="M728" s="4">
        <f>3+(12*105)</f>
        <v>1263</v>
      </c>
      <c r="N728" s="2">
        <v>28</v>
      </c>
      <c r="O728" s="2">
        <v>4</v>
      </c>
      <c r="Q728" s="2">
        <v>1</v>
      </c>
      <c r="R728" s="2">
        <v>0</v>
      </c>
      <c r="S728" s="11">
        <v>1</v>
      </c>
      <c r="T728" s="11">
        <v>0</v>
      </c>
      <c r="U728" s="11">
        <v>0</v>
      </c>
      <c r="V728" s="2">
        <v>0</v>
      </c>
      <c r="W728" s="2">
        <v>1</v>
      </c>
      <c r="X728" s="2">
        <v>3</v>
      </c>
      <c r="Y728" s="2">
        <v>0</v>
      </c>
      <c r="Z728" s="27">
        <v>1949.114</v>
      </c>
      <c r="AA728" s="31">
        <v>1950.07</v>
      </c>
    </row>
    <row r="729" spans="1:27" x14ac:dyDescent="0.2">
      <c r="A729" s="3" t="s">
        <v>2151</v>
      </c>
      <c r="B729" s="2" t="s">
        <v>2152</v>
      </c>
      <c r="C729" s="8">
        <v>18601</v>
      </c>
      <c r="D729" s="2">
        <v>1950</v>
      </c>
      <c r="E729" s="2">
        <v>1950</v>
      </c>
      <c r="F729" s="2">
        <v>0</v>
      </c>
      <c r="G729" s="2">
        <v>0</v>
      </c>
      <c r="H729" s="3" t="s">
        <v>27</v>
      </c>
      <c r="I729" s="3" t="s">
        <v>1423</v>
      </c>
      <c r="J729" s="21" t="s">
        <v>2153</v>
      </c>
      <c r="K729" s="21" t="s">
        <v>1425</v>
      </c>
      <c r="L729" s="10">
        <v>6086</v>
      </c>
      <c r="M729" s="4">
        <f>3+(12*34)</f>
        <v>411</v>
      </c>
      <c r="N729" s="2">
        <v>64</v>
      </c>
      <c r="O729" s="2">
        <v>1</v>
      </c>
      <c r="Q729" s="2">
        <v>0</v>
      </c>
      <c r="R729" s="2">
        <v>0</v>
      </c>
      <c r="S729" s="11">
        <v>1</v>
      </c>
      <c r="T729" s="11">
        <v>1</v>
      </c>
      <c r="U729" s="11">
        <v>0</v>
      </c>
      <c r="V729" s="2">
        <v>0</v>
      </c>
      <c r="W729" s="2">
        <v>1</v>
      </c>
      <c r="X729" s="2">
        <v>0</v>
      </c>
      <c r="Y729" s="2">
        <v>0</v>
      </c>
      <c r="Z729" s="27">
        <v>1950.011</v>
      </c>
      <c r="AA729" s="31">
        <v>1950.08</v>
      </c>
    </row>
    <row r="730" spans="1:27" x14ac:dyDescent="0.2">
      <c r="A730" s="3" t="s">
        <v>2164</v>
      </c>
      <c r="B730" s="2" t="s">
        <v>2165</v>
      </c>
      <c r="C730" s="8">
        <v>18685</v>
      </c>
      <c r="D730" s="2">
        <v>1951</v>
      </c>
      <c r="E730" s="2">
        <v>1950</v>
      </c>
      <c r="F730" s="2">
        <v>0</v>
      </c>
      <c r="G730" s="2">
        <v>0</v>
      </c>
      <c r="H730" s="3" t="s">
        <v>27</v>
      </c>
      <c r="I730" s="3" t="s">
        <v>4945</v>
      </c>
      <c r="J730" s="3" t="s">
        <v>2166</v>
      </c>
      <c r="K730" s="21" t="s">
        <v>2167</v>
      </c>
      <c r="L730" s="10">
        <v>13005</v>
      </c>
      <c r="M730" s="4">
        <f>6+(12*15)</f>
        <v>186</v>
      </c>
      <c r="N730" s="2">
        <v>74</v>
      </c>
      <c r="O730" s="2">
        <v>4</v>
      </c>
      <c r="Q730" s="2">
        <v>1</v>
      </c>
      <c r="R730" s="2">
        <v>0</v>
      </c>
      <c r="S730" s="11">
        <v>1</v>
      </c>
      <c r="T730" s="11">
        <v>0</v>
      </c>
      <c r="U730" s="11">
        <v>1</v>
      </c>
      <c r="V730" s="2">
        <v>0</v>
      </c>
      <c r="W730" s="2">
        <v>1</v>
      </c>
      <c r="X730" s="2">
        <v>4</v>
      </c>
      <c r="Y730" s="2">
        <v>0</v>
      </c>
      <c r="Z730" s="27">
        <v>1950.0350000000001</v>
      </c>
      <c r="AA730" s="31">
        <v>1951.01</v>
      </c>
    </row>
    <row r="731" spans="1:27" ht="12.75" customHeight="1" x14ac:dyDescent="0.2">
      <c r="A731" s="3" t="s">
        <v>3951</v>
      </c>
      <c r="B731" s="2" t="s">
        <v>3952</v>
      </c>
      <c r="C731" s="8">
        <v>18748</v>
      </c>
      <c r="D731" s="2">
        <v>1951</v>
      </c>
      <c r="E731" s="2">
        <v>1950</v>
      </c>
      <c r="F731" s="2">
        <v>1</v>
      </c>
      <c r="G731" s="2">
        <v>1</v>
      </c>
      <c r="H731" s="3" t="s">
        <v>3442</v>
      </c>
      <c r="I731" s="3" t="s">
        <v>5056</v>
      </c>
      <c r="J731" s="3" t="s">
        <v>3953</v>
      </c>
      <c r="K731" s="21" t="s">
        <v>2078</v>
      </c>
      <c r="L731" s="10">
        <v>14459</v>
      </c>
      <c r="M731" s="4">
        <f>8+(12*11)</f>
        <v>140</v>
      </c>
      <c r="N731" s="2">
        <v>76</v>
      </c>
      <c r="O731" s="2">
        <v>1</v>
      </c>
      <c r="Q731" s="2">
        <v>1</v>
      </c>
      <c r="R731" s="2">
        <v>0</v>
      </c>
      <c r="S731" s="11">
        <v>1</v>
      </c>
      <c r="T731" s="11">
        <v>1</v>
      </c>
      <c r="U731" s="11">
        <v>1</v>
      </c>
      <c r="V731" s="2">
        <v>0</v>
      </c>
      <c r="W731" s="2">
        <v>1</v>
      </c>
      <c r="X731" s="2">
        <v>3</v>
      </c>
      <c r="Y731" s="2">
        <v>0</v>
      </c>
      <c r="Z731" s="27">
        <v>1950.068</v>
      </c>
      <c r="AA731" s="31">
        <v>1951.02</v>
      </c>
    </row>
    <row r="732" spans="1:27" x14ac:dyDescent="0.2">
      <c r="A732" s="3" t="s">
        <v>3954</v>
      </c>
      <c r="B732" s="2" t="s">
        <v>3955</v>
      </c>
      <c r="C732" s="8">
        <v>18769</v>
      </c>
      <c r="D732" s="2">
        <v>1951</v>
      </c>
      <c r="E732" s="2">
        <v>1950</v>
      </c>
      <c r="F732" s="2">
        <v>1</v>
      </c>
      <c r="G732" s="2">
        <v>1</v>
      </c>
      <c r="H732" s="3" t="s">
        <v>3442</v>
      </c>
      <c r="I732" s="3" t="s">
        <v>3604</v>
      </c>
      <c r="J732" s="3" t="s">
        <v>2506</v>
      </c>
      <c r="K732" s="15"/>
      <c r="L732" s="4" t="s">
        <v>520</v>
      </c>
      <c r="M732" s="4">
        <f>1+(12*80)</f>
        <v>961</v>
      </c>
      <c r="N732" s="2">
        <v>42</v>
      </c>
      <c r="O732" s="2">
        <v>5</v>
      </c>
      <c r="P732" s="2">
        <v>2</v>
      </c>
      <c r="Q732" s="2">
        <v>1</v>
      </c>
      <c r="R732" s="2">
        <v>1</v>
      </c>
      <c r="S732" s="11">
        <v>0</v>
      </c>
      <c r="T732" s="11">
        <v>1</v>
      </c>
      <c r="U732" s="11">
        <v>1</v>
      </c>
      <c r="V732" s="2">
        <v>0</v>
      </c>
      <c r="W732" s="2">
        <v>0</v>
      </c>
      <c r="X732" s="2">
        <v>1</v>
      </c>
      <c r="Y732" s="2">
        <v>1</v>
      </c>
      <c r="Z732" s="27">
        <v>1950.0809999999999</v>
      </c>
      <c r="AA732" s="31">
        <v>1951.03</v>
      </c>
    </row>
    <row r="733" spans="1:27" ht="12.75" customHeight="1" x14ac:dyDescent="0.2">
      <c r="A733" s="3" t="s">
        <v>2154</v>
      </c>
      <c r="B733" s="2" t="s">
        <v>2155</v>
      </c>
      <c r="C733" s="8">
        <v>18783</v>
      </c>
      <c r="D733" s="2">
        <v>1951</v>
      </c>
      <c r="E733" s="2">
        <v>1950</v>
      </c>
      <c r="F733" s="2">
        <v>0</v>
      </c>
      <c r="G733" s="2">
        <v>0</v>
      </c>
      <c r="H733" s="3" t="s">
        <v>27</v>
      </c>
      <c r="I733" s="3" t="s">
        <v>4931</v>
      </c>
      <c r="J733" s="3" t="s">
        <v>2156</v>
      </c>
      <c r="K733" s="21" t="s">
        <v>2157</v>
      </c>
      <c r="L733" s="10">
        <v>14790</v>
      </c>
      <c r="M733" s="4">
        <f>12*11</f>
        <v>132</v>
      </c>
      <c r="N733" s="2">
        <v>76</v>
      </c>
      <c r="O733" s="2">
        <v>2</v>
      </c>
      <c r="Q733" s="2">
        <v>1</v>
      </c>
      <c r="R733" s="2">
        <v>1</v>
      </c>
      <c r="S733" s="11">
        <v>1</v>
      </c>
      <c r="T733" s="11">
        <v>1</v>
      </c>
      <c r="U733" s="11">
        <v>0</v>
      </c>
      <c r="V733" s="2">
        <v>0</v>
      </c>
      <c r="W733" s="2">
        <v>1</v>
      </c>
      <c r="X733" s="2">
        <v>2</v>
      </c>
      <c r="Y733" s="2">
        <v>0</v>
      </c>
      <c r="Z733" s="27">
        <v>1950.0889999999999</v>
      </c>
      <c r="AA733" s="31">
        <v>1951.04</v>
      </c>
    </row>
    <row r="734" spans="1:27" x14ac:dyDescent="0.2">
      <c r="A734" s="3" t="s">
        <v>3949</v>
      </c>
      <c r="B734" s="2" t="s">
        <v>3950</v>
      </c>
      <c r="C734" s="8">
        <v>18783</v>
      </c>
      <c r="D734" s="2">
        <v>1951</v>
      </c>
      <c r="E734" s="2">
        <v>1950</v>
      </c>
      <c r="F734" s="2">
        <v>1</v>
      </c>
      <c r="G734" s="2">
        <v>1</v>
      </c>
      <c r="H734" s="3" t="s">
        <v>3442</v>
      </c>
      <c r="I734" s="3" t="s">
        <v>3604</v>
      </c>
      <c r="J734" s="3" t="s">
        <v>2506</v>
      </c>
      <c r="K734" s="15"/>
      <c r="L734" s="10" t="s">
        <v>520</v>
      </c>
      <c r="M734" s="4">
        <f>1+(12*80)</f>
        <v>961</v>
      </c>
      <c r="N734" s="2">
        <v>42</v>
      </c>
      <c r="O734" s="2">
        <v>5</v>
      </c>
      <c r="Q734" s="2">
        <v>1</v>
      </c>
      <c r="R734" s="2">
        <v>1</v>
      </c>
      <c r="S734" s="11">
        <v>0</v>
      </c>
      <c r="T734" s="11">
        <v>1</v>
      </c>
      <c r="U734" s="11">
        <v>1</v>
      </c>
      <c r="V734" s="2">
        <v>0</v>
      </c>
      <c r="W734" s="2">
        <v>0</v>
      </c>
      <c r="X734" s="2">
        <v>3</v>
      </c>
      <c r="Y734" s="2">
        <v>1</v>
      </c>
      <c r="Z734" s="27">
        <v>1950.0930000000001</v>
      </c>
      <c r="AA734" s="31">
        <v>1951.05</v>
      </c>
    </row>
    <row r="735" spans="1:27" x14ac:dyDescent="0.2">
      <c r="A735" s="3" t="s">
        <v>2158</v>
      </c>
      <c r="B735" s="2" t="s">
        <v>2159</v>
      </c>
      <c r="C735" s="8">
        <v>18783</v>
      </c>
      <c r="D735" s="2">
        <v>1951</v>
      </c>
      <c r="E735" s="2">
        <v>1950</v>
      </c>
      <c r="F735" s="2">
        <v>0</v>
      </c>
      <c r="G735" s="2">
        <v>0</v>
      </c>
      <c r="H735" s="3" t="s">
        <v>27</v>
      </c>
      <c r="I735" s="3" t="s">
        <v>5068</v>
      </c>
      <c r="J735" s="3" t="s">
        <v>2160</v>
      </c>
      <c r="K735" s="21" t="s">
        <v>2133</v>
      </c>
      <c r="L735" s="10">
        <v>17341</v>
      </c>
      <c r="M735" s="4">
        <f>4*12</f>
        <v>48</v>
      </c>
      <c r="N735" s="2">
        <v>80</v>
      </c>
      <c r="O735" s="2">
        <v>2</v>
      </c>
      <c r="Q735" s="2">
        <v>1</v>
      </c>
      <c r="R735" s="2">
        <v>1</v>
      </c>
      <c r="S735" s="11">
        <v>1</v>
      </c>
      <c r="T735" s="11">
        <v>1</v>
      </c>
      <c r="U735" s="11">
        <v>0</v>
      </c>
      <c r="V735" s="2">
        <v>0</v>
      </c>
      <c r="W735" s="2">
        <v>1</v>
      </c>
      <c r="X735" s="2">
        <v>3</v>
      </c>
      <c r="Y735" s="2">
        <v>1</v>
      </c>
      <c r="Z735" s="27">
        <v>1950.096</v>
      </c>
      <c r="AA735" s="31">
        <v>1951.06</v>
      </c>
    </row>
    <row r="736" spans="1:27" x14ac:dyDescent="0.2">
      <c r="A736" s="3" t="s">
        <v>1602</v>
      </c>
      <c r="B736" s="2" t="s">
        <v>2168</v>
      </c>
      <c r="C736" s="8">
        <v>18741</v>
      </c>
      <c r="D736" s="2">
        <v>1951</v>
      </c>
      <c r="E736" s="2">
        <v>1950</v>
      </c>
      <c r="F736" s="2">
        <v>0</v>
      </c>
      <c r="G736" s="2">
        <v>0</v>
      </c>
      <c r="H736" s="3" t="s">
        <v>27</v>
      </c>
      <c r="I736" s="3" t="s">
        <v>5048</v>
      </c>
      <c r="J736" s="3" t="s">
        <v>1899</v>
      </c>
      <c r="K736" s="21" t="s">
        <v>1236</v>
      </c>
      <c r="L736" s="10">
        <v>3351</v>
      </c>
      <c r="M736" s="4">
        <f>1+(12*42)</f>
        <v>505</v>
      </c>
      <c r="N736" s="2">
        <v>60</v>
      </c>
      <c r="O736" s="2">
        <v>1</v>
      </c>
      <c r="Q736" s="2">
        <v>1</v>
      </c>
      <c r="R736" s="2">
        <v>1</v>
      </c>
      <c r="S736" s="11">
        <v>1</v>
      </c>
      <c r="T736" s="11">
        <v>1</v>
      </c>
      <c r="U736" s="11">
        <v>0</v>
      </c>
      <c r="V736" s="2">
        <v>0</v>
      </c>
      <c r="W736" s="2">
        <v>1</v>
      </c>
      <c r="X736" s="2">
        <v>4</v>
      </c>
      <c r="Y736" s="2">
        <v>1</v>
      </c>
      <c r="Z736" s="27">
        <v>1950.0640000000001</v>
      </c>
      <c r="AA736" s="31">
        <v>1951.07</v>
      </c>
    </row>
    <row r="737" spans="1:27" x14ac:dyDescent="0.2">
      <c r="A737" s="3" t="s">
        <v>2161</v>
      </c>
      <c r="B737" s="2" t="s">
        <v>2162</v>
      </c>
      <c r="C737" s="8">
        <v>18973</v>
      </c>
      <c r="D737" s="2">
        <v>1951</v>
      </c>
      <c r="E737" s="2">
        <v>1950</v>
      </c>
      <c r="F737" s="2">
        <v>0</v>
      </c>
      <c r="G737" s="2">
        <v>0</v>
      </c>
      <c r="H737" s="3" t="s">
        <v>27</v>
      </c>
      <c r="I737" s="3" t="s">
        <v>779</v>
      </c>
      <c r="J737" s="3" t="s">
        <v>2163</v>
      </c>
      <c r="K737" s="15"/>
      <c r="L737" s="4" t="s">
        <v>780</v>
      </c>
      <c r="M737" s="4">
        <f>5+(12*61)</f>
        <v>737</v>
      </c>
      <c r="N737" s="2">
        <v>51</v>
      </c>
      <c r="O737" s="2">
        <v>5</v>
      </c>
      <c r="P737" s="2">
        <v>2</v>
      </c>
      <c r="Q737" s="2">
        <v>1</v>
      </c>
      <c r="R737" s="2">
        <v>1</v>
      </c>
      <c r="S737" s="11">
        <v>1</v>
      </c>
      <c r="T737" s="11">
        <v>0</v>
      </c>
      <c r="U737" s="11">
        <v>0</v>
      </c>
      <c r="V737" s="2">
        <v>0</v>
      </c>
      <c r="W737" s="2">
        <v>1</v>
      </c>
      <c r="X737" s="2">
        <v>0</v>
      </c>
      <c r="Y737" s="2">
        <v>1</v>
      </c>
      <c r="Z737" s="27">
        <v>1951.0160000000001</v>
      </c>
      <c r="AA737" s="31">
        <v>1951.08</v>
      </c>
    </row>
    <row r="738" spans="1:27" x14ac:dyDescent="0.2">
      <c r="A738" s="3" t="s">
        <v>3956</v>
      </c>
      <c r="B738" s="2" t="s">
        <v>3957</v>
      </c>
      <c r="C738" s="8">
        <v>19021</v>
      </c>
      <c r="D738" s="2">
        <v>1952</v>
      </c>
      <c r="E738" s="2">
        <v>1950</v>
      </c>
      <c r="F738" s="2">
        <v>1</v>
      </c>
      <c r="G738" s="2">
        <v>1</v>
      </c>
      <c r="H738" s="3" t="s">
        <v>3442</v>
      </c>
      <c r="I738" s="3" t="s">
        <v>4946</v>
      </c>
      <c r="J738" s="3" t="s">
        <v>3958</v>
      </c>
      <c r="K738" s="21" t="s">
        <v>3959</v>
      </c>
      <c r="L738" s="10">
        <v>17717</v>
      </c>
      <c r="M738" s="4">
        <f>6+36</f>
        <v>42</v>
      </c>
      <c r="N738" s="2">
        <v>80</v>
      </c>
      <c r="O738" s="2">
        <v>4</v>
      </c>
      <c r="Q738" s="2">
        <v>0</v>
      </c>
      <c r="R738" s="2">
        <v>0</v>
      </c>
      <c r="S738" s="11">
        <v>1</v>
      </c>
      <c r="T738" s="11">
        <v>1</v>
      </c>
      <c r="U738" s="11">
        <v>1</v>
      </c>
      <c r="V738" s="2">
        <v>0</v>
      </c>
      <c r="W738" s="2">
        <v>1</v>
      </c>
      <c r="X738" s="2">
        <v>3</v>
      </c>
      <c r="Y738" s="2">
        <v>1</v>
      </c>
      <c r="Z738" s="27">
        <v>1951.0329999999999</v>
      </c>
      <c r="AA738" s="31">
        <v>1952.01</v>
      </c>
    </row>
    <row r="739" spans="1:27" x14ac:dyDescent="0.2">
      <c r="A739" s="3" t="s">
        <v>2172</v>
      </c>
      <c r="B739" s="2" t="s">
        <v>2173</v>
      </c>
      <c r="C739" s="8">
        <v>19021</v>
      </c>
      <c r="D739" s="2">
        <v>1952</v>
      </c>
      <c r="E739" s="2">
        <v>1950</v>
      </c>
      <c r="F739" s="2">
        <v>0</v>
      </c>
      <c r="G739" s="2">
        <v>0</v>
      </c>
      <c r="H739" s="3" t="s">
        <v>27</v>
      </c>
      <c r="I739" s="3" t="s">
        <v>4947</v>
      </c>
      <c r="J739" s="3" t="s">
        <v>2174</v>
      </c>
      <c r="K739" s="21" t="s">
        <v>2175</v>
      </c>
      <c r="L739" s="10">
        <v>15328</v>
      </c>
      <c r="M739" s="4">
        <f>1+120</f>
        <v>121</v>
      </c>
      <c r="N739" s="2">
        <v>77</v>
      </c>
      <c r="O739" s="2">
        <v>4</v>
      </c>
      <c r="Q739" s="2">
        <v>1</v>
      </c>
      <c r="R739" s="2">
        <v>0</v>
      </c>
      <c r="S739" s="11">
        <v>1</v>
      </c>
      <c r="T739" s="11">
        <v>1</v>
      </c>
      <c r="U739" s="11">
        <v>0</v>
      </c>
      <c r="V739" s="2">
        <v>0</v>
      </c>
      <c r="W739" s="2">
        <v>1</v>
      </c>
      <c r="X739" s="2">
        <v>0</v>
      </c>
      <c r="Y739" s="2">
        <v>0</v>
      </c>
      <c r="Z739" s="27">
        <v>1951.0340000000001</v>
      </c>
      <c r="AA739" s="31">
        <v>1952.02</v>
      </c>
    </row>
    <row r="740" spans="1:27" x14ac:dyDescent="0.2">
      <c r="A740" s="3" t="s">
        <v>2169</v>
      </c>
      <c r="B740" s="2" t="s">
        <v>2170</v>
      </c>
      <c r="C740" s="8">
        <v>19063</v>
      </c>
      <c r="D740" s="2">
        <v>1952</v>
      </c>
      <c r="E740" s="2">
        <v>1950</v>
      </c>
      <c r="F740" s="2">
        <v>0</v>
      </c>
      <c r="G740" s="2">
        <v>0</v>
      </c>
      <c r="H740" s="3" t="s">
        <v>27</v>
      </c>
      <c r="I740" s="3" t="s">
        <v>4963</v>
      </c>
      <c r="J740" s="3" t="s">
        <v>2171</v>
      </c>
      <c r="K740" s="3" t="s">
        <v>2182</v>
      </c>
      <c r="L740" s="10">
        <v>18529</v>
      </c>
      <c r="M740" s="4">
        <f>6+12</f>
        <v>18</v>
      </c>
      <c r="N740" s="2">
        <v>81</v>
      </c>
      <c r="O740" s="2">
        <v>6</v>
      </c>
      <c r="P740" s="2">
        <v>1</v>
      </c>
      <c r="Q740" s="2">
        <v>1</v>
      </c>
      <c r="R740" s="2">
        <v>0</v>
      </c>
      <c r="S740" s="11">
        <v>1</v>
      </c>
      <c r="T740" s="11">
        <v>0</v>
      </c>
      <c r="U740" s="11">
        <v>0</v>
      </c>
      <c r="V740" s="2">
        <v>0</v>
      </c>
      <c r="W740" s="2">
        <v>1</v>
      </c>
      <c r="X740" s="2">
        <v>4</v>
      </c>
      <c r="Y740" s="2">
        <v>0</v>
      </c>
      <c r="Z740" s="27">
        <v>1951.0540000000001</v>
      </c>
      <c r="AA740" s="31">
        <v>1952.03</v>
      </c>
    </row>
    <row r="741" spans="1:27" x14ac:dyDescent="0.2">
      <c r="A741" s="3" t="s">
        <v>2176</v>
      </c>
      <c r="B741" s="2" t="s">
        <v>2177</v>
      </c>
      <c r="C741" s="8">
        <v>19063</v>
      </c>
      <c r="D741" s="2">
        <v>1952</v>
      </c>
      <c r="E741" s="2">
        <v>1950</v>
      </c>
      <c r="F741" s="2">
        <v>0</v>
      </c>
      <c r="G741" s="2">
        <v>0</v>
      </c>
      <c r="H741" s="3" t="s">
        <v>27</v>
      </c>
      <c r="I741" s="3" t="s">
        <v>4931</v>
      </c>
      <c r="J741" s="3" t="s">
        <v>2178</v>
      </c>
      <c r="K741" s="21" t="s">
        <v>2157</v>
      </c>
      <c r="L741" s="10">
        <v>14790</v>
      </c>
      <c r="M741" s="4">
        <f>9+(12*11)</f>
        <v>141</v>
      </c>
      <c r="N741" s="2">
        <v>76</v>
      </c>
      <c r="O741" s="2">
        <v>2</v>
      </c>
      <c r="P741" s="2">
        <v>1</v>
      </c>
      <c r="Q741" s="2">
        <v>1</v>
      </c>
      <c r="R741" s="2">
        <v>0</v>
      </c>
      <c r="S741" s="11">
        <v>1</v>
      </c>
      <c r="T741" s="11">
        <v>1</v>
      </c>
      <c r="U741" s="11">
        <v>0</v>
      </c>
      <c r="V741" s="2">
        <v>0</v>
      </c>
      <c r="W741" s="2">
        <v>1</v>
      </c>
      <c r="X741" s="2">
        <v>2</v>
      </c>
      <c r="Y741" s="2">
        <v>0</v>
      </c>
      <c r="Z741" s="27">
        <v>1951.056</v>
      </c>
      <c r="AA741" s="31">
        <v>1952.04</v>
      </c>
    </row>
    <row r="742" spans="1:27" x14ac:dyDescent="0.2">
      <c r="A742" s="3" t="s">
        <v>2179</v>
      </c>
      <c r="B742" s="2" t="s">
        <v>2180</v>
      </c>
      <c r="C742" s="8">
        <v>19091</v>
      </c>
      <c r="D742" s="2">
        <v>1952</v>
      </c>
      <c r="E742" s="2">
        <v>1950</v>
      </c>
      <c r="F742" s="2">
        <v>0</v>
      </c>
      <c r="G742" s="2">
        <v>0</v>
      </c>
      <c r="H742" s="3" t="s">
        <v>27</v>
      </c>
      <c r="I742" s="3" t="s">
        <v>4963</v>
      </c>
      <c r="J742" s="3" t="s">
        <v>2181</v>
      </c>
      <c r="K742" s="3" t="s">
        <v>2182</v>
      </c>
      <c r="L742" s="10">
        <v>18529</v>
      </c>
      <c r="M742" s="4">
        <f>19</f>
        <v>19</v>
      </c>
      <c r="N742" s="2">
        <v>81</v>
      </c>
      <c r="O742" s="2">
        <v>1</v>
      </c>
      <c r="Q742" s="2">
        <v>1</v>
      </c>
      <c r="R742" s="2">
        <v>0</v>
      </c>
      <c r="S742" s="11">
        <v>1</v>
      </c>
      <c r="T742" s="11">
        <v>0</v>
      </c>
      <c r="U742" s="11">
        <v>1</v>
      </c>
      <c r="V742" s="2">
        <v>0</v>
      </c>
      <c r="W742" s="2">
        <v>1</v>
      </c>
      <c r="X742" s="2">
        <v>3</v>
      </c>
      <c r="Y742" s="2">
        <v>0</v>
      </c>
      <c r="Z742" s="27">
        <v>1951.066</v>
      </c>
      <c r="AA742" s="31">
        <v>1952.05</v>
      </c>
    </row>
    <row r="743" spans="1:27" x14ac:dyDescent="0.2">
      <c r="A743" s="3" t="s">
        <v>3960</v>
      </c>
      <c r="B743" s="2" t="s">
        <v>3961</v>
      </c>
      <c r="C743" s="8">
        <v>19336</v>
      </c>
      <c r="D743" s="2">
        <v>1952</v>
      </c>
      <c r="E743" s="2">
        <v>1950</v>
      </c>
      <c r="F743" s="2">
        <v>2</v>
      </c>
      <c r="G743" s="2">
        <v>1</v>
      </c>
      <c r="H743" s="3" t="s">
        <v>3434</v>
      </c>
      <c r="I743" s="3" t="s">
        <v>4939</v>
      </c>
      <c r="J743" s="3" t="s">
        <v>3962</v>
      </c>
      <c r="K743" s="3" t="s">
        <v>2086</v>
      </c>
      <c r="L743" s="10">
        <v>14056</v>
      </c>
      <c r="M743" s="4">
        <f>6+(12*14)</f>
        <v>174</v>
      </c>
      <c r="N743" s="2">
        <v>75</v>
      </c>
      <c r="O743" s="2">
        <v>1</v>
      </c>
      <c r="Q743" s="2">
        <v>1</v>
      </c>
      <c r="R743" s="2">
        <v>0</v>
      </c>
      <c r="S743" s="11">
        <v>1</v>
      </c>
      <c r="T743" s="11">
        <v>1</v>
      </c>
      <c r="U743" s="11">
        <v>0</v>
      </c>
      <c r="V743" s="2">
        <v>1</v>
      </c>
      <c r="W743" s="2">
        <v>1</v>
      </c>
      <c r="X743" s="2">
        <v>1</v>
      </c>
      <c r="Y743" s="2">
        <v>0</v>
      </c>
      <c r="Z743" s="27">
        <v>1952.021</v>
      </c>
      <c r="AA743" s="31">
        <v>1952.06</v>
      </c>
    </row>
    <row r="744" spans="1:27" x14ac:dyDescent="0.2">
      <c r="A744" s="3" t="s">
        <v>2183</v>
      </c>
      <c r="B744" s="2" t="s">
        <v>2184</v>
      </c>
      <c r="C744" s="8">
        <v>19371</v>
      </c>
      <c r="D744" s="2">
        <v>1953</v>
      </c>
      <c r="E744" s="2">
        <v>1950</v>
      </c>
      <c r="F744" s="2">
        <v>0</v>
      </c>
      <c r="G744" s="2">
        <v>0</v>
      </c>
      <c r="H744" s="3" t="s">
        <v>27</v>
      </c>
      <c r="I744" s="3" t="s">
        <v>4945</v>
      </c>
      <c r="J744" s="3" t="s">
        <v>2166</v>
      </c>
      <c r="K744" s="21" t="s">
        <v>2167</v>
      </c>
      <c r="L744" s="10">
        <v>13005</v>
      </c>
      <c r="M744" s="4">
        <f>5+(12*7)</f>
        <v>89</v>
      </c>
      <c r="N744" s="2">
        <v>74</v>
      </c>
      <c r="O744" s="2">
        <v>4</v>
      </c>
      <c r="Q744" s="2">
        <v>1</v>
      </c>
      <c r="R744" s="2">
        <v>0</v>
      </c>
      <c r="S744" s="11">
        <v>1</v>
      </c>
      <c r="T744" s="11">
        <v>0</v>
      </c>
      <c r="U744" s="11">
        <v>0</v>
      </c>
      <c r="V744" s="2">
        <v>0</v>
      </c>
      <c r="W744" s="2">
        <v>1</v>
      </c>
      <c r="X744" s="2">
        <v>2</v>
      </c>
      <c r="Y744" s="2">
        <v>0</v>
      </c>
      <c r="Z744" s="27">
        <v>1952.0319999999999</v>
      </c>
      <c r="AA744" s="31">
        <v>1953.01</v>
      </c>
    </row>
    <row r="745" spans="1:27" x14ac:dyDescent="0.2">
      <c r="A745" s="3" t="s">
        <v>3963</v>
      </c>
      <c r="B745" s="2" t="s">
        <v>3964</v>
      </c>
      <c r="C745" s="8">
        <v>19399</v>
      </c>
      <c r="D745" s="2">
        <v>1953</v>
      </c>
      <c r="E745" s="2">
        <v>1950</v>
      </c>
      <c r="F745" s="2">
        <v>1</v>
      </c>
      <c r="G745" s="2">
        <v>1</v>
      </c>
      <c r="H745" s="3" t="s">
        <v>3442</v>
      </c>
      <c r="I745" s="3" t="s">
        <v>5057</v>
      </c>
      <c r="J745" s="3" t="s">
        <v>2143</v>
      </c>
      <c r="K745" s="21" t="s">
        <v>2144</v>
      </c>
      <c r="L745" s="10">
        <v>15148</v>
      </c>
      <c r="M745" s="4">
        <f>8+(12*11)</f>
        <v>140</v>
      </c>
      <c r="N745" s="2">
        <v>77</v>
      </c>
      <c r="O745" s="2">
        <v>1</v>
      </c>
      <c r="Q745" s="2">
        <v>0</v>
      </c>
      <c r="R745" s="2">
        <v>0</v>
      </c>
      <c r="S745" s="11">
        <v>1</v>
      </c>
      <c r="T745" s="11">
        <v>1</v>
      </c>
      <c r="U745" s="11">
        <v>1</v>
      </c>
      <c r="V745" s="2">
        <v>0</v>
      </c>
      <c r="W745" s="2">
        <v>1</v>
      </c>
      <c r="X745" s="2">
        <v>1</v>
      </c>
      <c r="Y745" s="2">
        <v>0</v>
      </c>
      <c r="Z745" s="27">
        <v>1952.047</v>
      </c>
      <c r="AA745" s="31">
        <v>1953.02</v>
      </c>
    </row>
    <row r="746" spans="1:27" x14ac:dyDescent="0.2">
      <c r="A746" s="3" t="s">
        <v>2185</v>
      </c>
      <c r="B746" s="2" t="s">
        <v>2186</v>
      </c>
      <c r="C746" s="8">
        <v>19434</v>
      </c>
      <c r="D746" s="2">
        <v>1953</v>
      </c>
      <c r="E746" s="2">
        <v>1950</v>
      </c>
      <c r="F746" s="2">
        <v>0</v>
      </c>
      <c r="G746" s="2">
        <v>0</v>
      </c>
      <c r="H746" s="3" t="s">
        <v>27</v>
      </c>
      <c r="I746" s="3" t="s">
        <v>4892</v>
      </c>
      <c r="J746" s="3" t="s">
        <v>2187</v>
      </c>
      <c r="K746" s="21" t="s">
        <v>1304</v>
      </c>
      <c r="L746" s="10">
        <v>7364</v>
      </c>
      <c r="M746" s="4">
        <f>1+(12*23)</f>
        <v>277</v>
      </c>
      <c r="N746" s="2">
        <v>66</v>
      </c>
      <c r="O746" s="2">
        <v>4</v>
      </c>
      <c r="Q746" s="2">
        <v>1</v>
      </c>
      <c r="R746" s="2">
        <v>1</v>
      </c>
      <c r="S746" s="11">
        <v>1</v>
      </c>
      <c r="T746" s="11">
        <v>0</v>
      </c>
      <c r="U746" s="11">
        <v>0</v>
      </c>
      <c r="V746" s="2">
        <v>0</v>
      </c>
      <c r="W746" s="2">
        <v>1</v>
      </c>
      <c r="X746" s="2">
        <v>2</v>
      </c>
      <c r="Y746" s="2">
        <v>1</v>
      </c>
      <c r="Z746" s="27">
        <v>1952.0630000000001</v>
      </c>
      <c r="AA746" s="31">
        <v>1953.03</v>
      </c>
    </row>
    <row r="747" spans="1:27" x14ac:dyDescent="0.2">
      <c r="A747" s="3" t="s">
        <v>2196</v>
      </c>
      <c r="B747" s="2" t="s">
        <v>2197</v>
      </c>
      <c r="C747" s="8">
        <v>19434</v>
      </c>
      <c r="D747" s="2">
        <v>1953</v>
      </c>
      <c r="E747" s="2">
        <v>1950</v>
      </c>
      <c r="F747" s="2">
        <v>0</v>
      </c>
      <c r="G747" s="2">
        <v>0</v>
      </c>
      <c r="H747" s="3" t="s">
        <v>27</v>
      </c>
      <c r="I747" s="3" t="s">
        <v>5057</v>
      </c>
      <c r="J747" s="3" t="s">
        <v>2143</v>
      </c>
      <c r="K747" s="21" t="s">
        <v>2144</v>
      </c>
      <c r="L747" s="10">
        <v>15141</v>
      </c>
      <c r="M747" s="4">
        <f>9+(12*11)</f>
        <v>141</v>
      </c>
      <c r="N747" s="2">
        <v>77</v>
      </c>
      <c r="O747" s="2">
        <v>1</v>
      </c>
      <c r="Q747" s="2">
        <v>0</v>
      </c>
      <c r="R747" s="2">
        <v>0</v>
      </c>
      <c r="S747" s="11">
        <v>1</v>
      </c>
      <c r="T747" s="11">
        <v>1</v>
      </c>
      <c r="U747" s="11">
        <v>1</v>
      </c>
      <c r="V747" s="2">
        <v>0</v>
      </c>
      <c r="W747" s="2">
        <v>1</v>
      </c>
      <c r="X747" s="2">
        <v>4</v>
      </c>
      <c r="Y747" s="2">
        <v>0</v>
      </c>
      <c r="Z747" s="27">
        <v>1952.067</v>
      </c>
      <c r="AA747" s="31">
        <v>1953.04</v>
      </c>
    </row>
    <row r="748" spans="1:27" x14ac:dyDescent="0.2">
      <c r="A748" s="3" t="s">
        <v>2202</v>
      </c>
      <c r="B748" s="2" t="s">
        <v>2203</v>
      </c>
      <c r="C748" s="8">
        <v>19427</v>
      </c>
      <c r="D748" s="2">
        <v>1953</v>
      </c>
      <c r="E748" s="2">
        <v>1950</v>
      </c>
      <c r="F748" s="2">
        <v>0</v>
      </c>
      <c r="G748" s="2">
        <v>0</v>
      </c>
      <c r="H748" s="3" t="s">
        <v>27</v>
      </c>
      <c r="I748" s="3" t="s">
        <v>4948</v>
      </c>
      <c r="J748" s="3" t="s">
        <v>2204</v>
      </c>
      <c r="K748" s="21" t="s">
        <v>2205</v>
      </c>
      <c r="L748" s="10">
        <v>18921</v>
      </c>
      <c r="M748" s="4">
        <f>5+12</f>
        <v>17</v>
      </c>
      <c r="N748" s="2">
        <v>82</v>
      </c>
      <c r="O748" s="2">
        <v>5</v>
      </c>
      <c r="P748" s="2">
        <v>1</v>
      </c>
      <c r="Q748" s="2">
        <v>0</v>
      </c>
      <c r="R748" s="2">
        <v>0</v>
      </c>
      <c r="S748" s="11">
        <v>1</v>
      </c>
      <c r="T748" s="11">
        <v>0</v>
      </c>
      <c r="U748" s="11">
        <v>1</v>
      </c>
      <c r="V748" s="2">
        <v>0</v>
      </c>
      <c r="W748" s="2">
        <v>1</v>
      </c>
      <c r="X748" s="2">
        <v>3</v>
      </c>
      <c r="Y748" s="2">
        <v>0</v>
      </c>
      <c r="Z748" s="27">
        <v>1952.0540000000001</v>
      </c>
      <c r="AA748" s="31">
        <v>1953.05</v>
      </c>
    </row>
    <row r="749" spans="1:27" x14ac:dyDescent="0.2">
      <c r="A749" s="3" t="s">
        <v>2188</v>
      </c>
      <c r="B749" s="2" t="s">
        <v>2189</v>
      </c>
      <c r="C749" s="8">
        <v>19455</v>
      </c>
      <c r="D749" s="2">
        <v>1953</v>
      </c>
      <c r="E749" s="2">
        <v>1950</v>
      </c>
      <c r="F749" s="2">
        <v>0</v>
      </c>
      <c r="G749" s="2">
        <v>0</v>
      </c>
      <c r="H749" s="3" t="s">
        <v>27</v>
      </c>
      <c r="I749" s="3" t="s">
        <v>4949</v>
      </c>
      <c r="J749" s="3" t="s">
        <v>2190</v>
      </c>
      <c r="K749" s="21" t="s">
        <v>2191</v>
      </c>
      <c r="L749" s="10">
        <v>16256</v>
      </c>
      <c r="M749" s="4">
        <f>9+(12*8)</f>
        <v>105</v>
      </c>
      <c r="N749" s="2">
        <v>78</v>
      </c>
      <c r="O749" s="2">
        <v>5</v>
      </c>
      <c r="Q749" s="2">
        <v>0</v>
      </c>
      <c r="R749" s="2">
        <v>0</v>
      </c>
      <c r="S749" s="11">
        <v>1</v>
      </c>
      <c r="T749" s="11">
        <v>1</v>
      </c>
      <c r="U749" s="11">
        <v>1</v>
      </c>
      <c r="V749" s="2">
        <v>0</v>
      </c>
      <c r="W749" s="2">
        <v>0</v>
      </c>
      <c r="X749" s="2">
        <v>2</v>
      </c>
      <c r="Y749" s="2">
        <v>0</v>
      </c>
      <c r="Z749" s="27">
        <v>1952.0740000000001</v>
      </c>
      <c r="AA749" s="31">
        <v>1953.06</v>
      </c>
    </row>
    <row r="750" spans="1:27" x14ac:dyDescent="0.2">
      <c r="A750" s="3" t="s">
        <v>2198</v>
      </c>
      <c r="B750" s="2" t="s">
        <v>2199</v>
      </c>
      <c r="C750" s="8">
        <v>19455</v>
      </c>
      <c r="D750" s="2">
        <v>1953</v>
      </c>
      <c r="E750" s="2">
        <v>1950</v>
      </c>
      <c r="F750" s="2">
        <v>0</v>
      </c>
      <c r="G750" s="2">
        <v>0</v>
      </c>
      <c r="H750" s="3" t="s">
        <v>27</v>
      </c>
      <c r="I750" s="3" t="s">
        <v>2200</v>
      </c>
      <c r="J750" s="3" t="s">
        <v>2200</v>
      </c>
      <c r="K750" s="21" t="s">
        <v>2201</v>
      </c>
      <c r="L750" s="10">
        <v>15155</v>
      </c>
      <c r="M750" s="4">
        <v>142</v>
      </c>
      <c r="N750" s="2">
        <v>77</v>
      </c>
      <c r="O750" s="2">
        <v>4</v>
      </c>
      <c r="Q750" s="2">
        <v>0</v>
      </c>
      <c r="R750" s="2">
        <v>0</v>
      </c>
      <c r="S750" s="11">
        <v>1</v>
      </c>
      <c r="T750" s="11">
        <v>1</v>
      </c>
      <c r="U750" s="11">
        <v>1</v>
      </c>
      <c r="V750" s="2">
        <v>0</v>
      </c>
      <c r="W750" s="2">
        <v>1</v>
      </c>
      <c r="X750" s="2">
        <v>2</v>
      </c>
      <c r="Y750" s="2">
        <v>0</v>
      </c>
      <c r="Z750" s="27">
        <v>1952.076</v>
      </c>
      <c r="AA750" s="31">
        <v>1953.07</v>
      </c>
    </row>
    <row r="751" spans="1:27" x14ac:dyDescent="0.2">
      <c r="A751" s="3" t="s">
        <v>2206</v>
      </c>
      <c r="B751" s="2" t="s">
        <v>2207</v>
      </c>
      <c r="C751" s="8">
        <v>19518</v>
      </c>
      <c r="D751" s="2">
        <v>1953</v>
      </c>
      <c r="E751" s="2">
        <v>1950</v>
      </c>
      <c r="F751" s="2">
        <v>0</v>
      </c>
      <c r="G751" s="2">
        <v>0</v>
      </c>
      <c r="H751" s="3" t="s">
        <v>27</v>
      </c>
      <c r="I751" s="3" t="s">
        <v>4936</v>
      </c>
      <c r="J751" s="3" t="s">
        <v>2208</v>
      </c>
      <c r="K751" s="21" t="s">
        <v>2050</v>
      </c>
      <c r="L751" s="10">
        <v>14870</v>
      </c>
      <c r="M751" s="4">
        <f>9+(12*12)</f>
        <v>153</v>
      </c>
      <c r="N751" s="2">
        <v>76</v>
      </c>
      <c r="O751" s="2">
        <v>1</v>
      </c>
      <c r="Q751" s="2">
        <v>0</v>
      </c>
      <c r="R751" s="2">
        <v>0</v>
      </c>
      <c r="S751" s="11">
        <v>1</v>
      </c>
      <c r="T751" s="11">
        <v>1</v>
      </c>
      <c r="U751" s="11">
        <v>1</v>
      </c>
      <c r="V751" s="2">
        <v>0</v>
      </c>
      <c r="W751" s="2">
        <v>1</v>
      </c>
      <c r="X751" s="2">
        <v>3</v>
      </c>
      <c r="Y751" s="2">
        <v>0</v>
      </c>
      <c r="Z751" s="27">
        <v>1952.1</v>
      </c>
      <c r="AA751" s="31">
        <v>1953.08</v>
      </c>
    </row>
    <row r="752" spans="1:27" x14ac:dyDescent="0.2">
      <c r="A752" s="3" t="s">
        <v>2192</v>
      </c>
      <c r="B752" s="2" t="s">
        <v>2193</v>
      </c>
      <c r="C752" s="8">
        <v>19518</v>
      </c>
      <c r="D752" s="2">
        <v>1953</v>
      </c>
      <c r="E752" s="2">
        <v>1950</v>
      </c>
      <c r="F752" s="2">
        <v>0</v>
      </c>
      <c r="G752" s="2">
        <v>0</v>
      </c>
      <c r="H752" s="3" t="s">
        <v>27</v>
      </c>
      <c r="I752" s="3" t="s">
        <v>2194</v>
      </c>
      <c r="J752" s="3" t="s">
        <v>2194</v>
      </c>
      <c r="K752" s="15"/>
      <c r="L752" s="4" t="s">
        <v>2195</v>
      </c>
      <c r="M752" s="4">
        <f>12*(153-78)</f>
        <v>900</v>
      </c>
      <c r="N752" s="2">
        <v>45</v>
      </c>
      <c r="O752" s="2">
        <v>5</v>
      </c>
      <c r="Q752" s="2">
        <v>1</v>
      </c>
      <c r="R752" s="2">
        <v>0</v>
      </c>
      <c r="S752" s="11">
        <v>1</v>
      </c>
      <c r="T752" s="11">
        <v>1</v>
      </c>
      <c r="U752" s="11">
        <v>1</v>
      </c>
      <c r="V752" s="2">
        <v>0</v>
      </c>
      <c r="W752" s="2">
        <v>1</v>
      </c>
      <c r="X752" s="2">
        <v>0</v>
      </c>
      <c r="Y752" s="2">
        <v>0</v>
      </c>
      <c r="Z752" s="27">
        <v>1952.104</v>
      </c>
      <c r="AA752" s="31">
        <v>1953.09</v>
      </c>
    </row>
    <row r="753" spans="1:27" x14ac:dyDescent="0.2">
      <c r="A753" s="3" t="s">
        <v>3965</v>
      </c>
      <c r="B753" s="2" t="s">
        <v>3966</v>
      </c>
      <c r="C753" s="8">
        <v>19700</v>
      </c>
      <c r="D753" s="2">
        <v>1953</v>
      </c>
      <c r="E753" s="2">
        <v>1950</v>
      </c>
      <c r="F753" s="2">
        <v>1</v>
      </c>
      <c r="G753" s="2">
        <v>1</v>
      </c>
      <c r="H753" s="3" t="s">
        <v>3442</v>
      </c>
      <c r="I753" t="s">
        <v>5058</v>
      </c>
      <c r="J753" s="3" t="s">
        <v>3967</v>
      </c>
      <c r="K753" s="21" t="s">
        <v>3968</v>
      </c>
      <c r="L753" s="10">
        <v>18630</v>
      </c>
      <c r="M753" s="4">
        <f>11+24</f>
        <v>35</v>
      </c>
      <c r="N753" s="2">
        <v>81</v>
      </c>
      <c r="O753" s="2">
        <v>5</v>
      </c>
      <c r="P753" s="2">
        <v>1</v>
      </c>
      <c r="Q753" s="2">
        <v>0</v>
      </c>
      <c r="R753" s="2">
        <v>0</v>
      </c>
      <c r="S753" s="11">
        <v>1</v>
      </c>
      <c r="T753" s="11">
        <v>0</v>
      </c>
      <c r="U753" s="11">
        <v>0</v>
      </c>
      <c r="V753" s="2">
        <v>0</v>
      </c>
      <c r="W753" s="2">
        <v>1</v>
      </c>
      <c r="X753" s="2">
        <v>7</v>
      </c>
      <c r="Y753" s="2">
        <v>0</v>
      </c>
      <c r="Z753" s="27">
        <v>1953.0160000000001</v>
      </c>
      <c r="AA753" s="31">
        <v>1953.1</v>
      </c>
    </row>
    <row r="754" spans="1:27" x14ac:dyDescent="0.2">
      <c r="A754" s="3" t="s">
        <v>2209</v>
      </c>
      <c r="B754" s="2" t="s">
        <v>2210</v>
      </c>
      <c r="C754" s="8">
        <v>19791</v>
      </c>
      <c r="D754" s="2">
        <v>1954</v>
      </c>
      <c r="E754" s="2">
        <v>1950</v>
      </c>
      <c r="F754" s="2">
        <v>0</v>
      </c>
      <c r="G754" s="2">
        <v>0</v>
      </c>
      <c r="H754" s="3" t="s">
        <v>27</v>
      </c>
      <c r="I754" s="3" t="s">
        <v>747</v>
      </c>
      <c r="J754" s="3" t="s">
        <v>2211</v>
      </c>
      <c r="K754" s="15"/>
      <c r="L754" s="4" t="s">
        <v>748</v>
      </c>
      <c r="M754" s="4">
        <f>2+(12*97)</f>
        <v>1166</v>
      </c>
      <c r="N754" s="2">
        <v>34</v>
      </c>
      <c r="O754" s="2">
        <v>5</v>
      </c>
      <c r="Q754" s="2">
        <v>0</v>
      </c>
      <c r="R754" s="2">
        <v>0</v>
      </c>
      <c r="S754" s="11">
        <v>0</v>
      </c>
      <c r="T754" s="11">
        <v>1</v>
      </c>
      <c r="U754" s="11">
        <v>1</v>
      </c>
      <c r="V754" s="2">
        <v>0</v>
      </c>
      <c r="W754" s="2">
        <v>0</v>
      </c>
      <c r="X754" s="2">
        <v>0</v>
      </c>
      <c r="Y754" s="2">
        <v>1</v>
      </c>
      <c r="Z754" s="27">
        <v>1953.0450000000001</v>
      </c>
      <c r="AA754" s="31">
        <v>1954.01</v>
      </c>
    </row>
    <row r="755" spans="1:27" x14ac:dyDescent="0.2">
      <c r="A755" s="3" t="s">
        <v>2212</v>
      </c>
      <c r="B755" s="2" t="s">
        <v>2213</v>
      </c>
      <c r="C755" s="8">
        <v>19798</v>
      </c>
      <c r="D755" s="2">
        <v>1954</v>
      </c>
      <c r="E755" s="2">
        <v>1950</v>
      </c>
      <c r="F755" s="2">
        <v>0</v>
      </c>
      <c r="G755" s="2">
        <v>0</v>
      </c>
      <c r="H755" s="3" t="s">
        <v>27</v>
      </c>
      <c r="I755" s="3" t="s">
        <v>2214</v>
      </c>
      <c r="J755" s="3" t="s">
        <v>2214</v>
      </c>
      <c r="K755" s="21" t="s">
        <v>2215</v>
      </c>
      <c r="L755" s="10">
        <v>19501</v>
      </c>
      <c r="M755" s="4">
        <f>10</f>
        <v>10</v>
      </c>
      <c r="N755" s="2">
        <v>83</v>
      </c>
      <c r="O755" s="2">
        <v>5</v>
      </c>
      <c r="P755" s="2">
        <v>4</v>
      </c>
      <c r="Q755" s="2">
        <v>1</v>
      </c>
      <c r="R755" s="2">
        <v>1</v>
      </c>
      <c r="S755" s="11">
        <v>1</v>
      </c>
      <c r="T755" s="11">
        <v>0</v>
      </c>
      <c r="U755" s="11">
        <v>0</v>
      </c>
      <c r="V755" s="2">
        <v>0</v>
      </c>
      <c r="W755" s="2">
        <v>0</v>
      </c>
      <c r="X755" s="2">
        <v>2</v>
      </c>
      <c r="Y755" s="2">
        <v>1</v>
      </c>
      <c r="Z755" s="27">
        <v>1953.0540000000001</v>
      </c>
      <c r="AA755" s="31">
        <v>1954.02</v>
      </c>
    </row>
    <row r="756" spans="1:27" x14ac:dyDescent="0.2">
      <c r="A756" s="3" t="s">
        <v>3969</v>
      </c>
      <c r="B756" s="2" t="s">
        <v>3970</v>
      </c>
      <c r="C756" s="8">
        <v>19861</v>
      </c>
      <c r="D756" s="2">
        <v>1954</v>
      </c>
      <c r="E756" s="2">
        <v>1950</v>
      </c>
      <c r="F756" s="2">
        <v>2</v>
      </c>
      <c r="G756" s="2">
        <v>1</v>
      </c>
      <c r="H756" s="3" t="s">
        <v>3434</v>
      </c>
      <c r="I756" s="3" t="s">
        <v>3971</v>
      </c>
      <c r="J756" s="3" t="s">
        <v>3971</v>
      </c>
      <c r="K756" s="15"/>
      <c r="L756" s="4" t="s">
        <v>3617</v>
      </c>
      <c r="M756" s="4">
        <f>(12*74)+11</f>
        <v>899</v>
      </c>
      <c r="N756" s="2">
        <v>43</v>
      </c>
      <c r="O756" s="2">
        <v>3</v>
      </c>
      <c r="Q756" s="2">
        <v>0</v>
      </c>
      <c r="R756" s="2">
        <v>0</v>
      </c>
      <c r="S756" s="11">
        <v>1</v>
      </c>
      <c r="T756" s="11">
        <v>1</v>
      </c>
      <c r="U756" s="11">
        <v>0</v>
      </c>
      <c r="V756" s="2">
        <v>1</v>
      </c>
      <c r="W756" s="2">
        <v>1</v>
      </c>
      <c r="X756" s="2">
        <v>0</v>
      </c>
      <c r="Y756" s="2">
        <v>1</v>
      </c>
      <c r="Z756" s="27">
        <v>1953.07</v>
      </c>
      <c r="AA756" s="31">
        <v>1954.03</v>
      </c>
    </row>
    <row r="757" spans="1:27" x14ac:dyDescent="0.2">
      <c r="A757" s="3" t="s">
        <v>2220</v>
      </c>
      <c r="B757" s="2" t="s">
        <v>2221</v>
      </c>
      <c r="C757" s="8">
        <v>19868</v>
      </c>
      <c r="D757" s="2">
        <v>1954</v>
      </c>
      <c r="E757" s="2">
        <v>1950</v>
      </c>
      <c r="F757" s="2">
        <v>0</v>
      </c>
      <c r="G757" s="2">
        <v>0</v>
      </c>
      <c r="H757" s="3" t="s">
        <v>27</v>
      </c>
      <c r="I757" s="3" t="s">
        <v>4963</v>
      </c>
      <c r="J757" s="3" t="s">
        <v>2171</v>
      </c>
      <c r="K757" s="3" t="s">
        <v>2182</v>
      </c>
      <c r="L757" s="10">
        <v>18529</v>
      </c>
      <c r="M757" s="4">
        <f>8+36</f>
        <v>44</v>
      </c>
      <c r="N757" s="2">
        <v>81</v>
      </c>
      <c r="O757" s="2">
        <v>1</v>
      </c>
      <c r="Q757" s="2">
        <v>1</v>
      </c>
      <c r="R757" s="2">
        <v>0</v>
      </c>
      <c r="S757" s="11">
        <v>1</v>
      </c>
      <c r="T757" s="11">
        <v>1</v>
      </c>
      <c r="U757" s="11">
        <v>0</v>
      </c>
      <c r="V757" s="2">
        <v>0</v>
      </c>
      <c r="W757" s="2">
        <v>1</v>
      </c>
      <c r="X757" s="2">
        <v>2</v>
      </c>
      <c r="Y757" s="2">
        <v>0</v>
      </c>
      <c r="Z757" s="27">
        <v>1953.075</v>
      </c>
      <c r="AA757" s="31">
        <v>1954.04</v>
      </c>
    </row>
    <row r="758" spans="1:27" x14ac:dyDescent="0.2">
      <c r="A758" s="3" t="s">
        <v>2226</v>
      </c>
      <c r="B758" s="2" t="s">
        <v>2227</v>
      </c>
      <c r="C758" s="8">
        <v>19882</v>
      </c>
      <c r="D758" s="2">
        <v>1954</v>
      </c>
      <c r="E758" s="2">
        <v>1950</v>
      </c>
      <c r="F758" s="2">
        <v>0</v>
      </c>
      <c r="G758" s="2">
        <v>0</v>
      </c>
      <c r="H758" s="3" t="s">
        <v>27</v>
      </c>
      <c r="I758" s="3" t="s">
        <v>4950</v>
      </c>
      <c r="J758" s="3" t="s">
        <v>2228</v>
      </c>
      <c r="K758" s="21" t="s">
        <v>2229</v>
      </c>
      <c r="L758" s="10">
        <v>17016</v>
      </c>
      <c r="M758" s="4">
        <f>10+(12*7)</f>
        <v>94</v>
      </c>
      <c r="N758" s="2">
        <v>79</v>
      </c>
      <c r="O758" s="2">
        <v>1</v>
      </c>
      <c r="P758" s="2">
        <v>2</v>
      </c>
      <c r="Q758" s="2">
        <v>1</v>
      </c>
      <c r="R758" s="2">
        <v>1</v>
      </c>
      <c r="S758" s="11">
        <v>1</v>
      </c>
      <c r="T758" s="11">
        <v>0</v>
      </c>
      <c r="U758" s="11">
        <v>1</v>
      </c>
      <c r="V758" s="2">
        <v>0</v>
      </c>
      <c r="W758" s="2">
        <v>1</v>
      </c>
      <c r="X758" s="2">
        <v>3</v>
      </c>
      <c r="Y758" s="2">
        <v>0</v>
      </c>
      <c r="Z758" s="27">
        <v>1953.08</v>
      </c>
      <c r="AA758" s="31">
        <v>1954.05</v>
      </c>
    </row>
    <row r="759" spans="1:27" x14ac:dyDescent="0.2">
      <c r="A759" s="3" t="s">
        <v>2222</v>
      </c>
      <c r="B759" s="2" t="s">
        <v>2223</v>
      </c>
      <c r="C759" s="8">
        <v>20064</v>
      </c>
      <c r="D759" s="2">
        <v>1954</v>
      </c>
      <c r="E759" s="2">
        <v>1950</v>
      </c>
      <c r="F759" s="2">
        <v>0</v>
      </c>
      <c r="G759" s="2">
        <v>0</v>
      </c>
      <c r="H759" s="3" t="s">
        <v>27</v>
      </c>
      <c r="I759" s="3" t="s">
        <v>4951</v>
      </c>
      <c r="J759" s="3" t="s">
        <v>2224</v>
      </c>
      <c r="K759" s="21" t="s">
        <v>2225</v>
      </c>
      <c r="L759" s="10">
        <v>13320</v>
      </c>
      <c r="M759" s="4">
        <f>6+(12*18)</f>
        <v>222</v>
      </c>
      <c r="N759" s="2">
        <v>74</v>
      </c>
      <c r="O759" s="2">
        <v>5</v>
      </c>
      <c r="Q759" s="2">
        <v>1</v>
      </c>
      <c r="R759" s="2">
        <v>1</v>
      </c>
      <c r="S759" s="11">
        <v>0</v>
      </c>
      <c r="T759" s="11">
        <v>1</v>
      </c>
      <c r="U759" s="11">
        <v>1</v>
      </c>
      <c r="V759" s="2">
        <v>0</v>
      </c>
      <c r="W759" s="2">
        <v>0</v>
      </c>
      <c r="X759" s="2">
        <v>0</v>
      </c>
      <c r="Y759" s="2">
        <v>0</v>
      </c>
      <c r="Z759" s="27">
        <v>1954.0139999999999</v>
      </c>
      <c r="AA759" s="31">
        <v>1954.06</v>
      </c>
    </row>
    <row r="760" spans="1:27" x14ac:dyDescent="0.2">
      <c r="A760" s="3" t="s">
        <v>2216</v>
      </c>
      <c r="B760" s="2" t="s">
        <v>2217</v>
      </c>
      <c r="C760" s="8">
        <v>20050</v>
      </c>
      <c r="D760" s="2">
        <v>1954</v>
      </c>
      <c r="E760" s="2">
        <v>1950</v>
      </c>
      <c r="F760" s="2">
        <v>0</v>
      </c>
      <c r="G760" s="2">
        <v>0</v>
      </c>
      <c r="H760" s="3" t="s">
        <v>27</v>
      </c>
      <c r="I760" s="3" t="s">
        <v>4952</v>
      </c>
      <c r="J760" s="3" t="s">
        <v>2218</v>
      </c>
      <c r="K760" s="21" t="s">
        <v>2219</v>
      </c>
      <c r="L760" s="10">
        <v>17016</v>
      </c>
      <c r="M760" s="4">
        <f>3+(12*8)</f>
        <v>99</v>
      </c>
      <c r="N760" s="2">
        <v>79</v>
      </c>
      <c r="O760" s="2">
        <v>4</v>
      </c>
      <c r="Q760" s="2">
        <v>0</v>
      </c>
      <c r="R760" s="2">
        <v>0</v>
      </c>
      <c r="S760" s="11">
        <v>1</v>
      </c>
      <c r="T760" s="11">
        <v>0</v>
      </c>
      <c r="U760" s="11">
        <v>0</v>
      </c>
      <c r="V760" s="2">
        <v>0</v>
      </c>
      <c r="W760" s="2">
        <v>1</v>
      </c>
      <c r="X760" s="2">
        <v>0</v>
      </c>
      <c r="Y760" s="2">
        <v>0</v>
      </c>
      <c r="Z760" s="27">
        <v>1954.0050000000001</v>
      </c>
      <c r="AA760" s="31">
        <v>1954.07</v>
      </c>
    </row>
    <row r="761" spans="1:27" x14ac:dyDescent="0.2">
      <c r="A761" s="3" t="s">
        <v>2239</v>
      </c>
      <c r="B761" s="2" t="s">
        <v>2240</v>
      </c>
      <c r="C761" s="8">
        <v>20127</v>
      </c>
      <c r="D761" s="2">
        <v>1955</v>
      </c>
      <c r="E761" s="2">
        <v>1950</v>
      </c>
      <c r="F761" s="2">
        <v>0</v>
      </c>
      <c r="G761" s="2">
        <v>0</v>
      </c>
      <c r="H761" s="3" t="s">
        <v>27</v>
      </c>
      <c r="I761" s="3" t="s">
        <v>2241</v>
      </c>
      <c r="J761" s="3" t="s">
        <v>2241</v>
      </c>
      <c r="K761" s="21" t="s">
        <v>2242</v>
      </c>
      <c r="L761" s="10">
        <v>17387</v>
      </c>
      <c r="M761" s="4">
        <f>6+(12*7)</f>
        <v>90</v>
      </c>
      <c r="N761" s="2">
        <v>80</v>
      </c>
      <c r="O761" s="2">
        <v>4</v>
      </c>
      <c r="Q761" s="2">
        <v>0</v>
      </c>
      <c r="R761" s="2">
        <v>0</v>
      </c>
      <c r="S761" s="11">
        <v>1</v>
      </c>
      <c r="T761" s="11">
        <v>1</v>
      </c>
      <c r="U761" s="11">
        <v>0</v>
      </c>
      <c r="V761" s="2">
        <v>0</v>
      </c>
      <c r="W761" s="2">
        <v>1</v>
      </c>
      <c r="X761" s="2">
        <v>3</v>
      </c>
      <c r="Y761" s="2">
        <v>1</v>
      </c>
      <c r="Z761" s="27">
        <v>1954.029</v>
      </c>
      <c r="AA761" s="31">
        <v>1955.01</v>
      </c>
    </row>
    <row r="762" spans="1:27" x14ac:dyDescent="0.2">
      <c r="A762" s="3" t="s">
        <v>2233</v>
      </c>
      <c r="B762" s="2" t="s">
        <v>2234</v>
      </c>
      <c r="C762" s="8">
        <v>20162</v>
      </c>
      <c r="D762" s="2">
        <v>1955</v>
      </c>
      <c r="E762" s="2">
        <v>1950</v>
      </c>
      <c r="F762" s="2">
        <v>0</v>
      </c>
      <c r="G762" s="2">
        <v>0</v>
      </c>
      <c r="H762" s="3" t="s">
        <v>27</v>
      </c>
      <c r="I762" s="3" t="s">
        <v>4948</v>
      </c>
      <c r="J762" s="3" t="s">
        <v>2204</v>
      </c>
      <c r="K762" s="21" t="s">
        <v>2205</v>
      </c>
      <c r="L762" s="10">
        <v>18921</v>
      </c>
      <c r="M762" s="4">
        <f>5+36</f>
        <v>41</v>
      </c>
      <c r="N762" s="2">
        <v>82</v>
      </c>
      <c r="O762" s="2">
        <v>4</v>
      </c>
      <c r="P762" s="2">
        <v>1</v>
      </c>
      <c r="Q762" s="2">
        <v>0</v>
      </c>
      <c r="R762" s="2">
        <v>0</v>
      </c>
      <c r="S762" s="11">
        <v>1</v>
      </c>
      <c r="T762" s="11">
        <v>1</v>
      </c>
      <c r="U762" s="11">
        <v>0</v>
      </c>
      <c r="V762" s="2">
        <v>0</v>
      </c>
      <c r="W762" s="2">
        <v>1</v>
      </c>
      <c r="X762" s="2">
        <v>3</v>
      </c>
      <c r="Y762" s="2">
        <v>0</v>
      </c>
      <c r="Z762" s="27">
        <v>1954.0409999999999</v>
      </c>
      <c r="AA762" s="31">
        <v>1955.02</v>
      </c>
    </row>
    <row r="763" spans="1:27" x14ac:dyDescent="0.2">
      <c r="A763" s="3" t="s">
        <v>3972</v>
      </c>
      <c r="B763" s="2" t="s">
        <v>3973</v>
      </c>
      <c r="C763" s="8">
        <v>20176</v>
      </c>
      <c r="D763" s="2">
        <v>1955</v>
      </c>
      <c r="E763" s="2">
        <v>1950</v>
      </c>
      <c r="F763" s="2">
        <v>1</v>
      </c>
      <c r="G763" s="2">
        <v>1</v>
      </c>
      <c r="H763" s="3" t="s">
        <v>3442</v>
      </c>
      <c r="I763" s="3" t="s">
        <v>5068</v>
      </c>
      <c r="J763" s="3" t="s">
        <v>2279</v>
      </c>
      <c r="K763" s="21" t="s">
        <v>2133</v>
      </c>
      <c r="L763" s="10">
        <v>17341</v>
      </c>
      <c r="M763" s="4">
        <f>9+(12*7)</f>
        <v>93</v>
      </c>
      <c r="N763" s="2">
        <v>80</v>
      </c>
      <c r="O763" s="2">
        <v>6</v>
      </c>
      <c r="P763" s="2">
        <v>5</v>
      </c>
      <c r="Q763" s="2">
        <v>1</v>
      </c>
      <c r="R763" s="2">
        <v>0</v>
      </c>
      <c r="S763" s="11">
        <v>0</v>
      </c>
      <c r="T763" s="11">
        <v>1</v>
      </c>
      <c r="U763" s="11">
        <v>0</v>
      </c>
      <c r="V763" s="2">
        <v>0</v>
      </c>
      <c r="W763" s="2">
        <v>0</v>
      </c>
      <c r="X763" s="2">
        <v>2</v>
      </c>
      <c r="Y763" s="2">
        <v>1</v>
      </c>
      <c r="Z763" s="27">
        <v>1954.0440000000001</v>
      </c>
      <c r="AA763" s="31">
        <v>1955.03</v>
      </c>
    </row>
    <row r="764" spans="1:27" x14ac:dyDescent="0.2">
      <c r="A764" s="3" t="s">
        <v>3976</v>
      </c>
      <c r="B764" s="2" t="s">
        <v>3977</v>
      </c>
      <c r="C764" s="8">
        <v>20232</v>
      </c>
      <c r="D764" s="2">
        <v>1955</v>
      </c>
      <c r="E764" s="2">
        <v>1950</v>
      </c>
      <c r="F764" s="2">
        <v>1</v>
      </c>
      <c r="G764" s="2">
        <v>1</v>
      </c>
      <c r="H764" s="3" t="s">
        <v>3442</v>
      </c>
      <c r="I764" s="3" t="s">
        <v>2304</v>
      </c>
      <c r="J764" s="3" t="s">
        <v>2304</v>
      </c>
      <c r="K764" s="3" t="s">
        <v>2305</v>
      </c>
      <c r="L764" s="10">
        <v>14053</v>
      </c>
      <c r="M764" s="4">
        <v>203</v>
      </c>
      <c r="N764" s="2">
        <v>75</v>
      </c>
      <c r="O764" s="2">
        <v>1</v>
      </c>
      <c r="Q764" s="2">
        <v>0</v>
      </c>
      <c r="R764" s="2">
        <v>0</v>
      </c>
      <c r="S764" s="11">
        <v>1</v>
      </c>
      <c r="T764" s="11">
        <v>1</v>
      </c>
      <c r="U764" s="11">
        <v>1</v>
      </c>
      <c r="V764" s="2">
        <v>0</v>
      </c>
      <c r="W764" s="2">
        <v>1</v>
      </c>
      <c r="X764" s="2">
        <v>2</v>
      </c>
      <c r="Y764" s="2">
        <v>0</v>
      </c>
      <c r="Z764" s="27">
        <v>1954.078</v>
      </c>
      <c r="AA764" s="31">
        <v>1955.04</v>
      </c>
    </row>
    <row r="765" spans="1:27" x14ac:dyDescent="0.2">
      <c r="A765" s="3" t="s">
        <v>3974</v>
      </c>
      <c r="B765" s="2" t="s">
        <v>3975</v>
      </c>
      <c r="C765" s="8">
        <v>20232</v>
      </c>
      <c r="D765" s="2">
        <v>1955</v>
      </c>
      <c r="E765" s="2">
        <v>1950</v>
      </c>
      <c r="F765" s="2">
        <v>1</v>
      </c>
      <c r="G765" s="2">
        <v>1</v>
      </c>
      <c r="H765" s="3" t="s">
        <v>3442</v>
      </c>
      <c r="I765" s="3" t="s">
        <v>2304</v>
      </c>
      <c r="J765" s="3" t="s">
        <v>2304</v>
      </c>
      <c r="K765" s="3" t="s">
        <v>2305</v>
      </c>
      <c r="L765" s="10">
        <v>14053</v>
      </c>
      <c r="M765" s="4">
        <f>11+(12*16)</f>
        <v>203</v>
      </c>
      <c r="N765" s="2">
        <v>75</v>
      </c>
      <c r="O765" s="2">
        <v>1</v>
      </c>
      <c r="Q765" s="2">
        <v>0</v>
      </c>
      <c r="R765" s="2">
        <v>0</v>
      </c>
      <c r="S765" s="11">
        <v>1</v>
      </c>
      <c r="T765" s="11">
        <v>1</v>
      </c>
      <c r="U765" s="11">
        <v>1</v>
      </c>
      <c r="V765" s="2">
        <v>0</v>
      </c>
      <c r="W765" s="2">
        <v>1</v>
      </c>
      <c r="X765" s="2">
        <v>3</v>
      </c>
      <c r="Y765" s="2">
        <v>0</v>
      </c>
      <c r="Z765" s="27">
        <v>1954.079</v>
      </c>
      <c r="AA765" s="31">
        <v>1955.05</v>
      </c>
    </row>
    <row r="766" spans="1:27" x14ac:dyDescent="0.2">
      <c r="A766" s="3" t="s">
        <v>2235</v>
      </c>
      <c r="B766" s="2" t="s">
        <v>2236</v>
      </c>
      <c r="C766" s="8">
        <v>20240</v>
      </c>
      <c r="D766" s="2">
        <v>1955</v>
      </c>
      <c r="E766" s="2">
        <v>1950</v>
      </c>
      <c r="F766" s="2">
        <v>0</v>
      </c>
      <c r="G766" s="2">
        <v>0</v>
      </c>
      <c r="H766" s="3" t="s">
        <v>27</v>
      </c>
      <c r="I766" s="3" t="s">
        <v>4538</v>
      </c>
      <c r="J766" s="3" t="s">
        <v>2237</v>
      </c>
      <c r="K766" s="21" t="s">
        <v>2238</v>
      </c>
      <c r="L766" s="10">
        <v>19172</v>
      </c>
      <c r="M766" s="4">
        <f>11+24</f>
        <v>35</v>
      </c>
      <c r="N766" s="2">
        <v>82</v>
      </c>
      <c r="O766" s="2">
        <v>1</v>
      </c>
      <c r="Q766" s="2">
        <v>1</v>
      </c>
      <c r="R766" s="2">
        <v>1</v>
      </c>
      <c r="S766" s="11">
        <v>1</v>
      </c>
      <c r="T766" s="11">
        <v>1</v>
      </c>
      <c r="U766" s="11">
        <v>0</v>
      </c>
      <c r="V766" s="2">
        <v>0</v>
      </c>
      <c r="W766" s="2">
        <v>1</v>
      </c>
      <c r="X766" s="2">
        <v>3</v>
      </c>
      <c r="Y766" s="2">
        <v>0</v>
      </c>
      <c r="Z766" s="27">
        <v>1954.086</v>
      </c>
      <c r="AA766" s="31">
        <v>1955.06</v>
      </c>
    </row>
    <row r="767" spans="1:27" x14ac:dyDescent="0.2">
      <c r="A767" s="3" t="s">
        <v>2230</v>
      </c>
      <c r="B767" s="2" t="s">
        <v>2231</v>
      </c>
      <c r="C767" s="8">
        <v>20246</v>
      </c>
      <c r="D767" s="2">
        <v>1955</v>
      </c>
      <c r="E767" s="2">
        <v>1950</v>
      </c>
      <c r="F767" s="2">
        <v>0</v>
      </c>
      <c r="G767" s="2">
        <v>0</v>
      </c>
      <c r="H767" s="3" t="s">
        <v>27</v>
      </c>
      <c r="I767" s="3" t="s">
        <v>4912</v>
      </c>
      <c r="J767" s="3" t="s">
        <v>2232</v>
      </c>
      <c r="K767" s="3" t="s">
        <v>1737</v>
      </c>
      <c r="L767" s="10">
        <v>13022</v>
      </c>
      <c r="M767" s="4">
        <f>10+(24*12)</f>
        <v>298</v>
      </c>
      <c r="N767" s="2">
        <v>74</v>
      </c>
      <c r="O767" s="2">
        <v>5</v>
      </c>
      <c r="Q767" s="2">
        <v>1</v>
      </c>
      <c r="R767" s="2">
        <v>0</v>
      </c>
      <c r="S767" s="11">
        <v>1</v>
      </c>
      <c r="T767" s="11">
        <v>1</v>
      </c>
      <c r="U767" s="11">
        <v>1</v>
      </c>
      <c r="V767" s="2">
        <v>0</v>
      </c>
      <c r="W767" s="2">
        <v>1</v>
      </c>
      <c r="X767" s="2">
        <v>1</v>
      </c>
      <c r="Y767" s="2">
        <v>0</v>
      </c>
      <c r="Z767" s="27">
        <v>1954.0940000000001</v>
      </c>
      <c r="AA767" s="31">
        <v>1955.07</v>
      </c>
    </row>
    <row r="768" spans="1:27" x14ac:dyDescent="0.2">
      <c r="A768" s="3" t="s">
        <v>3978</v>
      </c>
      <c r="B768" s="2" t="s">
        <v>3979</v>
      </c>
      <c r="C768" s="8">
        <v>20400</v>
      </c>
      <c r="D768" s="2">
        <v>1955</v>
      </c>
      <c r="E768" s="2">
        <v>1950</v>
      </c>
      <c r="F768" s="2">
        <v>2</v>
      </c>
      <c r="G768" s="2">
        <v>1</v>
      </c>
      <c r="H768" s="3" t="s">
        <v>3434</v>
      </c>
      <c r="I768" s="3" t="s">
        <v>4953</v>
      </c>
      <c r="J768" s="3" t="s">
        <v>2249</v>
      </c>
      <c r="K768" s="21" t="s">
        <v>2250</v>
      </c>
      <c r="L768" s="10">
        <v>18388</v>
      </c>
      <c r="M768" s="4">
        <f>6+(12*5)</f>
        <v>66</v>
      </c>
      <c r="N768" s="2">
        <v>81</v>
      </c>
      <c r="O768" s="2">
        <v>1</v>
      </c>
      <c r="Q768" s="2">
        <v>0</v>
      </c>
      <c r="R768" s="2">
        <v>0</v>
      </c>
      <c r="S768" s="11">
        <v>1</v>
      </c>
      <c r="T768" s="11">
        <v>1</v>
      </c>
      <c r="U768" s="11">
        <v>1</v>
      </c>
      <c r="V768" s="2">
        <v>1</v>
      </c>
      <c r="W768" s="2">
        <v>1</v>
      </c>
      <c r="X768" s="2">
        <v>3</v>
      </c>
      <c r="Y768" s="2">
        <v>0</v>
      </c>
      <c r="Z768" s="27">
        <v>1955.0039999999999</v>
      </c>
      <c r="AA768" s="31">
        <v>1955.08</v>
      </c>
    </row>
    <row r="769" spans="1:27" x14ac:dyDescent="0.2">
      <c r="A769" s="3" t="s">
        <v>2255</v>
      </c>
      <c r="B769" s="2" t="s">
        <v>2256</v>
      </c>
      <c r="C769" s="8">
        <v>20463</v>
      </c>
      <c r="D769" s="2">
        <v>1956</v>
      </c>
      <c r="E769" s="2">
        <v>1950</v>
      </c>
      <c r="F769" s="2">
        <v>0</v>
      </c>
      <c r="G769" s="2">
        <v>0</v>
      </c>
      <c r="H769" s="3" t="s">
        <v>27</v>
      </c>
      <c r="I769" s="3" t="s">
        <v>4954</v>
      </c>
      <c r="J769" s="3" t="s">
        <v>2257</v>
      </c>
      <c r="K769" s="21" t="s">
        <v>2258</v>
      </c>
      <c r="L769" s="10">
        <v>16348</v>
      </c>
      <c r="M769" s="4">
        <f>3+(12*11)</f>
        <v>135</v>
      </c>
      <c r="N769" s="2">
        <v>78</v>
      </c>
      <c r="O769" s="2">
        <v>1</v>
      </c>
      <c r="Q769" s="2">
        <v>1</v>
      </c>
      <c r="R769" s="2">
        <v>0</v>
      </c>
      <c r="S769" s="11">
        <v>1</v>
      </c>
      <c r="T769" s="11">
        <v>1</v>
      </c>
      <c r="U769" s="11">
        <v>0</v>
      </c>
      <c r="V769" s="2">
        <v>0</v>
      </c>
      <c r="W769" s="2">
        <v>1</v>
      </c>
      <c r="X769" s="2">
        <v>0</v>
      </c>
      <c r="Y769" s="2">
        <v>0</v>
      </c>
      <c r="Z769" s="27">
        <v>1955.0160000000001</v>
      </c>
      <c r="AA769" s="31">
        <v>1956.01</v>
      </c>
    </row>
    <row r="770" spans="1:27" x14ac:dyDescent="0.2">
      <c r="A770" s="3" t="s">
        <v>3980</v>
      </c>
      <c r="B770" s="2" t="s">
        <v>3981</v>
      </c>
      <c r="C770" s="8">
        <v>20470</v>
      </c>
      <c r="D770" s="2">
        <v>1956</v>
      </c>
      <c r="E770" s="2">
        <v>1950</v>
      </c>
      <c r="F770" s="2">
        <v>1</v>
      </c>
      <c r="G770" s="2">
        <v>1</v>
      </c>
      <c r="H770" s="3" t="s">
        <v>3442</v>
      </c>
      <c r="I770" t="s">
        <v>5059</v>
      </c>
      <c r="J770" s="3" t="s">
        <v>3982</v>
      </c>
      <c r="K770" s="21" t="s">
        <v>3983</v>
      </c>
      <c r="L770" s="10">
        <v>17368</v>
      </c>
      <c r="M770" s="4">
        <f>6+(12*8)</f>
        <v>102</v>
      </c>
      <c r="N770" s="2">
        <v>80</v>
      </c>
      <c r="O770" s="2">
        <v>5</v>
      </c>
      <c r="Q770" s="2">
        <v>0</v>
      </c>
      <c r="R770" s="2">
        <v>0</v>
      </c>
      <c r="S770" s="11">
        <v>0</v>
      </c>
      <c r="T770" s="11">
        <v>1</v>
      </c>
      <c r="U770" s="11">
        <v>1</v>
      </c>
      <c r="V770" s="2">
        <v>0</v>
      </c>
      <c r="W770" s="2">
        <v>0</v>
      </c>
      <c r="X770" s="2">
        <v>1</v>
      </c>
      <c r="Y770" s="2">
        <v>1</v>
      </c>
      <c r="Z770" s="27">
        <v>1955.02</v>
      </c>
      <c r="AA770" s="31">
        <v>1956.02</v>
      </c>
    </row>
    <row r="771" spans="1:27" x14ac:dyDescent="0.2">
      <c r="A771" s="3" t="s">
        <v>2243</v>
      </c>
      <c r="B771" s="2" t="s">
        <v>2244</v>
      </c>
      <c r="C771" s="8">
        <v>20519</v>
      </c>
      <c r="D771" s="2">
        <v>1956</v>
      </c>
      <c r="E771" s="2">
        <v>1950</v>
      </c>
      <c r="F771" s="2">
        <v>0</v>
      </c>
      <c r="G771" s="2">
        <v>0</v>
      </c>
      <c r="H771" s="3" t="s">
        <v>27</v>
      </c>
      <c r="I771" s="3" t="s">
        <v>2245</v>
      </c>
      <c r="J771" s="3" t="s">
        <v>2245</v>
      </c>
      <c r="K771" s="21" t="s">
        <v>2246</v>
      </c>
      <c r="L771" s="10">
        <v>18148</v>
      </c>
      <c r="M771" s="4">
        <f>6+(6*12)</f>
        <v>78</v>
      </c>
      <c r="N771" s="2">
        <v>81</v>
      </c>
      <c r="O771" s="2">
        <v>5</v>
      </c>
      <c r="P771" s="2">
        <v>1</v>
      </c>
      <c r="Q771" s="2">
        <v>0</v>
      </c>
      <c r="R771" s="2">
        <v>0</v>
      </c>
      <c r="S771" s="11">
        <v>1</v>
      </c>
      <c r="T771" s="11">
        <v>1</v>
      </c>
      <c r="U771" s="11">
        <v>0</v>
      </c>
      <c r="V771" s="2">
        <v>0</v>
      </c>
      <c r="W771" s="2">
        <v>1</v>
      </c>
      <c r="X771" s="2">
        <v>0</v>
      </c>
      <c r="Y771" s="2">
        <v>0</v>
      </c>
      <c r="Z771" s="27">
        <v>1955.0340000000001</v>
      </c>
      <c r="AA771" s="31">
        <v>1956.03</v>
      </c>
    </row>
    <row r="772" spans="1:27" x14ac:dyDescent="0.2">
      <c r="A772" s="3" t="s">
        <v>3984</v>
      </c>
      <c r="B772" s="2" t="s">
        <v>3985</v>
      </c>
      <c r="C772" s="8">
        <v>20526</v>
      </c>
      <c r="D772" s="2">
        <v>1956</v>
      </c>
      <c r="E772" s="2">
        <v>1950</v>
      </c>
      <c r="F772" s="2">
        <v>1</v>
      </c>
      <c r="G772" s="2">
        <v>1</v>
      </c>
      <c r="H772" s="3" t="s">
        <v>3442</v>
      </c>
      <c r="I772" t="s">
        <v>5060</v>
      </c>
      <c r="J772" s="3" t="s">
        <v>2290</v>
      </c>
      <c r="K772" s="21" t="s">
        <v>2276</v>
      </c>
      <c r="L772" s="10">
        <v>17709</v>
      </c>
      <c r="M772" s="4">
        <f>9+(12*7)</f>
        <v>93</v>
      </c>
      <c r="N772" s="2">
        <v>80</v>
      </c>
      <c r="O772" s="2">
        <v>1</v>
      </c>
      <c r="Q772" s="2">
        <v>0</v>
      </c>
      <c r="R772" s="2">
        <v>0</v>
      </c>
      <c r="S772" s="11">
        <v>1</v>
      </c>
      <c r="T772" s="11">
        <v>1</v>
      </c>
      <c r="U772" s="11">
        <v>1</v>
      </c>
      <c r="V772" s="2">
        <v>0</v>
      </c>
      <c r="W772" s="2">
        <v>1</v>
      </c>
      <c r="X772" s="2">
        <v>0</v>
      </c>
      <c r="Y772" s="2">
        <v>1</v>
      </c>
      <c r="Z772" s="27">
        <v>1955.037</v>
      </c>
      <c r="AA772" s="31">
        <v>1956.04</v>
      </c>
    </row>
    <row r="773" spans="1:27" ht="12.75" customHeight="1" x14ac:dyDescent="0.2">
      <c r="A773" s="3" t="s">
        <v>2263</v>
      </c>
      <c r="B773" s="2" t="s">
        <v>2264</v>
      </c>
      <c r="C773" s="8">
        <v>20540</v>
      </c>
      <c r="D773" s="2">
        <v>1956</v>
      </c>
      <c r="E773" s="2">
        <v>1950</v>
      </c>
      <c r="F773" s="2">
        <v>0</v>
      </c>
      <c r="G773" s="2">
        <v>0</v>
      </c>
      <c r="H773" s="3" t="s">
        <v>27</v>
      </c>
      <c r="I773" s="3" t="s">
        <v>2265</v>
      </c>
      <c r="J773" s="3" t="s">
        <v>2265</v>
      </c>
      <c r="K773" s="21" t="s">
        <v>2266</v>
      </c>
      <c r="L773" s="10">
        <v>16986</v>
      </c>
      <c r="M773" s="4">
        <f>8+(12*12)</f>
        <v>152</v>
      </c>
      <c r="N773" s="2">
        <v>79</v>
      </c>
      <c r="O773" s="2">
        <v>5</v>
      </c>
      <c r="Q773" s="2">
        <v>0</v>
      </c>
      <c r="R773" s="2">
        <v>0</v>
      </c>
      <c r="S773" s="11">
        <v>1</v>
      </c>
      <c r="T773" s="11">
        <v>0</v>
      </c>
      <c r="U773" s="11">
        <v>1</v>
      </c>
      <c r="V773" s="2">
        <v>0</v>
      </c>
      <c r="W773" s="2">
        <v>1</v>
      </c>
      <c r="X773" s="2">
        <v>3</v>
      </c>
      <c r="Y773" s="2">
        <v>0</v>
      </c>
      <c r="Z773" s="27">
        <v>1955.04</v>
      </c>
      <c r="AA773" s="31">
        <v>1956.05</v>
      </c>
    </row>
    <row r="774" spans="1:27" x14ac:dyDescent="0.2">
      <c r="A774" s="3" t="s">
        <v>2259</v>
      </c>
      <c r="B774" s="2" t="s">
        <v>2260</v>
      </c>
      <c r="C774" s="8">
        <v>20540</v>
      </c>
      <c r="D774" s="2">
        <v>1956</v>
      </c>
      <c r="E774" s="2">
        <v>1950</v>
      </c>
      <c r="F774" s="2">
        <v>0</v>
      </c>
      <c r="G774" s="2">
        <v>0</v>
      </c>
      <c r="H774" s="3" t="s">
        <v>27</v>
      </c>
      <c r="I774" s="3" t="s">
        <v>2261</v>
      </c>
      <c r="J774" s="3" t="s">
        <v>2261</v>
      </c>
      <c r="K774" s="21" t="s">
        <v>2262</v>
      </c>
      <c r="L774" s="10">
        <v>19956</v>
      </c>
      <c r="M774" s="4">
        <f>7+(12*4)</f>
        <v>55</v>
      </c>
      <c r="N774" s="2">
        <v>83</v>
      </c>
      <c r="O774" s="2">
        <v>1</v>
      </c>
      <c r="P774" s="2">
        <v>5</v>
      </c>
      <c r="Q774" s="2">
        <v>0</v>
      </c>
      <c r="R774" s="2">
        <v>0</v>
      </c>
      <c r="S774" s="11">
        <v>1</v>
      </c>
      <c r="T774" s="11">
        <v>1</v>
      </c>
      <c r="U774" s="11">
        <v>0</v>
      </c>
      <c r="V774" s="2">
        <v>0</v>
      </c>
      <c r="W774" s="2">
        <v>1</v>
      </c>
      <c r="X774" s="2">
        <v>3</v>
      </c>
      <c r="Y774" s="2">
        <v>1</v>
      </c>
      <c r="Z774" s="27">
        <v>1955.0409999999999</v>
      </c>
      <c r="AA774" s="31">
        <v>1956.06</v>
      </c>
    </row>
    <row r="775" spans="1:27" x14ac:dyDescent="0.2">
      <c r="A775" s="3" t="s">
        <v>2251</v>
      </c>
      <c r="B775" s="2" t="s">
        <v>2252</v>
      </c>
      <c r="C775" s="8">
        <v>20596</v>
      </c>
      <c r="D775" s="2">
        <v>1956</v>
      </c>
      <c r="E775" s="2">
        <v>1950</v>
      </c>
      <c r="F775" s="2">
        <v>0</v>
      </c>
      <c r="G775" s="2">
        <v>0</v>
      </c>
      <c r="H775" s="3" t="s">
        <v>27</v>
      </c>
      <c r="I775" s="3" t="s">
        <v>4861</v>
      </c>
      <c r="J775" s="3" t="s">
        <v>2253</v>
      </c>
      <c r="K775" s="21" t="s">
        <v>2254</v>
      </c>
      <c r="L775" s="10">
        <v>18648</v>
      </c>
      <c r="M775" s="4">
        <f>4+(12*5)</f>
        <v>64</v>
      </c>
      <c r="N775" s="2">
        <v>81</v>
      </c>
      <c r="O775" s="2">
        <v>4</v>
      </c>
      <c r="P775" s="2">
        <v>2</v>
      </c>
      <c r="Q775" s="2">
        <v>0</v>
      </c>
      <c r="R775" s="2">
        <v>0</v>
      </c>
      <c r="S775" s="11">
        <v>0</v>
      </c>
      <c r="T775" s="11">
        <v>0</v>
      </c>
      <c r="U775" s="11">
        <v>1</v>
      </c>
      <c r="V775" s="2">
        <v>0</v>
      </c>
      <c r="W775" s="2">
        <v>0</v>
      </c>
      <c r="X775" s="2">
        <v>0</v>
      </c>
      <c r="Y775" s="2">
        <v>0</v>
      </c>
      <c r="Z775" s="27">
        <v>1955.0830000000001</v>
      </c>
      <c r="AA775" s="31">
        <v>1956.07</v>
      </c>
    </row>
    <row r="776" spans="1:27" x14ac:dyDescent="0.2">
      <c r="A776" s="3" t="s">
        <v>2247</v>
      </c>
      <c r="B776" s="2" t="s">
        <v>2248</v>
      </c>
      <c r="C776" s="8">
        <v>20617</v>
      </c>
      <c r="D776" s="2">
        <v>1956</v>
      </c>
      <c r="E776" s="2">
        <v>1950</v>
      </c>
      <c r="F776" s="2">
        <v>0</v>
      </c>
      <c r="G776" s="2">
        <v>0</v>
      </c>
      <c r="H776" s="3" t="s">
        <v>27</v>
      </c>
      <c r="I776" s="3" t="s">
        <v>4953</v>
      </c>
      <c r="J776" s="3" t="s">
        <v>2249</v>
      </c>
      <c r="K776" s="21" t="s">
        <v>2250</v>
      </c>
      <c r="L776" s="10">
        <v>18388</v>
      </c>
      <c r="M776" s="4">
        <f>1+(12*6)</f>
        <v>73</v>
      </c>
      <c r="N776" s="2">
        <v>81</v>
      </c>
      <c r="O776" s="2">
        <v>1</v>
      </c>
      <c r="Q776" s="2">
        <v>0</v>
      </c>
      <c r="R776" s="2">
        <v>0</v>
      </c>
      <c r="S776" s="11">
        <v>1</v>
      </c>
      <c r="T776" s="11">
        <v>1</v>
      </c>
      <c r="U776" s="11">
        <v>0</v>
      </c>
      <c r="V776" s="2">
        <v>0</v>
      </c>
      <c r="W776" s="2">
        <v>1</v>
      </c>
      <c r="X776" s="2">
        <v>3</v>
      </c>
      <c r="Y776" s="2">
        <v>0</v>
      </c>
      <c r="Z776" s="27">
        <v>1955.096</v>
      </c>
      <c r="AA776" s="31">
        <v>1956.08</v>
      </c>
    </row>
    <row r="777" spans="1:27" x14ac:dyDescent="0.2">
      <c r="A777" s="3" t="s">
        <v>3988</v>
      </c>
      <c r="B777" s="2" t="s">
        <v>3989</v>
      </c>
      <c r="C777" s="8">
        <v>20939</v>
      </c>
      <c r="D777" s="2">
        <v>1957</v>
      </c>
      <c r="E777" s="2">
        <v>1950</v>
      </c>
      <c r="F777" s="2">
        <v>1</v>
      </c>
      <c r="G777" s="2">
        <v>1</v>
      </c>
      <c r="H777" s="3" t="s">
        <v>3442</v>
      </c>
      <c r="I777" s="3" t="s">
        <v>4538</v>
      </c>
      <c r="J777" s="3" t="s">
        <v>3159</v>
      </c>
      <c r="K777" s="21" t="s">
        <v>2238</v>
      </c>
      <c r="L777" s="10">
        <v>19172</v>
      </c>
      <c r="M777" s="4">
        <f>10+(12*4)</f>
        <v>58</v>
      </c>
      <c r="N777" s="2">
        <v>82</v>
      </c>
      <c r="O777" s="2">
        <v>1</v>
      </c>
      <c r="Q777" s="2">
        <v>1</v>
      </c>
      <c r="R777" s="2">
        <v>0</v>
      </c>
      <c r="S777" s="11">
        <v>1</v>
      </c>
      <c r="T777" s="11">
        <v>0</v>
      </c>
      <c r="U777" s="11">
        <v>0</v>
      </c>
      <c r="V777" s="2">
        <v>0</v>
      </c>
      <c r="W777" s="2">
        <v>1</v>
      </c>
      <c r="X777" s="2">
        <v>2</v>
      </c>
      <c r="Y777" s="2">
        <v>0</v>
      </c>
      <c r="Z777" s="27">
        <v>1956.0730000000001</v>
      </c>
      <c r="AA777" s="31">
        <v>1957.01</v>
      </c>
    </row>
    <row r="778" spans="1:27" x14ac:dyDescent="0.2">
      <c r="A778" s="3" t="s">
        <v>2277</v>
      </c>
      <c r="B778" s="2" t="s">
        <v>2278</v>
      </c>
      <c r="C778" s="8">
        <v>20974</v>
      </c>
      <c r="D778" s="2">
        <v>1957</v>
      </c>
      <c r="E778" s="2">
        <v>1950</v>
      </c>
      <c r="F778" s="2">
        <v>0</v>
      </c>
      <c r="G778" s="2">
        <v>0</v>
      </c>
      <c r="H778" s="3" t="s">
        <v>27</v>
      </c>
      <c r="I778" s="3" t="s">
        <v>5068</v>
      </c>
      <c r="J778" s="3" t="s">
        <v>2279</v>
      </c>
      <c r="K778" s="21" t="s">
        <v>2133</v>
      </c>
      <c r="L778" s="10">
        <v>17341</v>
      </c>
      <c r="M778" s="4">
        <f>120</f>
        <v>120</v>
      </c>
      <c r="N778" s="2">
        <v>80</v>
      </c>
      <c r="O778" s="2">
        <v>5</v>
      </c>
      <c r="P778" s="2">
        <v>6</v>
      </c>
      <c r="Q778" s="2">
        <v>1</v>
      </c>
      <c r="R778" s="2">
        <v>0</v>
      </c>
      <c r="S778" s="11">
        <v>1</v>
      </c>
      <c r="T778" s="11">
        <v>1</v>
      </c>
      <c r="U778" s="11">
        <v>1</v>
      </c>
      <c r="V778" s="2">
        <v>0</v>
      </c>
      <c r="W778" s="2">
        <v>0</v>
      </c>
      <c r="X778" s="2">
        <v>1</v>
      </c>
      <c r="Y778" s="2">
        <v>1</v>
      </c>
      <c r="Z778" s="27">
        <v>1956.0909999999999</v>
      </c>
      <c r="AA778" s="31">
        <v>1957.02</v>
      </c>
    </row>
    <row r="779" spans="1:27" x14ac:dyDescent="0.2">
      <c r="A779" s="3" t="s">
        <v>2267</v>
      </c>
      <c r="B779" s="2" t="s">
        <v>2268</v>
      </c>
      <c r="C779" s="8">
        <v>20974</v>
      </c>
      <c r="D779" s="2">
        <v>1957</v>
      </c>
      <c r="E779" s="2">
        <v>1950</v>
      </c>
      <c r="F779" s="2">
        <v>0</v>
      </c>
      <c r="G779" s="2">
        <v>0</v>
      </c>
      <c r="H779" s="3" t="s">
        <v>27</v>
      </c>
      <c r="I779" s="3" t="s">
        <v>4889</v>
      </c>
      <c r="J779" s="3" t="s">
        <v>1718</v>
      </c>
      <c r="K779" s="21" t="s">
        <v>1719</v>
      </c>
      <c r="L779" s="10">
        <v>12591</v>
      </c>
      <c r="M779" s="4">
        <f>12*23</f>
        <v>276</v>
      </c>
      <c r="N779" s="2">
        <v>73</v>
      </c>
      <c r="O779" s="2">
        <v>5</v>
      </c>
      <c r="Q779" s="2">
        <v>0</v>
      </c>
      <c r="R779" s="2">
        <v>0</v>
      </c>
      <c r="S779" s="11">
        <v>1</v>
      </c>
      <c r="T779" s="11">
        <v>1</v>
      </c>
      <c r="U779" s="11">
        <v>0</v>
      </c>
      <c r="V779" s="2">
        <v>0</v>
      </c>
      <c r="W779" s="2">
        <v>0</v>
      </c>
      <c r="X779" s="2">
        <v>0</v>
      </c>
      <c r="Y779" s="2">
        <v>0</v>
      </c>
      <c r="Z779" s="27">
        <v>1956.0940000000001</v>
      </c>
      <c r="AA779" s="31">
        <v>1957.03</v>
      </c>
    </row>
    <row r="780" spans="1:27" x14ac:dyDescent="0.2">
      <c r="A780" s="3" t="s">
        <v>2269</v>
      </c>
      <c r="B780" s="2" t="s">
        <v>2270</v>
      </c>
      <c r="C780" s="8">
        <v>20974</v>
      </c>
      <c r="D780" s="2">
        <v>1957</v>
      </c>
      <c r="E780" s="2">
        <v>1950</v>
      </c>
      <c r="F780" s="2">
        <v>0</v>
      </c>
      <c r="G780" s="2">
        <v>0</v>
      </c>
      <c r="H780" s="3" t="s">
        <v>27</v>
      </c>
      <c r="I780" s="3" t="s">
        <v>4955</v>
      </c>
      <c r="J780" s="3" t="s">
        <v>2271</v>
      </c>
      <c r="K780" s="3" t="s">
        <v>2272</v>
      </c>
      <c r="L780" s="10">
        <v>19172</v>
      </c>
      <c r="M780" s="4">
        <f>12*5</f>
        <v>60</v>
      </c>
      <c r="N780" s="2">
        <v>82</v>
      </c>
      <c r="O780" s="2">
        <v>1</v>
      </c>
      <c r="Q780" s="2">
        <v>1</v>
      </c>
      <c r="R780" s="2">
        <v>1</v>
      </c>
      <c r="S780" s="11">
        <v>0</v>
      </c>
      <c r="T780" s="11">
        <v>1</v>
      </c>
      <c r="U780" s="11">
        <v>1</v>
      </c>
      <c r="V780" s="2">
        <v>0</v>
      </c>
      <c r="W780" s="2">
        <v>1</v>
      </c>
      <c r="X780" s="2">
        <v>2</v>
      </c>
      <c r="Y780" s="2">
        <v>0</v>
      </c>
      <c r="Z780" s="27">
        <v>1956.0989999999999</v>
      </c>
      <c r="AA780" s="31">
        <v>1957.04</v>
      </c>
    </row>
    <row r="781" spans="1:27" x14ac:dyDescent="0.2">
      <c r="A781" s="3" t="s">
        <v>3986</v>
      </c>
      <c r="B781" s="2" t="s">
        <v>3987</v>
      </c>
      <c r="C781" s="8">
        <v>20981</v>
      </c>
      <c r="D781" s="2">
        <v>1957</v>
      </c>
      <c r="E781" s="2">
        <v>1950</v>
      </c>
      <c r="F781" s="2">
        <v>2</v>
      </c>
      <c r="G781" s="2">
        <v>1</v>
      </c>
      <c r="H781" s="3" t="s">
        <v>3434</v>
      </c>
      <c r="I781" s="3" t="s">
        <v>4953</v>
      </c>
      <c r="J781" s="3" t="s">
        <v>2249</v>
      </c>
      <c r="K781" s="21" t="s">
        <v>2250</v>
      </c>
      <c r="L781" s="10">
        <v>18388</v>
      </c>
      <c r="M781" s="4">
        <f>9+(12*6)</f>
        <v>81</v>
      </c>
      <c r="N781" s="2">
        <v>81</v>
      </c>
      <c r="O781" s="2">
        <v>1</v>
      </c>
      <c r="Q781" s="2">
        <v>0</v>
      </c>
      <c r="R781" s="2">
        <v>0</v>
      </c>
      <c r="S781" s="11">
        <v>1</v>
      </c>
      <c r="T781" s="11">
        <v>0</v>
      </c>
      <c r="U781" s="11">
        <v>1</v>
      </c>
      <c r="V781" s="2">
        <v>1</v>
      </c>
      <c r="W781" s="2">
        <v>1</v>
      </c>
      <c r="X781" s="2">
        <v>2</v>
      </c>
      <c r="Y781" s="2">
        <v>0</v>
      </c>
      <c r="Z781" s="27">
        <v>1956.1010000000001</v>
      </c>
      <c r="AA781" s="31">
        <v>1957.05</v>
      </c>
    </row>
    <row r="782" spans="1:27" x14ac:dyDescent="0.2">
      <c r="A782" s="3" t="s">
        <v>3990</v>
      </c>
      <c r="B782" s="2" t="s">
        <v>3991</v>
      </c>
      <c r="C782" s="8">
        <v>20988</v>
      </c>
      <c r="D782" s="2">
        <v>1957</v>
      </c>
      <c r="E782" s="2">
        <v>1950</v>
      </c>
      <c r="F782" s="2">
        <v>1</v>
      </c>
      <c r="G782" s="2">
        <v>1</v>
      </c>
      <c r="H782" s="3" t="s">
        <v>3442</v>
      </c>
      <c r="I782" s="3" t="s">
        <v>4950</v>
      </c>
      <c r="J782" s="3" t="s">
        <v>3992</v>
      </c>
      <c r="K782" s="21" t="s">
        <v>2229</v>
      </c>
      <c r="L782" s="10">
        <v>17016</v>
      </c>
      <c r="M782" s="4">
        <f>10+120</f>
        <v>130</v>
      </c>
      <c r="N782" s="2">
        <v>79</v>
      </c>
      <c r="O782" s="2">
        <v>1</v>
      </c>
      <c r="P782" s="2">
        <v>2</v>
      </c>
      <c r="Q782" s="2">
        <v>1</v>
      </c>
      <c r="R782" s="2">
        <v>0</v>
      </c>
      <c r="S782" s="11">
        <v>1</v>
      </c>
      <c r="T782" s="11">
        <v>1</v>
      </c>
      <c r="U782" s="11">
        <v>1</v>
      </c>
      <c r="V782" s="2">
        <v>0</v>
      </c>
      <c r="W782" s="2">
        <v>1</v>
      </c>
      <c r="X782" s="2">
        <v>1</v>
      </c>
      <c r="Y782" s="2">
        <v>0</v>
      </c>
      <c r="Z782" s="27">
        <v>1956.1079999999999</v>
      </c>
      <c r="AA782" s="31">
        <v>1957.06</v>
      </c>
    </row>
    <row r="783" spans="1:27" x14ac:dyDescent="0.2">
      <c r="A783" s="3" t="s">
        <v>3993</v>
      </c>
      <c r="B783" s="2" t="s">
        <v>3994</v>
      </c>
      <c r="C783" s="8">
        <v>20988</v>
      </c>
      <c r="D783" s="2">
        <v>1957</v>
      </c>
      <c r="E783" s="2">
        <v>1950</v>
      </c>
      <c r="F783" s="2">
        <v>1</v>
      </c>
      <c r="G783" s="2">
        <v>1</v>
      </c>
      <c r="H783" s="3" t="s">
        <v>3442</v>
      </c>
      <c r="I783" s="3" t="s">
        <v>4931</v>
      </c>
      <c r="J783" s="3" t="s">
        <v>2156</v>
      </c>
      <c r="K783" s="21" t="s">
        <v>2157</v>
      </c>
      <c r="L783" s="10">
        <v>14790</v>
      </c>
      <c r="M783" s="4">
        <f>12*17</f>
        <v>204</v>
      </c>
      <c r="N783" s="2">
        <v>76</v>
      </c>
      <c r="O783" s="2">
        <v>2</v>
      </c>
      <c r="Q783" s="2">
        <v>1</v>
      </c>
      <c r="R783" s="2">
        <v>1</v>
      </c>
      <c r="S783" s="11">
        <v>1</v>
      </c>
      <c r="T783" s="11">
        <v>1</v>
      </c>
      <c r="U783" s="11">
        <v>1</v>
      </c>
      <c r="V783" s="2">
        <v>0</v>
      </c>
      <c r="W783" s="2">
        <v>1</v>
      </c>
      <c r="X783" s="2">
        <v>3</v>
      </c>
      <c r="Y783" s="2">
        <v>0</v>
      </c>
      <c r="Z783" s="27">
        <v>1956.1130000000001</v>
      </c>
      <c r="AA783" s="31">
        <v>1957.07</v>
      </c>
    </row>
    <row r="784" spans="1:27" x14ac:dyDescent="0.2">
      <c r="A784" s="3" t="s">
        <v>2273</v>
      </c>
      <c r="B784" s="2" t="s">
        <v>2274</v>
      </c>
      <c r="C784" s="8">
        <v>20995</v>
      </c>
      <c r="D784" s="2">
        <v>1957</v>
      </c>
      <c r="E784" s="2">
        <v>1950</v>
      </c>
      <c r="F784" s="2">
        <v>0</v>
      </c>
      <c r="G784" s="2">
        <v>0</v>
      </c>
      <c r="H784" s="3" t="s">
        <v>27</v>
      </c>
      <c r="I784" s="3" t="s">
        <v>5083</v>
      </c>
      <c r="J784" s="3" t="s">
        <v>2275</v>
      </c>
      <c r="K784" s="21" t="s">
        <v>2276</v>
      </c>
      <c r="L784" s="10">
        <v>17709</v>
      </c>
      <c r="M784" s="4">
        <f>9*12</f>
        <v>108</v>
      </c>
      <c r="N784" s="2">
        <v>80</v>
      </c>
      <c r="O784" s="2">
        <v>2</v>
      </c>
      <c r="P784" s="2">
        <v>1</v>
      </c>
      <c r="Q784" s="2">
        <v>0</v>
      </c>
      <c r="R784" s="2">
        <v>0</v>
      </c>
      <c r="S784" s="11">
        <v>1</v>
      </c>
      <c r="T784" s="11">
        <v>1</v>
      </c>
      <c r="U784" s="11">
        <v>0</v>
      </c>
      <c r="V784" s="2">
        <v>0</v>
      </c>
      <c r="W784" s="2">
        <v>1</v>
      </c>
      <c r="X784" s="2">
        <v>3</v>
      </c>
      <c r="Y784" s="2">
        <v>1</v>
      </c>
      <c r="Z784" s="27">
        <v>1956.1289999999999</v>
      </c>
      <c r="AA784" s="31">
        <v>1957.08</v>
      </c>
    </row>
    <row r="785" spans="1:27" x14ac:dyDescent="0.2">
      <c r="A785" s="3" t="s">
        <v>2299</v>
      </c>
      <c r="B785" s="2" t="s">
        <v>2300</v>
      </c>
      <c r="C785" s="8">
        <v>21198</v>
      </c>
      <c r="D785" s="2">
        <v>1958</v>
      </c>
      <c r="E785" s="2">
        <v>1950</v>
      </c>
      <c r="F785" s="2">
        <v>0</v>
      </c>
      <c r="G785" s="2">
        <v>0</v>
      </c>
      <c r="H785" s="3" t="s">
        <v>27</v>
      </c>
      <c r="I785" s="3" t="s">
        <v>5083</v>
      </c>
      <c r="J785" s="3" t="s">
        <v>2301</v>
      </c>
      <c r="K785" s="21" t="s">
        <v>2276</v>
      </c>
      <c r="L785" s="10">
        <v>17709</v>
      </c>
      <c r="M785" s="4">
        <f>7+(12*9)</f>
        <v>115</v>
      </c>
      <c r="N785" s="2">
        <v>80</v>
      </c>
      <c r="O785" s="2">
        <v>6</v>
      </c>
      <c r="P785" s="2">
        <v>5</v>
      </c>
      <c r="Q785" s="2">
        <v>0</v>
      </c>
      <c r="R785" s="2">
        <v>0</v>
      </c>
      <c r="S785" s="11">
        <v>1</v>
      </c>
      <c r="T785" s="11">
        <v>0</v>
      </c>
      <c r="U785" s="11">
        <v>1</v>
      </c>
      <c r="V785" s="2">
        <v>0</v>
      </c>
      <c r="W785" s="2">
        <v>1</v>
      </c>
      <c r="X785" s="2">
        <v>2</v>
      </c>
      <c r="Y785" s="2">
        <v>1</v>
      </c>
      <c r="Z785" s="27">
        <v>1957.0319999999999</v>
      </c>
      <c r="AA785" s="31">
        <v>1958.01</v>
      </c>
    </row>
    <row r="786" spans="1:27" x14ac:dyDescent="0.2">
      <c r="A786" s="3" t="s">
        <v>2288</v>
      </c>
      <c r="B786" s="2" t="s">
        <v>2289</v>
      </c>
      <c r="C786" s="8">
        <v>21275</v>
      </c>
      <c r="D786" s="2">
        <v>1958</v>
      </c>
      <c r="E786" s="2">
        <v>1950</v>
      </c>
      <c r="F786" s="2">
        <v>0</v>
      </c>
      <c r="G786" s="2">
        <v>0</v>
      </c>
      <c r="H786" s="3" t="s">
        <v>27</v>
      </c>
      <c r="I786" s="3" t="s">
        <v>5083</v>
      </c>
      <c r="J786" s="3" t="s">
        <v>2290</v>
      </c>
      <c r="K786" s="21" t="s">
        <v>2276</v>
      </c>
      <c r="L786" s="10">
        <v>17709</v>
      </c>
      <c r="M786" s="4">
        <f>117</f>
        <v>117</v>
      </c>
      <c r="N786" s="2">
        <v>80</v>
      </c>
      <c r="O786" s="2">
        <v>1</v>
      </c>
      <c r="Q786" s="2">
        <v>0</v>
      </c>
      <c r="R786" s="2">
        <v>0</v>
      </c>
      <c r="S786" s="11">
        <v>1</v>
      </c>
      <c r="T786" s="11">
        <v>1</v>
      </c>
      <c r="U786" s="11">
        <v>0</v>
      </c>
      <c r="V786" s="2">
        <v>0</v>
      </c>
      <c r="W786" s="2">
        <v>1</v>
      </c>
      <c r="X786" s="2">
        <v>4</v>
      </c>
      <c r="Y786" s="2">
        <v>1</v>
      </c>
      <c r="Z786" s="27">
        <v>1957.0740000000001</v>
      </c>
      <c r="AA786" s="31">
        <v>1958.02</v>
      </c>
    </row>
    <row r="787" spans="1:27" x14ac:dyDescent="0.2">
      <c r="A787" s="3" t="s">
        <v>2295</v>
      </c>
      <c r="B787" s="2" t="s">
        <v>2296</v>
      </c>
      <c r="C787" s="8">
        <v>21275</v>
      </c>
      <c r="D787" s="2">
        <v>1958</v>
      </c>
      <c r="E787" s="2">
        <v>1950</v>
      </c>
      <c r="F787" s="2">
        <v>0</v>
      </c>
      <c r="G787" s="2">
        <v>0</v>
      </c>
      <c r="H787" s="3" t="s">
        <v>27</v>
      </c>
      <c r="I787" s="3" t="s">
        <v>4956</v>
      </c>
      <c r="J787" s="3" t="s">
        <v>2297</v>
      </c>
      <c r="K787" s="21" t="s">
        <v>2298</v>
      </c>
      <c r="L787" s="10">
        <v>16342</v>
      </c>
      <c r="M787" s="4">
        <f>6+(12*13)</f>
        <v>162</v>
      </c>
      <c r="N787" s="2">
        <v>78</v>
      </c>
      <c r="O787" s="2">
        <v>2</v>
      </c>
      <c r="Q787" s="2">
        <v>0</v>
      </c>
      <c r="R787" s="2">
        <v>0</v>
      </c>
      <c r="S787" s="11">
        <v>1</v>
      </c>
      <c r="T787" s="11">
        <v>1</v>
      </c>
      <c r="U787" s="11">
        <v>0</v>
      </c>
      <c r="V787" s="2">
        <v>0</v>
      </c>
      <c r="W787" s="2">
        <v>1</v>
      </c>
      <c r="X787" s="2">
        <v>4</v>
      </c>
      <c r="Y787" s="2">
        <v>0</v>
      </c>
      <c r="Z787" s="27">
        <v>1957.0709999999999</v>
      </c>
      <c r="AA787" s="31">
        <v>1958.03</v>
      </c>
    </row>
    <row r="788" spans="1:27" x14ac:dyDescent="0.2">
      <c r="A788" s="3" t="s">
        <v>3998</v>
      </c>
      <c r="B788" s="2" t="s">
        <v>3999</v>
      </c>
      <c r="C788" s="8">
        <v>21275</v>
      </c>
      <c r="D788" s="2">
        <v>1958</v>
      </c>
      <c r="E788" s="2">
        <v>1950</v>
      </c>
      <c r="F788" s="2">
        <v>2</v>
      </c>
      <c r="G788" s="2">
        <v>1</v>
      </c>
      <c r="H788" s="3" t="s">
        <v>3434</v>
      </c>
      <c r="I788" s="3" t="s">
        <v>4956</v>
      </c>
      <c r="J788" s="3" t="s">
        <v>4000</v>
      </c>
      <c r="K788" s="21" t="s">
        <v>4001</v>
      </c>
      <c r="L788" s="10">
        <v>16091</v>
      </c>
      <c r="M788" s="4">
        <f>2+(12*14)</f>
        <v>170</v>
      </c>
      <c r="N788" s="2">
        <v>78</v>
      </c>
      <c r="O788" s="2">
        <v>2</v>
      </c>
      <c r="Q788" s="2">
        <v>0</v>
      </c>
      <c r="R788" s="2">
        <v>0</v>
      </c>
      <c r="S788" s="11">
        <v>1</v>
      </c>
      <c r="T788" s="11">
        <v>1</v>
      </c>
      <c r="U788" s="11">
        <v>1</v>
      </c>
      <c r="V788" s="2">
        <v>1</v>
      </c>
      <c r="W788" s="2">
        <v>1</v>
      </c>
      <c r="X788" s="2">
        <v>4</v>
      </c>
      <c r="Y788" s="2">
        <v>0</v>
      </c>
      <c r="Z788" s="27">
        <v>1957.0719999999999</v>
      </c>
      <c r="AA788" s="31">
        <v>1958.04</v>
      </c>
    </row>
    <row r="789" spans="1:27" x14ac:dyDescent="0.2">
      <c r="A789" s="3" t="s">
        <v>3995</v>
      </c>
      <c r="B789" s="2" t="s">
        <v>3996</v>
      </c>
      <c r="C789" s="8">
        <v>21352</v>
      </c>
      <c r="D789" s="2">
        <v>1958</v>
      </c>
      <c r="E789" s="2">
        <v>1950</v>
      </c>
      <c r="F789" s="2">
        <v>1</v>
      </c>
      <c r="G789" s="2">
        <v>1</v>
      </c>
      <c r="H789" s="3" t="s">
        <v>3442</v>
      </c>
      <c r="I789" s="3" t="s">
        <v>4538</v>
      </c>
      <c r="J789" s="3" t="s">
        <v>3997</v>
      </c>
      <c r="K789" s="21" t="s">
        <v>2238</v>
      </c>
      <c r="L789" s="10">
        <v>19172</v>
      </c>
      <c r="M789" s="4">
        <f>12*6</f>
        <v>72</v>
      </c>
      <c r="N789" s="2">
        <v>82</v>
      </c>
      <c r="O789" s="2">
        <v>2</v>
      </c>
      <c r="P789" s="2">
        <v>1</v>
      </c>
      <c r="Q789" s="2">
        <v>1</v>
      </c>
      <c r="R789" s="2">
        <v>0</v>
      </c>
      <c r="S789" s="11">
        <v>1</v>
      </c>
      <c r="T789" s="11">
        <v>1</v>
      </c>
      <c r="U789" s="11">
        <v>1</v>
      </c>
      <c r="V789" s="2">
        <v>0</v>
      </c>
      <c r="W789" s="2">
        <v>1</v>
      </c>
      <c r="X789" s="2">
        <v>4</v>
      </c>
      <c r="Y789" s="2">
        <v>0</v>
      </c>
      <c r="Z789" s="27">
        <v>1957.1210000000001</v>
      </c>
      <c r="AA789" s="31">
        <v>1958.05</v>
      </c>
    </row>
    <row r="790" spans="1:27" x14ac:dyDescent="0.2">
      <c r="A790" s="3" t="s">
        <v>2291</v>
      </c>
      <c r="B790" s="2" t="s">
        <v>2292</v>
      </c>
      <c r="C790" s="8">
        <v>21359</v>
      </c>
      <c r="D790" s="2">
        <v>1958</v>
      </c>
      <c r="E790" s="2">
        <v>1950</v>
      </c>
      <c r="F790" s="2">
        <v>0</v>
      </c>
      <c r="G790" s="2">
        <v>0</v>
      </c>
      <c r="H790" s="3" t="s">
        <v>27</v>
      </c>
      <c r="I790" s="3" t="s">
        <v>2293</v>
      </c>
      <c r="J790" s="3" t="s">
        <v>2293</v>
      </c>
      <c r="K790" s="21" t="s">
        <v>2294</v>
      </c>
      <c r="L790" s="10">
        <v>20647</v>
      </c>
      <c r="M790" s="4">
        <f>11+12</f>
        <v>23</v>
      </c>
      <c r="N790" s="2">
        <v>84</v>
      </c>
      <c r="O790" s="2">
        <v>4</v>
      </c>
      <c r="Q790" s="2">
        <v>0</v>
      </c>
      <c r="R790" s="2">
        <v>0</v>
      </c>
      <c r="S790" s="11">
        <v>1</v>
      </c>
      <c r="T790" s="11">
        <v>0</v>
      </c>
      <c r="U790" s="11">
        <v>1</v>
      </c>
      <c r="V790" s="2">
        <v>0</v>
      </c>
      <c r="W790" s="2">
        <v>1</v>
      </c>
      <c r="X790" s="2">
        <v>0</v>
      </c>
      <c r="Y790" s="2">
        <v>1</v>
      </c>
      <c r="Z790" s="27">
        <v>1957.1310000000001</v>
      </c>
      <c r="AA790" s="31">
        <v>1958.06</v>
      </c>
    </row>
    <row r="791" spans="1:27" x14ac:dyDescent="0.2">
      <c r="A791" s="3" t="s">
        <v>2284</v>
      </c>
      <c r="B791" s="2" t="s">
        <v>2285</v>
      </c>
      <c r="C791" s="8">
        <v>21366</v>
      </c>
      <c r="D791" s="2">
        <v>1958</v>
      </c>
      <c r="E791" s="2">
        <v>1950</v>
      </c>
      <c r="F791" s="2">
        <v>0</v>
      </c>
      <c r="G791" s="2">
        <v>0</v>
      </c>
      <c r="H791" s="3" t="s">
        <v>27</v>
      </c>
      <c r="I791" s="3" t="s">
        <v>2286</v>
      </c>
      <c r="J791" s="3" t="s">
        <v>2286</v>
      </c>
      <c r="K791" s="21" t="s">
        <v>2287</v>
      </c>
      <c r="L791" s="10">
        <v>18934</v>
      </c>
      <c r="M791" s="4">
        <f>7+(12*6)</f>
        <v>79</v>
      </c>
      <c r="N791" s="2">
        <v>82</v>
      </c>
      <c r="O791" s="2">
        <v>1</v>
      </c>
      <c r="Q791" s="2">
        <v>0</v>
      </c>
      <c r="R791" s="2">
        <v>0</v>
      </c>
      <c r="S791" s="11">
        <v>1</v>
      </c>
      <c r="T791" s="11">
        <v>1</v>
      </c>
      <c r="U791" s="11">
        <v>0</v>
      </c>
      <c r="V791" s="2">
        <v>0</v>
      </c>
      <c r="W791" s="2">
        <v>1</v>
      </c>
      <c r="X791" s="2">
        <v>4</v>
      </c>
      <c r="Y791" s="2">
        <v>0</v>
      </c>
      <c r="Z791" s="27">
        <v>1957.1389999999999</v>
      </c>
      <c r="AA791" s="31">
        <v>1958.07</v>
      </c>
    </row>
    <row r="792" spans="1:27" x14ac:dyDescent="0.2">
      <c r="A792" s="3" t="s">
        <v>2280</v>
      </c>
      <c r="B792" s="2" t="s">
        <v>2281</v>
      </c>
      <c r="C792" s="8">
        <v>21513</v>
      </c>
      <c r="D792" s="2">
        <v>1958</v>
      </c>
      <c r="E792" s="2">
        <v>1950</v>
      </c>
      <c r="F792" s="2">
        <v>0</v>
      </c>
      <c r="G792" s="2">
        <v>0</v>
      </c>
      <c r="H792" s="3" t="s">
        <v>27</v>
      </c>
      <c r="I792" s="3" t="s">
        <v>4957</v>
      </c>
      <c r="J792" s="3" t="s">
        <v>2282</v>
      </c>
      <c r="K792" s="21" t="s">
        <v>2283</v>
      </c>
      <c r="L792" s="10">
        <v>19938</v>
      </c>
      <c r="M792" s="4">
        <f>3+48</f>
        <v>51</v>
      </c>
      <c r="N792" s="2">
        <v>83</v>
      </c>
      <c r="O792" s="2">
        <v>4</v>
      </c>
      <c r="P792" s="2">
        <v>1</v>
      </c>
      <c r="Q792" s="2">
        <v>1</v>
      </c>
      <c r="R792" s="2">
        <v>0</v>
      </c>
      <c r="S792" s="11">
        <v>1</v>
      </c>
      <c r="T792" s="11">
        <v>0</v>
      </c>
      <c r="U792" s="11">
        <v>1</v>
      </c>
      <c r="V792" s="2">
        <v>0</v>
      </c>
      <c r="W792" s="2">
        <v>1</v>
      </c>
      <c r="X792" s="2">
        <v>3</v>
      </c>
      <c r="Y792" s="2">
        <v>1</v>
      </c>
      <c r="Z792" s="27">
        <v>1958.0129999999999</v>
      </c>
      <c r="AA792" s="31">
        <v>1958.08</v>
      </c>
    </row>
    <row r="793" spans="1:27" x14ac:dyDescent="0.2">
      <c r="A793" s="3" t="s">
        <v>4002</v>
      </c>
      <c r="B793" s="2" t="s">
        <v>4003</v>
      </c>
      <c r="C793" s="8">
        <v>21562</v>
      </c>
      <c r="D793" s="2">
        <v>1959</v>
      </c>
      <c r="E793" s="2">
        <v>1950</v>
      </c>
      <c r="F793" s="2">
        <v>1</v>
      </c>
      <c r="G793" s="2">
        <v>1</v>
      </c>
      <c r="H793" s="3" t="s">
        <v>3442</v>
      </c>
      <c r="I793" s="3" t="s">
        <v>4953</v>
      </c>
      <c r="J793" s="3" t="s">
        <v>2669</v>
      </c>
      <c r="K793" s="21" t="s">
        <v>2250</v>
      </c>
      <c r="L793" s="10">
        <v>18388</v>
      </c>
      <c r="M793" s="4">
        <f>8+(12*8)</f>
        <v>104</v>
      </c>
      <c r="N793" s="2">
        <v>81</v>
      </c>
      <c r="O793" s="2">
        <v>1</v>
      </c>
      <c r="Q793" s="2">
        <v>0</v>
      </c>
      <c r="R793" s="2">
        <v>0</v>
      </c>
      <c r="S793" s="11">
        <v>1</v>
      </c>
      <c r="T793" s="11">
        <v>1</v>
      </c>
      <c r="U793" s="11">
        <v>0</v>
      </c>
      <c r="V793" s="2">
        <v>0</v>
      </c>
      <c r="W793" s="2">
        <v>1</v>
      </c>
      <c r="X793" s="2">
        <v>2</v>
      </c>
      <c r="Y793" s="2">
        <v>0</v>
      </c>
      <c r="Z793" s="27">
        <v>1958.027</v>
      </c>
      <c r="AA793" s="31">
        <v>1959.01</v>
      </c>
    </row>
    <row r="794" spans="1:27" x14ac:dyDescent="0.2">
      <c r="A794" s="3" t="s">
        <v>2308</v>
      </c>
      <c r="B794" s="2" t="s">
        <v>2309</v>
      </c>
      <c r="C794" s="8">
        <v>21605</v>
      </c>
      <c r="D794" s="2">
        <v>1959</v>
      </c>
      <c r="E794" s="2">
        <v>1950</v>
      </c>
      <c r="F794" s="2">
        <v>0</v>
      </c>
      <c r="G794" s="2">
        <v>0</v>
      </c>
      <c r="H794" s="3" t="s">
        <v>27</v>
      </c>
      <c r="I794" s="3" t="s">
        <v>4958</v>
      </c>
      <c r="J794" s="3" t="s">
        <v>2310</v>
      </c>
      <c r="K794" s="21" t="s">
        <v>2311</v>
      </c>
      <c r="L794" s="10">
        <v>14425</v>
      </c>
      <c r="M794" s="4">
        <f>8+(12*19)</f>
        <v>236</v>
      </c>
      <c r="N794" s="2">
        <v>76</v>
      </c>
      <c r="O794" s="2">
        <v>2</v>
      </c>
      <c r="Q794" s="2">
        <v>0</v>
      </c>
      <c r="R794" s="2">
        <v>0</v>
      </c>
      <c r="S794" s="11">
        <v>1</v>
      </c>
      <c r="T794" s="11">
        <v>1</v>
      </c>
      <c r="U794" s="11">
        <v>0</v>
      </c>
      <c r="V794" s="2">
        <v>0</v>
      </c>
      <c r="W794" s="2">
        <v>1</v>
      </c>
      <c r="X794" s="2">
        <v>0</v>
      </c>
      <c r="Y794" s="2">
        <v>0</v>
      </c>
      <c r="Z794" s="27">
        <v>1958.0429999999999</v>
      </c>
      <c r="AA794" s="31">
        <v>1959.02</v>
      </c>
    </row>
    <row r="795" spans="1:27" x14ac:dyDescent="0.2">
      <c r="A795" s="3" t="s">
        <v>2302</v>
      </c>
      <c r="B795" s="2" t="s">
        <v>2303</v>
      </c>
      <c r="C795" s="8">
        <v>21709</v>
      </c>
      <c r="D795" s="2">
        <v>1959</v>
      </c>
      <c r="E795" s="2">
        <v>1950</v>
      </c>
      <c r="F795" s="2">
        <v>0</v>
      </c>
      <c r="G795" s="2">
        <v>0</v>
      </c>
      <c r="H795" s="3" t="s">
        <v>27</v>
      </c>
      <c r="I795" s="3" t="s">
        <v>2304</v>
      </c>
      <c r="J795" s="3" t="s">
        <v>2304</v>
      </c>
      <c r="K795" s="3" t="s">
        <v>2305</v>
      </c>
      <c r="L795" s="10">
        <v>14053</v>
      </c>
      <c r="M795" s="4">
        <f>21*12</f>
        <v>252</v>
      </c>
      <c r="N795" s="2">
        <v>75</v>
      </c>
      <c r="O795" s="2">
        <v>1</v>
      </c>
      <c r="P795" s="2">
        <v>2</v>
      </c>
      <c r="Q795" s="2">
        <v>0</v>
      </c>
      <c r="R795" s="2">
        <v>0</v>
      </c>
      <c r="S795" s="11">
        <v>1</v>
      </c>
      <c r="T795" s="11">
        <v>1</v>
      </c>
      <c r="U795" s="11">
        <v>1</v>
      </c>
      <c r="V795" s="2">
        <v>0</v>
      </c>
      <c r="W795" s="2">
        <v>1</v>
      </c>
      <c r="X795" s="2">
        <v>4</v>
      </c>
      <c r="Y795" s="2">
        <v>0</v>
      </c>
      <c r="Z795" s="27">
        <v>1958.1020000000001</v>
      </c>
      <c r="AA795" s="31">
        <v>1959.03</v>
      </c>
    </row>
    <row r="796" spans="1:27" x14ac:dyDescent="0.2">
      <c r="A796" s="3" t="s">
        <v>2312</v>
      </c>
      <c r="B796" s="2" t="s">
        <v>2313</v>
      </c>
      <c r="C796" s="8">
        <v>21709</v>
      </c>
      <c r="D796" s="2">
        <v>1959</v>
      </c>
      <c r="E796" s="2">
        <v>1950</v>
      </c>
      <c r="F796" s="2">
        <v>0</v>
      </c>
      <c r="G796" s="2">
        <v>0</v>
      </c>
      <c r="H796" s="3" t="s">
        <v>27</v>
      </c>
      <c r="I796" s="3" t="s">
        <v>5068</v>
      </c>
      <c r="J796" s="3" t="s">
        <v>2314</v>
      </c>
      <c r="K796" s="21" t="s">
        <v>2133</v>
      </c>
      <c r="L796" s="10">
        <v>17341</v>
      </c>
      <c r="M796" s="4">
        <f>12*12</f>
        <v>144</v>
      </c>
      <c r="N796" s="2">
        <v>80</v>
      </c>
      <c r="O796" s="2">
        <v>2</v>
      </c>
      <c r="Q796" s="2">
        <v>1</v>
      </c>
      <c r="R796" s="2">
        <v>0</v>
      </c>
      <c r="S796" s="11">
        <v>1</v>
      </c>
      <c r="T796" s="11">
        <v>1</v>
      </c>
      <c r="U796" s="11">
        <v>0</v>
      </c>
      <c r="V796" s="2">
        <v>0</v>
      </c>
      <c r="W796" s="2">
        <v>1</v>
      </c>
      <c r="X796" s="2">
        <v>0</v>
      </c>
      <c r="Y796" s="2">
        <v>1</v>
      </c>
      <c r="Z796" s="27">
        <v>1958.105</v>
      </c>
      <c r="AA796" s="31">
        <v>1959.04</v>
      </c>
    </row>
    <row r="797" spans="1:27" x14ac:dyDescent="0.2">
      <c r="A797" s="3" t="s">
        <v>2315</v>
      </c>
      <c r="B797" s="2" t="s">
        <v>2316</v>
      </c>
      <c r="C797" s="8">
        <v>21723</v>
      </c>
      <c r="D797" s="2">
        <v>1959</v>
      </c>
      <c r="E797" s="2">
        <v>1950</v>
      </c>
      <c r="F797" s="2">
        <v>0</v>
      </c>
      <c r="G797" s="2">
        <v>0</v>
      </c>
      <c r="H797" s="3" t="s">
        <v>27</v>
      </c>
      <c r="I797" s="3" t="s">
        <v>2317</v>
      </c>
      <c r="J797" s="3" t="s">
        <v>2317</v>
      </c>
      <c r="K797" s="21" t="s">
        <v>2318</v>
      </c>
      <c r="L797" s="10">
        <v>21065</v>
      </c>
      <c r="M797" s="4">
        <f>9+12</f>
        <v>21</v>
      </c>
      <c r="N797" s="2">
        <v>85</v>
      </c>
      <c r="O797" s="2">
        <v>6</v>
      </c>
      <c r="Q797" s="2">
        <v>0</v>
      </c>
      <c r="R797" s="2">
        <v>0</v>
      </c>
      <c r="S797" s="11">
        <v>1</v>
      </c>
      <c r="T797" s="11">
        <v>1</v>
      </c>
      <c r="U797" s="11">
        <v>0</v>
      </c>
      <c r="V797" s="2">
        <v>0</v>
      </c>
      <c r="W797" s="2">
        <v>1</v>
      </c>
      <c r="X797" s="2">
        <v>0</v>
      </c>
      <c r="Y797" s="2">
        <v>0</v>
      </c>
      <c r="Z797" s="27">
        <v>1958.1189999999999</v>
      </c>
      <c r="AA797" s="31">
        <v>1959.05</v>
      </c>
    </row>
    <row r="798" spans="1:27" x14ac:dyDescent="0.2">
      <c r="A798" s="3" t="s">
        <v>2319</v>
      </c>
      <c r="B798" s="2" t="s">
        <v>2320</v>
      </c>
      <c r="C798" s="8">
        <v>21730</v>
      </c>
      <c r="D798" s="2">
        <v>1959</v>
      </c>
      <c r="E798" s="2">
        <v>1950</v>
      </c>
      <c r="F798" s="2">
        <v>0</v>
      </c>
      <c r="G798" s="2">
        <v>0</v>
      </c>
      <c r="H798" s="3" t="s">
        <v>27</v>
      </c>
      <c r="I798" s="3" t="s">
        <v>4889</v>
      </c>
      <c r="J798" s="3" t="s">
        <v>1718</v>
      </c>
      <c r="K798" s="21" t="s">
        <v>1719</v>
      </c>
      <c r="L798" s="10">
        <v>12591</v>
      </c>
      <c r="M798" s="4">
        <f>12*25</f>
        <v>300</v>
      </c>
      <c r="N798" s="2">
        <v>73</v>
      </c>
      <c r="O798" s="2">
        <v>1</v>
      </c>
      <c r="Q798" s="2">
        <v>0</v>
      </c>
      <c r="R798" s="2">
        <v>0</v>
      </c>
      <c r="S798" s="11">
        <v>0</v>
      </c>
      <c r="T798" s="11">
        <v>1</v>
      </c>
      <c r="U798" s="11">
        <v>1</v>
      </c>
      <c r="V798" s="2">
        <v>0</v>
      </c>
      <c r="W798" s="2">
        <v>1</v>
      </c>
      <c r="X798" s="2">
        <v>3</v>
      </c>
      <c r="Y798" s="2">
        <v>0</v>
      </c>
      <c r="Z798" s="27">
        <v>1958.1289999999999</v>
      </c>
      <c r="AA798" s="31">
        <v>1959.06</v>
      </c>
    </row>
    <row r="799" spans="1:27" x14ac:dyDescent="0.2">
      <c r="A799" s="3" t="s">
        <v>2306</v>
      </c>
      <c r="B799" s="2" t="s">
        <v>2307</v>
      </c>
      <c r="C799" s="8">
        <v>21898</v>
      </c>
      <c r="D799" s="2">
        <v>1959</v>
      </c>
      <c r="E799" s="2">
        <v>1950</v>
      </c>
      <c r="F799" s="2">
        <v>0</v>
      </c>
      <c r="G799" s="2">
        <v>0</v>
      </c>
      <c r="H799" s="3" t="s">
        <v>27</v>
      </c>
      <c r="I799" s="3" t="s">
        <v>4901</v>
      </c>
      <c r="J799" s="3" t="s">
        <v>1962</v>
      </c>
      <c r="K799" s="21" t="s">
        <v>1288</v>
      </c>
      <c r="L799" s="10">
        <v>7462</v>
      </c>
      <c r="M799" s="4">
        <f>6+(12*38)</f>
        <v>462</v>
      </c>
      <c r="N799" s="2">
        <v>66</v>
      </c>
      <c r="O799" s="2">
        <v>5</v>
      </c>
      <c r="Q799" s="2">
        <v>1</v>
      </c>
      <c r="R799" s="2">
        <v>0</v>
      </c>
      <c r="S799" s="11">
        <v>0</v>
      </c>
      <c r="T799" s="11">
        <v>1</v>
      </c>
      <c r="U799" s="11">
        <v>1</v>
      </c>
      <c r="V799" s="2">
        <v>0</v>
      </c>
      <c r="W799" s="2">
        <v>0</v>
      </c>
      <c r="X799" s="2">
        <v>3</v>
      </c>
      <c r="Y799" s="2">
        <v>1</v>
      </c>
      <c r="Z799" s="27">
        <v>1959.011</v>
      </c>
      <c r="AA799" s="31">
        <v>1959.07</v>
      </c>
    </row>
    <row r="800" spans="1:27" x14ac:dyDescent="0.2">
      <c r="A800" s="3" t="s">
        <v>2321</v>
      </c>
      <c r="B800" s="2" t="s">
        <v>2322</v>
      </c>
      <c r="C800" s="8">
        <v>21861</v>
      </c>
      <c r="D800" s="2">
        <v>1959</v>
      </c>
      <c r="E800" s="2">
        <v>1950</v>
      </c>
      <c r="F800" s="2">
        <v>0</v>
      </c>
      <c r="G800" s="2">
        <v>0</v>
      </c>
      <c r="H800" s="3" t="s">
        <v>27</v>
      </c>
      <c r="I800" s="3" t="s">
        <v>5068</v>
      </c>
      <c r="J800" s="3" t="s">
        <v>2323</v>
      </c>
      <c r="K800" s="21" t="s">
        <v>2133</v>
      </c>
      <c r="L800" s="10">
        <v>17341</v>
      </c>
      <c r="M800" s="4">
        <f>5+144</f>
        <v>149</v>
      </c>
      <c r="N800" s="2">
        <v>80</v>
      </c>
      <c r="O800" s="2">
        <v>6</v>
      </c>
      <c r="Q800" s="2">
        <v>1</v>
      </c>
      <c r="R800" s="2">
        <v>1</v>
      </c>
      <c r="S800" s="11">
        <v>1</v>
      </c>
      <c r="T800" s="11">
        <v>1</v>
      </c>
      <c r="U800" s="11">
        <v>0</v>
      </c>
      <c r="V800" s="2">
        <v>0</v>
      </c>
      <c r="W800" s="2">
        <v>1</v>
      </c>
      <c r="X800" s="2">
        <v>0</v>
      </c>
      <c r="Y800" s="2">
        <v>1</v>
      </c>
      <c r="Z800" s="27">
        <v>1959.0029999999999</v>
      </c>
      <c r="AA800" s="31">
        <v>1959.08</v>
      </c>
    </row>
    <row r="801" spans="1:29" x14ac:dyDescent="0.2">
      <c r="A801" s="3" t="s">
        <v>4006</v>
      </c>
      <c r="B801" s="2" t="s">
        <v>4007</v>
      </c>
      <c r="C801" s="8">
        <v>21933</v>
      </c>
      <c r="D801" s="2">
        <v>1960</v>
      </c>
      <c r="E801" s="2">
        <v>1960</v>
      </c>
      <c r="F801" s="2">
        <v>1</v>
      </c>
      <c r="G801" s="2">
        <v>1</v>
      </c>
      <c r="H801" s="3" t="s">
        <v>3442</v>
      </c>
      <c r="I801" s="3" t="s">
        <v>2617</v>
      </c>
      <c r="J801" s="3" t="s">
        <v>2618</v>
      </c>
      <c r="K801" s="3" t="s">
        <v>2619</v>
      </c>
      <c r="L801" s="10">
        <v>20677</v>
      </c>
      <c r="M801" s="4">
        <f>5+36</f>
        <v>41</v>
      </c>
      <c r="N801" s="2">
        <v>84</v>
      </c>
      <c r="O801" s="2">
        <v>1</v>
      </c>
      <c r="Q801" s="2">
        <v>0</v>
      </c>
      <c r="R801" s="2">
        <v>0</v>
      </c>
      <c r="S801" s="11">
        <v>1</v>
      </c>
      <c r="T801" s="11">
        <v>1</v>
      </c>
      <c r="U801" s="11">
        <v>1</v>
      </c>
      <c r="V801" s="2">
        <v>1</v>
      </c>
      <c r="W801" s="2">
        <v>1</v>
      </c>
      <c r="X801" s="2">
        <v>2</v>
      </c>
      <c r="Y801" s="2">
        <v>0</v>
      </c>
      <c r="Z801" s="27">
        <v>1959.02</v>
      </c>
      <c r="AA801" s="31">
        <v>1960.01</v>
      </c>
    </row>
    <row r="802" spans="1:29" x14ac:dyDescent="0.2">
      <c r="A802" s="3" t="s">
        <v>4004</v>
      </c>
      <c r="B802" s="2" t="s">
        <v>4005</v>
      </c>
      <c r="C802" s="8">
        <v>21933</v>
      </c>
      <c r="D802" s="2">
        <v>1960</v>
      </c>
      <c r="E802" s="2">
        <v>1960</v>
      </c>
      <c r="F802" s="2">
        <v>1</v>
      </c>
      <c r="G802" s="2">
        <v>1</v>
      </c>
      <c r="H802" s="3" t="s">
        <v>3442</v>
      </c>
      <c r="I802" s="3" t="s">
        <v>2617</v>
      </c>
      <c r="J802" s="3" t="s">
        <v>2618</v>
      </c>
      <c r="K802" s="3" t="s">
        <v>2619</v>
      </c>
      <c r="L802" s="10">
        <v>20677</v>
      </c>
      <c r="M802" s="4">
        <f>5+36</f>
        <v>41</v>
      </c>
      <c r="N802" s="2">
        <v>84</v>
      </c>
      <c r="O802" s="2">
        <v>1</v>
      </c>
      <c r="Q802" s="2">
        <v>0</v>
      </c>
      <c r="R802" s="2">
        <v>0</v>
      </c>
      <c r="S802" s="11">
        <v>1</v>
      </c>
      <c r="T802" s="11">
        <v>1</v>
      </c>
      <c r="U802" s="11">
        <v>1</v>
      </c>
      <c r="V802" s="2">
        <v>1</v>
      </c>
      <c r="W802" s="2">
        <v>1</v>
      </c>
      <c r="X802" s="2">
        <v>2</v>
      </c>
      <c r="Y802" s="2">
        <v>0</v>
      </c>
      <c r="Z802" s="27">
        <v>1959.021</v>
      </c>
      <c r="AA802" s="31">
        <v>1960.02</v>
      </c>
    </row>
    <row r="803" spans="1:29" x14ac:dyDescent="0.2">
      <c r="A803" s="3" t="s">
        <v>4008</v>
      </c>
      <c r="B803" s="2" t="s">
        <v>4009</v>
      </c>
      <c r="C803" s="8">
        <v>21933</v>
      </c>
      <c r="D803" s="2">
        <v>1960</v>
      </c>
      <c r="E803" s="2">
        <v>1960</v>
      </c>
      <c r="F803" s="2">
        <v>1</v>
      </c>
      <c r="G803" s="2">
        <v>1</v>
      </c>
      <c r="H803" s="3" t="s">
        <v>3442</v>
      </c>
      <c r="I803" s="3" t="s">
        <v>2617</v>
      </c>
      <c r="J803" s="3" t="s">
        <v>2618</v>
      </c>
      <c r="K803" s="3" t="s">
        <v>2619</v>
      </c>
      <c r="L803" s="10">
        <v>20677</v>
      </c>
      <c r="M803" s="4">
        <f>5+36</f>
        <v>41</v>
      </c>
      <c r="N803" s="2">
        <v>84</v>
      </c>
      <c r="O803" s="2">
        <v>1</v>
      </c>
      <c r="Q803" s="2">
        <v>0</v>
      </c>
      <c r="R803" s="2">
        <v>0</v>
      </c>
      <c r="S803" s="11">
        <v>1</v>
      </c>
      <c r="T803" s="11">
        <v>0</v>
      </c>
      <c r="U803" s="11">
        <v>0</v>
      </c>
      <c r="V803" s="2">
        <v>1</v>
      </c>
      <c r="W803" s="2">
        <v>1</v>
      </c>
      <c r="X803" s="2">
        <v>4</v>
      </c>
      <c r="Y803" s="2">
        <v>0</v>
      </c>
      <c r="Z803" s="27">
        <v>1959.0219999999999</v>
      </c>
      <c r="AA803" s="31">
        <v>1960.03</v>
      </c>
    </row>
    <row r="804" spans="1:29" x14ac:dyDescent="0.2">
      <c r="A804" s="3" t="s">
        <v>2343</v>
      </c>
      <c r="B804" s="2" t="s">
        <v>2344</v>
      </c>
      <c r="C804" s="8">
        <v>21975</v>
      </c>
      <c r="D804" s="2">
        <v>1960</v>
      </c>
      <c r="E804" s="2">
        <v>1960</v>
      </c>
      <c r="F804" s="2">
        <v>0</v>
      </c>
      <c r="G804" s="2">
        <v>0</v>
      </c>
      <c r="H804" s="3" t="s">
        <v>27</v>
      </c>
      <c r="I804" s="3" t="s">
        <v>4959</v>
      </c>
      <c r="J804" s="3" t="s">
        <v>2345</v>
      </c>
      <c r="K804" s="21" t="s">
        <v>2335</v>
      </c>
      <c r="L804" s="10">
        <v>21072</v>
      </c>
      <c r="M804" s="4">
        <f>5+24</f>
        <v>29</v>
      </c>
      <c r="N804" s="2">
        <v>85</v>
      </c>
      <c r="O804" s="2">
        <v>5</v>
      </c>
      <c r="Q804" s="2">
        <v>1</v>
      </c>
      <c r="R804" s="2">
        <v>1</v>
      </c>
      <c r="S804" s="11">
        <v>1</v>
      </c>
      <c r="T804" s="11">
        <v>0</v>
      </c>
      <c r="U804" s="11">
        <v>1</v>
      </c>
      <c r="V804" s="2">
        <v>0</v>
      </c>
      <c r="W804" s="2">
        <v>1</v>
      </c>
      <c r="X804" s="2">
        <v>0</v>
      </c>
      <c r="Y804" s="2">
        <v>0</v>
      </c>
      <c r="Z804" s="27">
        <v>1959.0409999999999</v>
      </c>
      <c r="AA804" s="31">
        <v>1960.04</v>
      </c>
    </row>
    <row r="805" spans="1:29" s="3" customFormat="1" x14ac:dyDescent="0.2">
      <c r="A805" s="3" t="s">
        <v>2340</v>
      </c>
      <c r="B805" s="2" t="s">
        <v>2341</v>
      </c>
      <c r="C805" s="8">
        <v>22080</v>
      </c>
      <c r="D805" s="2">
        <v>1960</v>
      </c>
      <c r="E805" s="2">
        <v>1960</v>
      </c>
      <c r="F805" s="2">
        <v>0</v>
      </c>
      <c r="G805" s="2">
        <v>0</v>
      </c>
      <c r="H805" s="3" t="s">
        <v>27</v>
      </c>
      <c r="I805" s="3" t="s">
        <v>4932</v>
      </c>
      <c r="J805" s="3" t="s">
        <v>2342</v>
      </c>
      <c r="K805" s="21" t="s">
        <v>1999</v>
      </c>
      <c r="L805" s="10">
        <v>15635</v>
      </c>
      <c r="M805" s="4">
        <f>8+(12*17)</f>
        <v>212</v>
      </c>
      <c r="N805" s="2">
        <v>77</v>
      </c>
      <c r="O805" s="2">
        <v>1</v>
      </c>
      <c r="P805" s="2">
        <v>4</v>
      </c>
      <c r="Q805" s="2">
        <v>1</v>
      </c>
      <c r="R805" s="2">
        <v>0</v>
      </c>
      <c r="S805" s="11">
        <v>1</v>
      </c>
      <c r="T805" s="11">
        <v>0</v>
      </c>
      <c r="U805" s="11">
        <v>1</v>
      </c>
      <c r="V805" s="2">
        <v>0</v>
      </c>
      <c r="W805" s="2">
        <v>1</v>
      </c>
      <c r="X805" s="2">
        <v>0</v>
      </c>
      <c r="Y805" s="2">
        <v>0</v>
      </c>
      <c r="Z805" s="27">
        <v>1959.0930000000001</v>
      </c>
      <c r="AA805" s="31">
        <v>1960.05</v>
      </c>
      <c r="AB805"/>
      <c r="AC805"/>
    </row>
    <row r="806" spans="1:29" x14ac:dyDescent="0.2">
      <c r="A806" s="3" t="s">
        <v>2332</v>
      </c>
      <c r="B806" s="2" t="s">
        <v>2333</v>
      </c>
      <c r="C806" s="8">
        <v>22087</v>
      </c>
      <c r="D806" s="2">
        <v>1960</v>
      </c>
      <c r="E806" s="2">
        <v>1960</v>
      </c>
      <c r="F806" s="2">
        <v>0</v>
      </c>
      <c r="G806" s="2">
        <v>0</v>
      </c>
      <c r="H806" s="3" t="s">
        <v>27</v>
      </c>
      <c r="I806" s="3" t="s">
        <v>4959</v>
      </c>
      <c r="J806" s="3" t="s">
        <v>2334</v>
      </c>
      <c r="K806" s="21" t="s">
        <v>2335</v>
      </c>
      <c r="L806" s="10">
        <v>21072</v>
      </c>
      <c r="M806" s="4">
        <f>9+24</f>
        <v>33</v>
      </c>
      <c r="N806" s="2">
        <v>85</v>
      </c>
      <c r="O806" s="2">
        <v>1</v>
      </c>
      <c r="Q806" s="2">
        <v>1</v>
      </c>
      <c r="R806" s="2">
        <v>1</v>
      </c>
      <c r="S806" s="11">
        <v>1</v>
      </c>
      <c r="T806" s="11">
        <v>0</v>
      </c>
      <c r="U806" s="11">
        <v>1</v>
      </c>
      <c r="V806" s="2">
        <v>0</v>
      </c>
      <c r="W806" s="2">
        <v>1</v>
      </c>
      <c r="X806" s="2">
        <v>2</v>
      </c>
      <c r="Y806" s="2">
        <v>0</v>
      </c>
      <c r="Z806" s="27">
        <v>1959.105</v>
      </c>
      <c r="AA806" s="31">
        <v>1960.06</v>
      </c>
    </row>
    <row r="807" spans="1:29" x14ac:dyDescent="0.2">
      <c r="A807" s="3" t="s">
        <v>2324</v>
      </c>
      <c r="B807" s="2" t="s">
        <v>2325</v>
      </c>
      <c r="C807" s="8">
        <v>22087</v>
      </c>
      <c r="D807" s="2">
        <v>1960</v>
      </c>
      <c r="E807" s="2">
        <v>1960</v>
      </c>
      <c r="F807" s="2">
        <v>0</v>
      </c>
      <c r="G807" s="2">
        <v>0</v>
      </c>
      <c r="H807" s="3" t="s">
        <v>27</v>
      </c>
      <c r="I807" s="3" t="s">
        <v>4960</v>
      </c>
      <c r="J807" s="3" t="s">
        <v>2326</v>
      </c>
      <c r="K807" s="21" t="s">
        <v>2327</v>
      </c>
      <c r="L807" s="10">
        <v>19968</v>
      </c>
      <c r="M807" s="4">
        <f>9+(5*12)</f>
        <v>69</v>
      </c>
      <c r="N807" s="2">
        <v>83</v>
      </c>
      <c r="O807" s="2">
        <v>1</v>
      </c>
      <c r="Q807" s="2">
        <v>0</v>
      </c>
      <c r="R807" s="2">
        <v>0</v>
      </c>
      <c r="S807" s="11">
        <v>1</v>
      </c>
      <c r="T807" s="11">
        <v>0</v>
      </c>
      <c r="U807" s="11">
        <v>1</v>
      </c>
      <c r="V807" s="2">
        <v>0</v>
      </c>
      <c r="W807" s="2">
        <v>1</v>
      </c>
      <c r="X807" s="2">
        <v>4</v>
      </c>
      <c r="Y807" s="2">
        <v>1</v>
      </c>
      <c r="Z807" s="27">
        <v>1959.114</v>
      </c>
      <c r="AA807" s="31">
        <v>1960.07</v>
      </c>
    </row>
    <row r="808" spans="1:29" x14ac:dyDescent="0.2">
      <c r="A808" s="3" t="s">
        <v>2336</v>
      </c>
      <c r="B808" s="2" t="s">
        <v>2337</v>
      </c>
      <c r="C808" s="8">
        <v>22269</v>
      </c>
      <c r="D808" s="2">
        <v>1960</v>
      </c>
      <c r="E808" s="2">
        <v>1960</v>
      </c>
      <c r="F808" s="2">
        <v>0</v>
      </c>
      <c r="G808" s="2">
        <v>0</v>
      </c>
      <c r="H808" s="3" t="s">
        <v>27</v>
      </c>
      <c r="I808" s="3" t="s">
        <v>4961</v>
      </c>
      <c r="J808" s="3" t="s">
        <v>2338</v>
      </c>
      <c r="K808" s="21" t="s">
        <v>2339</v>
      </c>
      <c r="L808" s="10">
        <v>20654</v>
      </c>
      <c r="M808" s="4">
        <f>5+(4*12)</f>
        <v>53</v>
      </c>
      <c r="N808" s="2">
        <v>84</v>
      </c>
      <c r="O808" s="2">
        <v>5</v>
      </c>
      <c r="Q808" s="2">
        <v>1</v>
      </c>
      <c r="R808" s="2">
        <v>0</v>
      </c>
      <c r="S808" s="11">
        <v>1</v>
      </c>
      <c r="T808" s="11">
        <v>1</v>
      </c>
      <c r="U808" s="11">
        <v>0</v>
      </c>
      <c r="V808" s="2">
        <v>0</v>
      </c>
      <c r="W808" s="2">
        <v>1</v>
      </c>
      <c r="X808" s="2">
        <v>2</v>
      </c>
      <c r="Y808" s="2">
        <v>0</v>
      </c>
      <c r="Z808" s="27">
        <v>1960.0219999999999</v>
      </c>
      <c r="AA808" s="31">
        <v>1960.08</v>
      </c>
    </row>
    <row r="809" spans="1:29" x14ac:dyDescent="0.2">
      <c r="A809" s="3" t="s">
        <v>2328</v>
      </c>
      <c r="B809" s="2" t="s">
        <v>2329</v>
      </c>
      <c r="C809" s="8">
        <v>22094</v>
      </c>
      <c r="D809" s="2">
        <v>1960</v>
      </c>
      <c r="E809" s="2">
        <v>1960</v>
      </c>
      <c r="F809" s="2">
        <v>0</v>
      </c>
      <c r="G809" s="2">
        <v>0</v>
      </c>
      <c r="H809" s="3" t="s">
        <v>27</v>
      </c>
      <c r="I809" s="3" t="s">
        <v>4962</v>
      </c>
      <c r="J809" s="3" t="s">
        <v>2330</v>
      </c>
      <c r="K809" s="21" t="s">
        <v>2331</v>
      </c>
      <c r="L809" s="10">
        <v>17708</v>
      </c>
      <c r="M809" s="4">
        <f>12*12</f>
        <v>144</v>
      </c>
      <c r="N809" s="2">
        <v>80</v>
      </c>
      <c r="O809" s="2">
        <v>1</v>
      </c>
      <c r="Q809" s="2">
        <v>0</v>
      </c>
      <c r="R809" s="2">
        <v>0</v>
      </c>
      <c r="S809" s="11">
        <v>1</v>
      </c>
      <c r="T809" s="11">
        <v>1</v>
      </c>
      <c r="U809" s="11">
        <v>0</v>
      </c>
      <c r="V809" s="2">
        <v>0</v>
      </c>
      <c r="W809" s="2">
        <v>1</v>
      </c>
      <c r="X809" s="2">
        <v>4</v>
      </c>
      <c r="Y809" s="2">
        <v>1</v>
      </c>
      <c r="Z809" s="27">
        <v>1959.124</v>
      </c>
      <c r="AA809" s="31">
        <v>1960.09</v>
      </c>
    </row>
    <row r="810" spans="1:29" x14ac:dyDescent="0.2">
      <c r="A810" s="3" t="s">
        <v>4014</v>
      </c>
      <c r="B810" s="2" t="s">
        <v>4015</v>
      </c>
      <c r="C810" s="8">
        <v>22297</v>
      </c>
      <c r="D810" s="2">
        <v>1961</v>
      </c>
      <c r="E810" s="2">
        <v>1960</v>
      </c>
      <c r="F810" s="2">
        <v>1</v>
      </c>
      <c r="G810" s="2">
        <v>1</v>
      </c>
      <c r="H810" s="3" t="s">
        <v>3442</v>
      </c>
      <c r="I810" s="3" t="s">
        <v>5083</v>
      </c>
      <c r="J810" s="3" t="s">
        <v>4016</v>
      </c>
      <c r="K810" s="21" t="s">
        <v>2276</v>
      </c>
      <c r="L810" s="10">
        <v>17709</v>
      </c>
      <c r="M810" s="4">
        <f>7+(12*12)</f>
        <v>151</v>
      </c>
      <c r="N810" s="2">
        <v>80</v>
      </c>
      <c r="O810" s="2">
        <v>1</v>
      </c>
      <c r="Q810" s="2">
        <v>0</v>
      </c>
      <c r="R810" s="2">
        <v>0</v>
      </c>
      <c r="S810" s="11">
        <v>1</v>
      </c>
      <c r="T810" s="11">
        <v>1</v>
      </c>
      <c r="U810" s="11">
        <v>1</v>
      </c>
      <c r="V810" s="2">
        <v>0</v>
      </c>
      <c r="W810" s="2">
        <v>1</v>
      </c>
      <c r="X810" s="2">
        <v>3</v>
      </c>
      <c r="Y810" s="2">
        <v>1</v>
      </c>
      <c r="Z810" s="27">
        <v>1960.028</v>
      </c>
      <c r="AA810" s="31">
        <v>1961.01</v>
      </c>
    </row>
    <row r="811" spans="1:29" x14ac:dyDescent="0.2">
      <c r="A811" s="3" t="s">
        <v>4010</v>
      </c>
      <c r="B811" s="2" t="s">
        <v>4011</v>
      </c>
      <c r="C811" s="8">
        <v>22332</v>
      </c>
      <c r="D811" s="2">
        <v>1961</v>
      </c>
      <c r="E811" s="2">
        <v>1960</v>
      </c>
      <c r="F811" s="2">
        <v>1</v>
      </c>
      <c r="G811" s="2">
        <v>1</v>
      </c>
      <c r="H811" s="3" t="s">
        <v>3442</v>
      </c>
      <c r="I811" s="3" t="s">
        <v>779</v>
      </c>
      <c r="J811" s="3" t="s">
        <v>1535</v>
      </c>
      <c r="K811" s="15"/>
      <c r="L811" s="4" t="s">
        <v>780</v>
      </c>
      <c r="M811" s="4">
        <f>7+(12*70)</f>
        <v>847</v>
      </c>
      <c r="N811" s="2">
        <v>51</v>
      </c>
      <c r="O811" s="2">
        <v>2</v>
      </c>
      <c r="Q811" s="2">
        <v>1</v>
      </c>
      <c r="R811" s="2">
        <v>1</v>
      </c>
      <c r="S811" s="11">
        <v>0</v>
      </c>
      <c r="T811" s="11">
        <v>1</v>
      </c>
      <c r="U811" s="11">
        <v>1</v>
      </c>
      <c r="V811" s="2">
        <v>0</v>
      </c>
      <c r="W811" s="2">
        <v>0</v>
      </c>
      <c r="X811" s="2">
        <v>0</v>
      </c>
      <c r="Y811" s="2">
        <v>1</v>
      </c>
      <c r="Z811" s="27">
        <v>1960.038</v>
      </c>
      <c r="AA811" s="31">
        <v>1961.02</v>
      </c>
    </row>
    <row r="812" spans="1:29" x14ac:dyDescent="0.2">
      <c r="A812" s="3" t="s">
        <v>2359</v>
      </c>
      <c r="B812" s="2" t="s">
        <v>2360</v>
      </c>
      <c r="C812" s="8">
        <v>22339</v>
      </c>
      <c r="D812" s="2">
        <v>1961</v>
      </c>
      <c r="E812" s="2">
        <v>1960</v>
      </c>
      <c r="F812" s="2">
        <v>0</v>
      </c>
      <c r="G812" s="2">
        <v>0</v>
      </c>
      <c r="H812" s="3" t="s">
        <v>27</v>
      </c>
      <c r="I812" s="3" t="s">
        <v>2304</v>
      </c>
      <c r="J812" s="3" t="s">
        <v>2304</v>
      </c>
      <c r="K812" s="3" t="s">
        <v>2305</v>
      </c>
      <c r="L812" s="10">
        <v>14053</v>
      </c>
      <c r="M812" s="4">
        <f>8+(12*29)</f>
        <v>356</v>
      </c>
      <c r="N812" s="2">
        <v>75</v>
      </c>
      <c r="O812" s="2">
        <v>2</v>
      </c>
      <c r="Q812" s="2">
        <v>0</v>
      </c>
      <c r="R812" s="2">
        <v>0</v>
      </c>
      <c r="S812" s="11">
        <v>1</v>
      </c>
      <c r="T812" s="11">
        <v>1</v>
      </c>
      <c r="U812" s="11">
        <v>0</v>
      </c>
      <c r="V812" s="2">
        <v>0</v>
      </c>
      <c r="W812" s="2">
        <v>1</v>
      </c>
      <c r="X812" s="2">
        <v>4</v>
      </c>
      <c r="Y812" s="2">
        <v>0</v>
      </c>
      <c r="Z812" s="27">
        <v>1960.0509999999999</v>
      </c>
      <c r="AA812" s="31">
        <v>1961.03</v>
      </c>
    </row>
    <row r="813" spans="1:29" x14ac:dyDescent="0.2">
      <c r="A813" s="3" t="s">
        <v>2346</v>
      </c>
      <c r="B813" s="2" t="s">
        <v>2347</v>
      </c>
      <c r="C813" s="8">
        <v>22339</v>
      </c>
      <c r="D813" s="2">
        <v>1961</v>
      </c>
      <c r="E813" s="2">
        <v>1960</v>
      </c>
      <c r="F813" s="2">
        <v>0</v>
      </c>
      <c r="G813" s="2">
        <v>0</v>
      </c>
      <c r="H813" s="3" t="s">
        <v>27</v>
      </c>
      <c r="I813" s="3" t="s">
        <v>2304</v>
      </c>
      <c r="J813" s="3" t="s">
        <v>2304</v>
      </c>
      <c r="K813" s="3" t="s">
        <v>2305</v>
      </c>
      <c r="L813" s="10">
        <v>14053</v>
      </c>
      <c r="M813" s="4">
        <f>8+(12*29)</f>
        <v>356</v>
      </c>
      <c r="N813" s="2">
        <v>75</v>
      </c>
      <c r="O813" s="2">
        <v>2</v>
      </c>
      <c r="Q813" s="2">
        <v>0</v>
      </c>
      <c r="R813" s="2">
        <v>0</v>
      </c>
      <c r="S813" s="11">
        <v>1</v>
      </c>
      <c r="T813" s="11">
        <v>1</v>
      </c>
      <c r="U813" s="11">
        <v>0</v>
      </c>
      <c r="V813" s="2">
        <v>0</v>
      </c>
      <c r="W813" s="2">
        <v>1</v>
      </c>
      <c r="X813" s="2">
        <v>4</v>
      </c>
      <c r="Y813" s="2">
        <v>0</v>
      </c>
      <c r="Z813" s="27">
        <v>1960.0519999999999</v>
      </c>
      <c r="AA813" s="31">
        <v>1961.04</v>
      </c>
    </row>
    <row r="814" spans="1:29" x14ac:dyDescent="0.2">
      <c r="A814" s="3" t="s">
        <v>2357</v>
      </c>
      <c r="B814" s="2" t="s">
        <v>2358</v>
      </c>
      <c r="C814" s="8">
        <v>22430</v>
      </c>
      <c r="D814" s="2">
        <v>1961</v>
      </c>
      <c r="E814" s="2">
        <v>1960</v>
      </c>
      <c r="F814" s="2">
        <v>0</v>
      </c>
      <c r="G814" s="2">
        <v>0</v>
      </c>
      <c r="H814" s="3" t="s">
        <v>27</v>
      </c>
      <c r="I814" s="3" t="s">
        <v>1782</v>
      </c>
      <c r="J814" s="3" t="s">
        <v>1782</v>
      </c>
      <c r="K814" s="21" t="s">
        <v>1783</v>
      </c>
      <c r="L814" s="10">
        <v>3829</v>
      </c>
      <c r="M814" s="4">
        <f>11+(60*12)</f>
        <v>731</v>
      </c>
      <c r="N814" s="2">
        <v>61</v>
      </c>
      <c r="O814" s="2">
        <v>5</v>
      </c>
      <c r="Q814" s="2">
        <v>0</v>
      </c>
      <c r="R814" s="2">
        <v>0</v>
      </c>
      <c r="S814" s="11">
        <v>1</v>
      </c>
      <c r="T814" s="11">
        <v>1</v>
      </c>
      <c r="U814" s="11">
        <v>1</v>
      </c>
      <c r="V814" s="2">
        <v>0</v>
      </c>
      <c r="W814" s="2">
        <v>1</v>
      </c>
      <c r="X814" s="2">
        <v>2</v>
      </c>
      <c r="Y814" s="2">
        <v>1</v>
      </c>
      <c r="Z814" s="27">
        <v>1960.106</v>
      </c>
      <c r="AA814" s="31">
        <v>1961.05</v>
      </c>
    </row>
    <row r="815" spans="1:29" x14ac:dyDescent="0.2">
      <c r="A815" s="3" t="s">
        <v>2351</v>
      </c>
      <c r="B815" s="2" t="s">
        <v>2352</v>
      </c>
      <c r="C815" s="8">
        <v>22437</v>
      </c>
      <c r="D815" s="2">
        <v>1961</v>
      </c>
      <c r="E815" s="2">
        <v>1960</v>
      </c>
      <c r="F815" s="2">
        <v>0</v>
      </c>
      <c r="G815" s="2">
        <v>0</v>
      </c>
      <c r="H815" s="3" t="s">
        <v>27</v>
      </c>
      <c r="I815" s="3" t="s">
        <v>4963</v>
      </c>
      <c r="J815" s="3" t="s">
        <v>2171</v>
      </c>
      <c r="K815" s="3" t="s">
        <v>2182</v>
      </c>
      <c r="L815" s="10">
        <v>18529</v>
      </c>
      <c r="M815" s="4">
        <v>129</v>
      </c>
      <c r="N815" s="2">
        <v>81</v>
      </c>
      <c r="O815" s="2">
        <v>1</v>
      </c>
      <c r="P815" s="2">
        <v>2</v>
      </c>
      <c r="Q815" s="2">
        <v>1</v>
      </c>
      <c r="R815" s="2">
        <v>1</v>
      </c>
      <c r="S815" s="11">
        <v>1</v>
      </c>
      <c r="T815" s="11">
        <v>1</v>
      </c>
      <c r="U815" s="11">
        <v>0</v>
      </c>
      <c r="V815" s="2">
        <v>0</v>
      </c>
      <c r="W815" s="2">
        <v>1</v>
      </c>
      <c r="X815" s="2">
        <v>4</v>
      </c>
      <c r="Y815" s="2">
        <v>0</v>
      </c>
      <c r="Z815" s="27">
        <v>1960.1110000000001</v>
      </c>
      <c r="AA815" s="31">
        <v>1961.06</v>
      </c>
    </row>
    <row r="816" spans="1:29" x14ac:dyDescent="0.2">
      <c r="A816" s="3" t="s">
        <v>2355</v>
      </c>
      <c r="B816" s="2" t="s">
        <v>2356</v>
      </c>
      <c r="C816" s="8">
        <v>22437</v>
      </c>
      <c r="D816" s="2">
        <v>1961</v>
      </c>
      <c r="E816" s="2">
        <v>1960</v>
      </c>
      <c r="F816" s="2">
        <v>0</v>
      </c>
      <c r="G816" s="2">
        <v>0</v>
      </c>
      <c r="H816" s="3" t="s">
        <v>27</v>
      </c>
      <c r="I816" s="3" t="s">
        <v>4963</v>
      </c>
      <c r="J816" s="3" t="s">
        <v>2171</v>
      </c>
      <c r="K816" s="3" t="s">
        <v>2182</v>
      </c>
      <c r="L816" s="10">
        <v>18529</v>
      </c>
      <c r="M816" s="4">
        <f>9+(12*10)</f>
        <v>129</v>
      </c>
      <c r="N816" s="2">
        <v>81</v>
      </c>
      <c r="O816" s="2">
        <v>1</v>
      </c>
      <c r="P816" s="2">
        <v>2</v>
      </c>
      <c r="Q816" s="2">
        <v>1</v>
      </c>
      <c r="R816" s="2">
        <v>0</v>
      </c>
      <c r="S816" s="11">
        <v>1</v>
      </c>
      <c r="T816" s="11">
        <v>1</v>
      </c>
      <c r="U816" s="11">
        <v>0</v>
      </c>
      <c r="V816" s="2">
        <v>0</v>
      </c>
      <c r="W816" s="2">
        <v>1</v>
      </c>
      <c r="X816" s="2">
        <v>4</v>
      </c>
      <c r="Y816" s="2">
        <v>0</v>
      </c>
      <c r="Z816" s="27">
        <v>1960.115</v>
      </c>
      <c r="AA816" s="31">
        <v>1961.07</v>
      </c>
    </row>
    <row r="817" spans="1:27" x14ac:dyDescent="0.2">
      <c r="A817" s="3" t="s">
        <v>4012</v>
      </c>
      <c r="B817" s="2" t="s">
        <v>4013</v>
      </c>
      <c r="C817" s="8">
        <v>22451</v>
      </c>
      <c r="D817" s="2">
        <v>1961</v>
      </c>
      <c r="E817" s="2">
        <v>1960</v>
      </c>
      <c r="F817" s="2">
        <v>1</v>
      </c>
      <c r="G817" s="2">
        <v>1</v>
      </c>
      <c r="H817" s="3" t="s">
        <v>3442</v>
      </c>
      <c r="I817" s="3" t="s">
        <v>4861</v>
      </c>
      <c r="J817" s="3" t="s">
        <v>2253</v>
      </c>
      <c r="K817" s="21" t="s">
        <v>2254</v>
      </c>
      <c r="L817" s="10">
        <v>18638</v>
      </c>
      <c r="M817" s="4">
        <f>5+(12*10)</f>
        <v>125</v>
      </c>
      <c r="N817" s="2">
        <v>81</v>
      </c>
      <c r="O817" s="2">
        <v>2</v>
      </c>
      <c r="Q817" s="2">
        <v>0</v>
      </c>
      <c r="R817" s="2">
        <v>0</v>
      </c>
      <c r="S817" s="11">
        <v>1</v>
      </c>
      <c r="T817" s="11">
        <v>0</v>
      </c>
      <c r="U817" s="11">
        <v>1</v>
      </c>
      <c r="V817" s="2">
        <v>0</v>
      </c>
      <c r="W817" s="2">
        <v>0</v>
      </c>
      <c r="X817" s="2">
        <v>4</v>
      </c>
      <c r="Y817" s="2">
        <v>0</v>
      </c>
      <c r="Z817" s="27">
        <v>1960.136</v>
      </c>
      <c r="AA817" s="31">
        <v>1961.08</v>
      </c>
    </row>
    <row r="818" spans="1:27" x14ac:dyDescent="0.2">
      <c r="A818" s="3" t="s">
        <v>2348</v>
      </c>
      <c r="B818" s="2" t="s">
        <v>2349</v>
      </c>
      <c r="C818" s="8">
        <v>22451</v>
      </c>
      <c r="D818" s="2">
        <v>1961</v>
      </c>
      <c r="E818" s="2">
        <v>1960</v>
      </c>
      <c r="F818" s="2">
        <v>0</v>
      </c>
      <c r="G818" s="2">
        <v>0</v>
      </c>
      <c r="H818" s="3" t="s">
        <v>27</v>
      </c>
      <c r="I818" s="3" t="s">
        <v>2350</v>
      </c>
      <c r="J818" s="3" t="s">
        <v>2350</v>
      </c>
      <c r="K818" s="15"/>
      <c r="L818" s="4" t="s">
        <v>262</v>
      </c>
      <c r="M818" s="4">
        <f>11+(12*98)</f>
        <v>1187</v>
      </c>
      <c r="N818" s="2">
        <v>37</v>
      </c>
      <c r="O818" s="2">
        <v>1</v>
      </c>
      <c r="Q818" s="2">
        <v>0</v>
      </c>
      <c r="R818" s="2">
        <v>0</v>
      </c>
      <c r="S818" s="11">
        <v>1</v>
      </c>
      <c r="T818" s="11">
        <v>1</v>
      </c>
      <c r="U818" s="11">
        <v>0</v>
      </c>
      <c r="V818" s="2">
        <v>0</v>
      </c>
      <c r="W818" s="2">
        <v>1</v>
      </c>
      <c r="X818" s="2">
        <v>4</v>
      </c>
      <c r="Y818" s="2">
        <v>1</v>
      </c>
      <c r="Z818" s="27">
        <v>1960.1379999999999</v>
      </c>
      <c r="AA818" s="31">
        <v>1961.09</v>
      </c>
    </row>
    <row r="819" spans="1:27" x14ac:dyDescent="0.2">
      <c r="A819" s="3" t="s">
        <v>2353</v>
      </c>
      <c r="B819" s="2" t="s">
        <v>2354</v>
      </c>
      <c r="C819" s="8">
        <v>22626</v>
      </c>
      <c r="D819" s="2">
        <v>1961</v>
      </c>
      <c r="E819" s="2">
        <v>1960</v>
      </c>
      <c r="F819" s="2">
        <v>0</v>
      </c>
      <c r="G819" s="2">
        <v>0</v>
      </c>
      <c r="H819" s="3" t="s">
        <v>27</v>
      </c>
      <c r="I819" s="3" t="s">
        <v>5068</v>
      </c>
      <c r="J819" s="3" t="s">
        <v>2132</v>
      </c>
      <c r="K819" s="21" t="s">
        <v>2133</v>
      </c>
      <c r="L819" s="10">
        <v>17341</v>
      </c>
      <c r="M819" s="4">
        <f>4+(12*14)</f>
        <v>172</v>
      </c>
      <c r="N819" s="2">
        <v>80</v>
      </c>
      <c r="O819" s="2">
        <v>2</v>
      </c>
      <c r="Q819" s="2">
        <v>1</v>
      </c>
      <c r="R819" s="2">
        <v>1</v>
      </c>
      <c r="S819" s="11">
        <v>1</v>
      </c>
      <c r="T819" s="11">
        <v>1</v>
      </c>
      <c r="U819" s="11">
        <v>0</v>
      </c>
      <c r="V819" s="2">
        <v>0</v>
      </c>
      <c r="W819" s="2">
        <v>1</v>
      </c>
      <c r="X819" s="2">
        <v>4</v>
      </c>
      <c r="Y819" s="2">
        <v>1</v>
      </c>
      <c r="Z819" s="27">
        <v>1961.0119999999999</v>
      </c>
      <c r="AA819" s="31">
        <v>1961.1</v>
      </c>
    </row>
    <row r="820" spans="1:27" x14ac:dyDescent="0.2">
      <c r="A820" s="3" t="s">
        <v>2369</v>
      </c>
      <c r="B820" s="2" t="s">
        <v>2370</v>
      </c>
      <c r="C820" s="8">
        <v>22780</v>
      </c>
      <c r="D820" s="2">
        <v>1962</v>
      </c>
      <c r="E820" s="2">
        <v>1960</v>
      </c>
      <c r="F820" s="2">
        <v>0</v>
      </c>
      <c r="G820" s="2">
        <v>0</v>
      </c>
      <c r="H820" s="3" t="s">
        <v>27</v>
      </c>
      <c r="I820" s="3" t="s">
        <v>2304</v>
      </c>
      <c r="J820" s="3" t="s">
        <v>2304</v>
      </c>
      <c r="K820" s="3" t="s">
        <v>2305</v>
      </c>
      <c r="L820" s="10">
        <v>14053</v>
      </c>
      <c r="M820" s="4">
        <f>11+(12*23)</f>
        <v>287</v>
      </c>
      <c r="N820" s="2">
        <v>75</v>
      </c>
      <c r="O820" s="2">
        <v>6</v>
      </c>
      <c r="P820" s="2">
        <v>1</v>
      </c>
      <c r="Q820" s="2">
        <v>0</v>
      </c>
      <c r="R820" s="2">
        <v>0</v>
      </c>
      <c r="S820" s="11">
        <v>1</v>
      </c>
      <c r="T820" s="11">
        <v>1</v>
      </c>
      <c r="U820" s="11">
        <v>0</v>
      </c>
      <c r="V820" s="2">
        <v>0</v>
      </c>
      <c r="W820" s="2">
        <v>1</v>
      </c>
      <c r="X820" s="2">
        <v>2</v>
      </c>
      <c r="Y820" s="2">
        <v>0</v>
      </c>
      <c r="Z820" s="27">
        <v>1961.067</v>
      </c>
      <c r="AA820" s="31">
        <v>1962.01</v>
      </c>
    </row>
    <row r="821" spans="1:27" x14ac:dyDescent="0.2">
      <c r="A821" s="3" t="s">
        <v>2361</v>
      </c>
      <c r="B821" s="2" t="s">
        <v>2362</v>
      </c>
      <c r="C821" s="8">
        <v>22787</v>
      </c>
      <c r="D821" s="2">
        <v>1962</v>
      </c>
      <c r="E821" s="2">
        <v>1960</v>
      </c>
      <c r="F821" s="2">
        <v>0</v>
      </c>
      <c r="G821" s="2">
        <v>0</v>
      </c>
      <c r="H821" s="3" t="s">
        <v>27</v>
      </c>
      <c r="I821" s="3" t="s">
        <v>4964</v>
      </c>
      <c r="J821" s="3" t="s">
        <v>2363</v>
      </c>
      <c r="K821" s="21" t="s">
        <v>2364</v>
      </c>
      <c r="L821" s="10">
        <v>12449</v>
      </c>
      <c r="M821" s="4">
        <f>4+(12*28)</f>
        <v>340</v>
      </c>
      <c r="N821" s="2">
        <v>73</v>
      </c>
      <c r="O821" s="2">
        <v>5</v>
      </c>
      <c r="Q821" s="2">
        <v>0</v>
      </c>
      <c r="R821" s="2">
        <v>0</v>
      </c>
      <c r="S821" s="11">
        <v>1</v>
      </c>
      <c r="T821" s="11">
        <v>1</v>
      </c>
      <c r="U821" s="11">
        <v>1</v>
      </c>
      <c r="V821" s="2">
        <v>0</v>
      </c>
      <c r="W821" s="2">
        <v>0</v>
      </c>
      <c r="X821" s="2">
        <v>0</v>
      </c>
      <c r="Y821" s="2">
        <v>0</v>
      </c>
      <c r="Z821" s="27">
        <v>1961.0709999999999</v>
      </c>
      <c r="AA821" s="31">
        <v>1962.02</v>
      </c>
    </row>
    <row r="822" spans="1:27" x14ac:dyDescent="0.2">
      <c r="A822" s="3" t="s">
        <v>4017</v>
      </c>
      <c r="B822" s="2" t="s">
        <v>4018</v>
      </c>
      <c r="C822" s="8">
        <v>22787</v>
      </c>
      <c r="D822" s="2">
        <v>1962</v>
      </c>
      <c r="E822" s="2">
        <v>1960</v>
      </c>
      <c r="F822" s="2">
        <v>1</v>
      </c>
      <c r="G822" s="2">
        <v>1</v>
      </c>
      <c r="H822" s="3" t="s">
        <v>3442</v>
      </c>
      <c r="I822" s="3" t="s">
        <v>4019</v>
      </c>
      <c r="J822" s="3" t="s">
        <v>4019</v>
      </c>
      <c r="K822" s="21" t="s">
        <v>4020</v>
      </c>
      <c r="L822" s="10">
        <v>16620</v>
      </c>
      <c r="M822" s="4">
        <f>10+(12*16)</f>
        <v>202</v>
      </c>
      <c r="N822" s="2">
        <v>79</v>
      </c>
      <c r="O822" s="2">
        <v>1</v>
      </c>
      <c r="Q822" s="2">
        <v>0</v>
      </c>
      <c r="R822" s="2">
        <v>0</v>
      </c>
      <c r="S822" s="11">
        <v>1</v>
      </c>
      <c r="T822" s="11">
        <v>1</v>
      </c>
      <c r="U822" s="11">
        <v>1</v>
      </c>
      <c r="V822" s="2">
        <v>0</v>
      </c>
      <c r="W822" s="2">
        <v>1</v>
      </c>
      <c r="X822" s="2">
        <v>1</v>
      </c>
      <c r="Y822" s="2">
        <v>0</v>
      </c>
      <c r="Z822" s="27">
        <v>1961.075</v>
      </c>
      <c r="AA822" s="31">
        <v>1962.03</v>
      </c>
    </row>
    <row r="823" spans="1:27" x14ac:dyDescent="0.2">
      <c r="A823" s="3" t="s">
        <v>2371</v>
      </c>
      <c r="B823" s="2" t="s">
        <v>2372</v>
      </c>
      <c r="C823" s="8">
        <v>22822</v>
      </c>
      <c r="D823" s="2">
        <v>1962</v>
      </c>
      <c r="E823" s="2">
        <v>1960</v>
      </c>
      <c r="F823" s="2">
        <v>0</v>
      </c>
      <c r="G823" s="2">
        <v>0</v>
      </c>
      <c r="H823" s="3" t="s">
        <v>27</v>
      </c>
      <c r="I823" s="3" t="s">
        <v>2045</v>
      </c>
      <c r="J823" s="3" t="s">
        <v>2045</v>
      </c>
      <c r="K823" s="21" t="s">
        <v>2046</v>
      </c>
      <c r="L823" s="10">
        <v>16505</v>
      </c>
      <c r="M823" s="4">
        <f>3+(12*17)</f>
        <v>207</v>
      </c>
      <c r="N823" s="2">
        <v>79</v>
      </c>
      <c r="O823" s="2">
        <v>5</v>
      </c>
      <c r="Q823" s="2">
        <v>1</v>
      </c>
      <c r="R823" s="2">
        <v>1</v>
      </c>
      <c r="S823" s="11">
        <v>1</v>
      </c>
      <c r="T823" s="11">
        <v>1</v>
      </c>
      <c r="U823" s="11">
        <v>1</v>
      </c>
      <c r="V823" s="2">
        <v>0</v>
      </c>
      <c r="W823" s="2">
        <v>0</v>
      </c>
      <c r="X823" s="2">
        <v>1</v>
      </c>
      <c r="Y823" s="2">
        <v>0</v>
      </c>
      <c r="Z823" s="27">
        <v>1961.106</v>
      </c>
      <c r="AA823" s="31">
        <v>1962.04</v>
      </c>
    </row>
    <row r="824" spans="1:27" x14ac:dyDescent="0.2">
      <c r="A824" s="3" t="s">
        <v>4021</v>
      </c>
      <c r="B824" s="2" t="s">
        <v>4022</v>
      </c>
      <c r="C824" s="8">
        <v>22822</v>
      </c>
      <c r="D824" s="2">
        <v>1962</v>
      </c>
      <c r="E824" s="2">
        <v>1960</v>
      </c>
      <c r="F824" s="2">
        <v>1</v>
      </c>
      <c r="G824" s="2">
        <v>1</v>
      </c>
      <c r="H824" s="3" t="s">
        <v>3442</v>
      </c>
      <c r="I824" s="3" t="s">
        <v>2431</v>
      </c>
      <c r="J824" s="3" t="s">
        <v>2431</v>
      </c>
      <c r="K824" s="21" t="s">
        <v>2432</v>
      </c>
      <c r="L824" s="10">
        <v>20268</v>
      </c>
      <c r="M824" s="4">
        <f>7*12</f>
        <v>84</v>
      </c>
      <c r="N824" s="2">
        <v>84</v>
      </c>
      <c r="O824" s="2">
        <v>2</v>
      </c>
      <c r="Q824" s="2">
        <v>0</v>
      </c>
      <c r="R824" s="2">
        <v>0</v>
      </c>
      <c r="S824" s="11">
        <v>0</v>
      </c>
      <c r="T824" s="11">
        <v>1</v>
      </c>
      <c r="U824" s="11">
        <v>0</v>
      </c>
      <c r="V824" s="2">
        <v>0</v>
      </c>
      <c r="W824" s="2">
        <v>1</v>
      </c>
      <c r="X824" s="2">
        <v>1</v>
      </c>
      <c r="Y824" s="2">
        <v>0</v>
      </c>
      <c r="Z824" s="27">
        <v>1961.1079999999999</v>
      </c>
      <c r="AA824" s="31">
        <v>1962.05</v>
      </c>
    </row>
    <row r="825" spans="1:27" x14ac:dyDescent="0.2">
      <c r="A825" s="3" t="s">
        <v>2365</v>
      </c>
      <c r="B825" s="2" t="s">
        <v>2366</v>
      </c>
      <c r="C825" s="8">
        <v>22822</v>
      </c>
      <c r="D825" s="2">
        <v>1962</v>
      </c>
      <c r="E825" s="2">
        <v>1960</v>
      </c>
      <c r="F825" s="2">
        <v>0</v>
      </c>
      <c r="G825" s="2">
        <v>0</v>
      </c>
      <c r="H825" s="3" t="s">
        <v>27</v>
      </c>
      <c r="I825" s="3" t="s">
        <v>2367</v>
      </c>
      <c r="J825" s="3" t="s">
        <v>2367</v>
      </c>
      <c r="K825" s="3" t="s">
        <v>2368</v>
      </c>
      <c r="L825" s="10">
        <v>20650</v>
      </c>
      <c r="M825" s="4">
        <f>11+(12*5)</f>
        <v>71</v>
      </c>
      <c r="N825" s="2">
        <v>84</v>
      </c>
      <c r="O825" s="2">
        <v>1</v>
      </c>
      <c r="P825" s="2">
        <v>6</v>
      </c>
      <c r="Q825" s="2">
        <v>0</v>
      </c>
      <c r="R825" s="2">
        <v>0</v>
      </c>
      <c r="S825" s="11">
        <v>1</v>
      </c>
      <c r="T825" s="11">
        <v>1</v>
      </c>
      <c r="U825" s="11">
        <v>0</v>
      </c>
      <c r="V825" s="2">
        <v>0</v>
      </c>
      <c r="W825" s="2">
        <v>0</v>
      </c>
      <c r="X825" s="2">
        <v>2</v>
      </c>
      <c r="Y825" s="2">
        <v>0</v>
      </c>
      <c r="Z825" s="27">
        <v>1961.1089999999999</v>
      </c>
      <c r="AA825" s="31">
        <v>1962.06</v>
      </c>
    </row>
    <row r="826" spans="1:27" x14ac:dyDescent="0.2">
      <c r="A826" s="3" t="s">
        <v>4023</v>
      </c>
      <c r="B826" s="2" t="s">
        <v>4024</v>
      </c>
      <c r="C826" s="8">
        <v>23060</v>
      </c>
      <c r="D826" s="2">
        <v>1963</v>
      </c>
      <c r="E826" s="2">
        <v>1960</v>
      </c>
      <c r="F826" s="2">
        <v>2</v>
      </c>
      <c r="G826" s="2">
        <v>1</v>
      </c>
      <c r="H826" s="3" t="s">
        <v>3434</v>
      </c>
      <c r="I826" s="3" t="s">
        <v>4538</v>
      </c>
      <c r="J826" s="3" t="s">
        <v>2835</v>
      </c>
      <c r="K826" s="21" t="s">
        <v>2238</v>
      </c>
      <c r="L826" s="10">
        <v>19172</v>
      </c>
      <c r="M826" s="4">
        <f>8+(12*10)</f>
        <v>128</v>
      </c>
      <c r="N826" s="2">
        <v>82</v>
      </c>
      <c r="O826" s="2">
        <v>1</v>
      </c>
      <c r="P826" s="2">
        <v>6</v>
      </c>
      <c r="Q826" s="2">
        <v>1</v>
      </c>
      <c r="R826" s="2">
        <v>0</v>
      </c>
      <c r="S826" s="11">
        <v>1</v>
      </c>
      <c r="T826" s="11">
        <v>0</v>
      </c>
      <c r="U826" s="11">
        <v>1</v>
      </c>
      <c r="V826" s="2">
        <v>1</v>
      </c>
      <c r="W826" s="2">
        <v>1</v>
      </c>
      <c r="X826" s="2">
        <v>4</v>
      </c>
      <c r="Y826" s="2">
        <v>0</v>
      </c>
      <c r="Z826" s="27">
        <v>1962.049</v>
      </c>
      <c r="AA826" s="31">
        <v>1963.01</v>
      </c>
    </row>
    <row r="827" spans="1:27" x14ac:dyDescent="0.2">
      <c r="A827" s="3" t="s">
        <v>2381</v>
      </c>
      <c r="B827" s="2" t="s">
        <v>2382</v>
      </c>
      <c r="C827" s="8">
        <v>23060</v>
      </c>
      <c r="D827" s="2">
        <v>1963</v>
      </c>
      <c r="E827" s="2">
        <v>1960</v>
      </c>
      <c r="F827" s="2">
        <v>0</v>
      </c>
      <c r="G827" s="2">
        <v>0</v>
      </c>
      <c r="H827" s="3" t="s">
        <v>27</v>
      </c>
      <c r="I827" s="3" t="s">
        <v>4951</v>
      </c>
      <c r="J827" s="3" t="s">
        <v>2224</v>
      </c>
      <c r="K827" s="21" t="s">
        <v>2225</v>
      </c>
      <c r="L827" s="10">
        <v>13320</v>
      </c>
      <c r="M827" s="4">
        <f>8+(12*29)</f>
        <v>356</v>
      </c>
      <c r="N827" s="2">
        <v>74</v>
      </c>
      <c r="O827" s="2">
        <v>1</v>
      </c>
      <c r="Q827" s="2">
        <v>1</v>
      </c>
      <c r="R827" s="2">
        <v>1</v>
      </c>
      <c r="S827" s="11">
        <v>1</v>
      </c>
      <c r="T827" s="11">
        <v>0</v>
      </c>
      <c r="U827" s="11">
        <v>0</v>
      </c>
      <c r="V827" s="2">
        <v>0</v>
      </c>
      <c r="W827" s="2">
        <v>1</v>
      </c>
      <c r="X827" s="2">
        <v>3</v>
      </c>
      <c r="Y827" s="2">
        <v>0</v>
      </c>
      <c r="Z827" s="27">
        <v>1962.0419999999999</v>
      </c>
      <c r="AA827" s="31">
        <v>1963.02</v>
      </c>
    </row>
    <row r="828" spans="1:27" x14ac:dyDescent="0.2">
      <c r="A828" s="3" t="s">
        <v>2377</v>
      </c>
      <c r="B828" s="2" t="s">
        <v>2378</v>
      </c>
      <c r="C828" s="8">
        <v>23158</v>
      </c>
      <c r="D828" s="2">
        <v>1963</v>
      </c>
      <c r="E828" s="2">
        <v>1960</v>
      </c>
      <c r="F828" s="2">
        <v>0</v>
      </c>
      <c r="G828" s="2">
        <v>0</v>
      </c>
      <c r="H828" s="3" t="s">
        <v>27</v>
      </c>
      <c r="I828" s="3" t="s">
        <v>2379</v>
      </c>
      <c r="J828" s="3" t="s">
        <v>2379</v>
      </c>
      <c r="K828" s="21" t="s">
        <v>2380</v>
      </c>
      <c r="L828" s="10">
        <v>19194</v>
      </c>
      <c r="M828" s="4">
        <f>10+120</f>
        <v>130</v>
      </c>
      <c r="N828" s="2">
        <v>82</v>
      </c>
      <c r="O828" s="2">
        <v>5</v>
      </c>
      <c r="P828" s="2">
        <v>6</v>
      </c>
      <c r="Q828" s="2">
        <v>0</v>
      </c>
      <c r="R828" s="2">
        <v>0</v>
      </c>
      <c r="S828" s="11">
        <v>1</v>
      </c>
      <c r="T828" s="11">
        <v>1</v>
      </c>
      <c r="U828" s="11">
        <v>0</v>
      </c>
      <c r="V828" s="2">
        <v>0</v>
      </c>
      <c r="W828" s="2">
        <v>0</v>
      </c>
      <c r="X828" s="2">
        <v>0</v>
      </c>
      <c r="Y828" s="2">
        <v>0</v>
      </c>
      <c r="Z828" s="27">
        <v>1962.117</v>
      </c>
      <c r="AA828" s="31">
        <v>1963.03</v>
      </c>
    </row>
    <row r="829" spans="1:27" x14ac:dyDescent="0.2">
      <c r="A829" s="3" t="s">
        <v>2373</v>
      </c>
      <c r="B829" s="2" t="s">
        <v>2374</v>
      </c>
      <c r="C829" s="8">
        <v>23165</v>
      </c>
      <c r="D829" s="2">
        <v>1963</v>
      </c>
      <c r="E829" s="2">
        <v>1960</v>
      </c>
      <c r="F829" s="2">
        <v>0</v>
      </c>
      <c r="G829" s="2">
        <v>0</v>
      </c>
      <c r="H829" s="3" t="s">
        <v>27</v>
      </c>
      <c r="I829" s="3" t="s">
        <v>2375</v>
      </c>
      <c r="J829" s="3" t="s">
        <v>2375</v>
      </c>
      <c r="K829" s="21" t="s">
        <v>2376</v>
      </c>
      <c r="L829" s="10">
        <v>10583</v>
      </c>
      <c r="M829" s="4">
        <f>6+(12*34)</f>
        <v>414</v>
      </c>
      <c r="N829" s="2">
        <v>70</v>
      </c>
      <c r="O829" s="2">
        <v>5</v>
      </c>
      <c r="Q829" s="2">
        <v>1</v>
      </c>
      <c r="R829" s="2">
        <v>0</v>
      </c>
      <c r="S829" s="11">
        <v>1</v>
      </c>
      <c r="T829" s="11">
        <v>0</v>
      </c>
      <c r="U829" s="11">
        <v>0</v>
      </c>
      <c r="V829" s="2">
        <v>0</v>
      </c>
      <c r="W829" s="2">
        <v>0</v>
      </c>
      <c r="X829" s="2">
        <v>3</v>
      </c>
      <c r="Y829" s="2">
        <v>1</v>
      </c>
      <c r="Z829" s="27">
        <v>1962.127</v>
      </c>
      <c r="AA829" s="31">
        <v>1963.04</v>
      </c>
    </row>
    <row r="830" spans="1:27" x14ac:dyDescent="0.2">
      <c r="A830" s="3" t="s">
        <v>2392</v>
      </c>
      <c r="B830" s="2" t="s">
        <v>2393</v>
      </c>
      <c r="C830" s="8">
        <v>23396</v>
      </c>
      <c r="D830" s="2">
        <v>1964</v>
      </c>
      <c r="E830" s="2">
        <v>1960</v>
      </c>
      <c r="F830" s="2">
        <v>0</v>
      </c>
      <c r="G830" s="2">
        <v>0</v>
      </c>
      <c r="H830" s="3" t="s">
        <v>27</v>
      </c>
      <c r="I830" s="3" t="s">
        <v>5096</v>
      </c>
      <c r="J830" s="3" t="s">
        <v>2394</v>
      </c>
      <c r="K830" s="19" t="s">
        <v>2395</v>
      </c>
      <c r="L830" s="10">
        <v>19952</v>
      </c>
      <c r="M830" s="4">
        <f>5+(12*9)</f>
        <v>113</v>
      </c>
      <c r="N830" s="2">
        <v>83</v>
      </c>
      <c r="O830" s="2">
        <v>1</v>
      </c>
      <c r="Q830" s="2">
        <v>1</v>
      </c>
      <c r="R830" s="2">
        <v>0</v>
      </c>
      <c r="S830" s="11">
        <v>1</v>
      </c>
      <c r="T830" s="11">
        <v>1</v>
      </c>
      <c r="U830" s="11">
        <v>0</v>
      </c>
      <c r="V830" s="2">
        <v>0</v>
      </c>
      <c r="W830" s="2">
        <v>1</v>
      </c>
      <c r="X830" s="2">
        <v>0</v>
      </c>
      <c r="Y830" s="2">
        <v>1</v>
      </c>
      <c r="Z830" s="27">
        <v>1963.046</v>
      </c>
      <c r="AA830" s="31">
        <v>1964.01</v>
      </c>
    </row>
    <row r="831" spans="1:27" x14ac:dyDescent="0.2">
      <c r="A831" s="3" t="s">
        <v>2398</v>
      </c>
      <c r="B831" s="2" t="s">
        <v>2399</v>
      </c>
      <c r="C831" s="8">
        <v>23473</v>
      </c>
      <c r="D831" s="2">
        <v>1964</v>
      </c>
      <c r="E831" s="2">
        <v>1960</v>
      </c>
      <c r="F831" s="2">
        <v>0</v>
      </c>
      <c r="G831" s="2">
        <v>0</v>
      </c>
      <c r="H831" s="3" t="s">
        <v>27</v>
      </c>
      <c r="I831" s="3" t="s">
        <v>1312</v>
      </c>
      <c r="J831" s="21" t="s">
        <v>1313</v>
      </c>
      <c r="K831" s="21" t="s">
        <v>1314</v>
      </c>
      <c r="L831" s="10">
        <v>5402</v>
      </c>
      <c r="M831" s="4">
        <f>6+(12*49)</f>
        <v>594</v>
      </c>
      <c r="N831" s="2">
        <v>63</v>
      </c>
      <c r="O831" s="2">
        <v>1</v>
      </c>
      <c r="Q831" s="2">
        <v>1</v>
      </c>
      <c r="R831" s="2">
        <v>1</v>
      </c>
      <c r="S831" s="11">
        <v>1</v>
      </c>
      <c r="T831" s="11">
        <v>0</v>
      </c>
      <c r="U831" s="11">
        <v>0</v>
      </c>
      <c r="V831" s="2">
        <v>0</v>
      </c>
      <c r="W831" s="2">
        <v>1</v>
      </c>
      <c r="X831" s="2">
        <v>4</v>
      </c>
      <c r="Y831" s="2">
        <v>0</v>
      </c>
      <c r="Z831" s="27">
        <v>1963.096</v>
      </c>
      <c r="AA831" s="31">
        <v>1964.02</v>
      </c>
    </row>
    <row r="832" spans="1:27" x14ac:dyDescent="0.2">
      <c r="A832" s="3" t="s">
        <v>4028</v>
      </c>
      <c r="B832" s="2" t="s">
        <v>4029</v>
      </c>
      <c r="C832" s="8">
        <v>23515</v>
      </c>
      <c r="D832" s="2">
        <v>1964</v>
      </c>
      <c r="E832" s="2">
        <v>1960</v>
      </c>
      <c r="F832" s="2">
        <v>2</v>
      </c>
      <c r="G832" s="2">
        <v>1</v>
      </c>
      <c r="H832" s="3" t="s">
        <v>3434</v>
      </c>
      <c r="I832" s="3" t="s">
        <v>4538</v>
      </c>
      <c r="J832" s="3" t="s">
        <v>4030</v>
      </c>
      <c r="K832" s="21" t="s">
        <v>2238</v>
      </c>
      <c r="L832" s="10">
        <v>19172</v>
      </c>
      <c r="M832" s="4">
        <f>11+(12*11)</f>
        <v>143</v>
      </c>
      <c r="N832" s="2">
        <v>82</v>
      </c>
      <c r="O832" s="2">
        <v>1</v>
      </c>
      <c r="P832" s="2">
        <v>2</v>
      </c>
      <c r="Q832" s="2">
        <v>1</v>
      </c>
      <c r="R832" s="2">
        <v>0</v>
      </c>
      <c r="S832" s="11">
        <v>0</v>
      </c>
      <c r="T832" s="11">
        <v>1</v>
      </c>
      <c r="U832" s="11">
        <v>1</v>
      </c>
      <c r="V832" s="2">
        <v>1</v>
      </c>
      <c r="W832" s="2">
        <v>1</v>
      </c>
      <c r="X832" s="2">
        <v>3</v>
      </c>
      <c r="Y832" s="2">
        <v>0</v>
      </c>
      <c r="Z832" s="27">
        <v>1963.1130000000001</v>
      </c>
      <c r="AA832" s="31">
        <v>1964.03</v>
      </c>
    </row>
    <row r="833" spans="1:27" x14ac:dyDescent="0.2">
      <c r="A833" s="3" t="s">
        <v>2389</v>
      </c>
      <c r="B833" s="2" t="s">
        <v>2390</v>
      </c>
      <c r="C833" s="8">
        <v>23515</v>
      </c>
      <c r="D833" s="2">
        <v>1964</v>
      </c>
      <c r="E833" s="2">
        <v>1960</v>
      </c>
      <c r="F833" s="2">
        <v>0</v>
      </c>
      <c r="G833" s="2">
        <v>0</v>
      </c>
      <c r="H833" s="3" t="s">
        <v>27</v>
      </c>
      <c r="I833" s="3" t="s">
        <v>1026</v>
      </c>
      <c r="J833" s="3" t="s">
        <v>2391</v>
      </c>
      <c r="K833" s="21" t="s">
        <v>1028</v>
      </c>
      <c r="L833" s="10">
        <v>3035</v>
      </c>
      <c r="M833" s="4">
        <f>1+(12*56)</f>
        <v>673</v>
      </c>
      <c r="N833" s="2">
        <v>60</v>
      </c>
      <c r="O833" s="2">
        <v>5</v>
      </c>
      <c r="Q833" s="2">
        <v>1</v>
      </c>
      <c r="R833" s="2">
        <v>1</v>
      </c>
      <c r="S833" s="11">
        <v>1</v>
      </c>
      <c r="T833" s="11">
        <v>0</v>
      </c>
      <c r="U833" s="11">
        <v>1</v>
      </c>
      <c r="V833" s="2">
        <v>0</v>
      </c>
      <c r="W833" s="2">
        <v>0</v>
      </c>
      <c r="X833" s="2">
        <v>4</v>
      </c>
      <c r="Y833" s="2">
        <v>1</v>
      </c>
      <c r="Z833" s="27">
        <v>1963.115</v>
      </c>
      <c r="AA833" s="31">
        <v>1964.04</v>
      </c>
    </row>
    <row r="834" spans="1:27" x14ac:dyDescent="0.2">
      <c r="A834" s="3" t="s">
        <v>4025</v>
      </c>
      <c r="B834" s="2" t="s">
        <v>4026</v>
      </c>
      <c r="C834" s="8">
        <v>23550</v>
      </c>
      <c r="D834" s="2">
        <v>1964</v>
      </c>
      <c r="E834" s="2">
        <v>1960</v>
      </c>
      <c r="F834" s="2">
        <v>2</v>
      </c>
      <c r="G834" s="2">
        <v>1</v>
      </c>
      <c r="H834" s="3" t="s">
        <v>3434</v>
      </c>
      <c r="I834" s="3" t="s">
        <v>4963</v>
      </c>
      <c r="J834" s="3" t="s">
        <v>4027</v>
      </c>
      <c r="K834" s="3" t="s">
        <v>2182</v>
      </c>
      <c r="L834" s="10">
        <v>18529</v>
      </c>
      <c r="M834" s="4">
        <f>9+(12*13)</f>
        <v>165</v>
      </c>
      <c r="N834" s="2">
        <v>81</v>
      </c>
      <c r="O834" s="2">
        <v>2</v>
      </c>
      <c r="Q834" s="2">
        <v>1</v>
      </c>
      <c r="R834" s="2">
        <v>1</v>
      </c>
      <c r="S834" s="11">
        <v>1</v>
      </c>
      <c r="T834" s="11">
        <v>0</v>
      </c>
      <c r="U834" s="11">
        <v>1</v>
      </c>
      <c r="V834" s="2">
        <v>1</v>
      </c>
      <c r="W834" s="2">
        <v>1</v>
      </c>
      <c r="X834" s="2">
        <v>3</v>
      </c>
      <c r="Y834" s="2">
        <v>0</v>
      </c>
      <c r="Z834" s="27">
        <v>1963.165</v>
      </c>
      <c r="AA834" s="31">
        <v>1964.05</v>
      </c>
    </row>
    <row r="835" spans="1:27" x14ac:dyDescent="0.2">
      <c r="A835" s="3" t="s">
        <v>2396</v>
      </c>
      <c r="B835" s="2" t="s">
        <v>2397</v>
      </c>
      <c r="C835" s="8">
        <v>23704</v>
      </c>
      <c r="D835" s="2">
        <v>1964</v>
      </c>
      <c r="E835" s="2">
        <v>1960</v>
      </c>
      <c r="F835" s="2">
        <v>0</v>
      </c>
      <c r="G835" s="2">
        <v>0</v>
      </c>
      <c r="H835" s="3" t="s">
        <v>27</v>
      </c>
      <c r="I835" s="3" t="s">
        <v>4920</v>
      </c>
      <c r="J835" s="3" t="s">
        <v>1835</v>
      </c>
      <c r="K835" s="21" t="s">
        <v>1836</v>
      </c>
      <c r="L835" s="10">
        <v>12589</v>
      </c>
      <c r="M835" s="4">
        <f>5+(12*30)</f>
        <v>365</v>
      </c>
      <c r="N835" s="2">
        <v>73</v>
      </c>
      <c r="O835" s="2">
        <v>2</v>
      </c>
      <c r="Q835" s="2">
        <v>0</v>
      </c>
      <c r="R835" s="2">
        <v>0</v>
      </c>
      <c r="S835" s="11">
        <v>0</v>
      </c>
      <c r="T835" s="11">
        <v>1</v>
      </c>
      <c r="U835" s="11">
        <v>0</v>
      </c>
      <c r="V835" s="2">
        <v>0</v>
      </c>
      <c r="W835" s="2">
        <v>0</v>
      </c>
      <c r="X835" s="2">
        <v>4</v>
      </c>
      <c r="Y835" s="2">
        <v>0</v>
      </c>
      <c r="Z835" s="27">
        <v>1964.009</v>
      </c>
      <c r="AA835" s="31">
        <v>1964.06</v>
      </c>
    </row>
    <row r="836" spans="1:27" x14ac:dyDescent="0.2">
      <c r="A836" s="3" t="s">
        <v>2383</v>
      </c>
      <c r="B836" s="2" t="s">
        <v>2384</v>
      </c>
      <c r="C836" s="8">
        <v>23725</v>
      </c>
      <c r="D836" s="2">
        <v>1964</v>
      </c>
      <c r="E836" s="2">
        <v>1960</v>
      </c>
      <c r="F836" s="2">
        <v>0</v>
      </c>
      <c r="G836" s="2">
        <v>0</v>
      </c>
      <c r="H836" s="3" t="s">
        <v>27</v>
      </c>
      <c r="I836" s="3" t="s">
        <v>4831</v>
      </c>
      <c r="J836" s="3" t="s">
        <v>2385</v>
      </c>
      <c r="K836" s="21" t="s">
        <v>2386</v>
      </c>
      <c r="L836" s="10">
        <v>23560</v>
      </c>
      <c r="M836" s="4">
        <f>5</f>
        <v>5</v>
      </c>
      <c r="N836" s="2">
        <v>88</v>
      </c>
      <c r="O836" s="2">
        <v>5</v>
      </c>
      <c r="Q836" s="2">
        <v>1</v>
      </c>
      <c r="R836" s="2">
        <v>1</v>
      </c>
      <c r="S836" s="11">
        <v>1</v>
      </c>
      <c r="T836" s="11">
        <v>0</v>
      </c>
      <c r="U836" s="11">
        <v>1</v>
      </c>
      <c r="V836" s="2">
        <v>0</v>
      </c>
      <c r="W836" s="2">
        <v>1</v>
      </c>
      <c r="X836" s="2">
        <v>0</v>
      </c>
      <c r="Y836" s="2">
        <v>0</v>
      </c>
      <c r="Z836" s="27">
        <v>1964.0170000000001</v>
      </c>
      <c r="AA836" s="31">
        <v>1964.07</v>
      </c>
    </row>
    <row r="837" spans="1:27" x14ac:dyDescent="0.2">
      <c r="A837" s="3" t="s">
        <v>2387</v>
      </c>
      <c r="B837" s="2" t="s">
        <v>2388</v>
      </c>
      <c r="C837" s="8">
        <v>23725</v>
      </c>
      <c r="D837" s="2">
        <v>1964</v>
      </c>
      <c r="E837" s="2">
        <v>1960</v>
      </c>
      <c r="F837" s="2">
        <v>0</v>
      </c>
      <c r="G837" s="2">
        <v>0</v>
      </c>
      <c r="H837" s="3" t="s">
        <v>27</v>
      </c>
      <c r="I837" s="3" t="s">
        <v>4831</v>
      </c>
      <c r="J837" s="3" t="s">
        <v>2385</v>
      </c>
      <c r="K837" s="21" t="s">
        <v>2386</v>
      </c>
      <c r="L837" s="10">
        <v>23560</v>
      </c>
      <c r="M837" s="4">
        <f>5</f>
        <v>5</v>
      </c>
      <c r="N837" s="2">
        <v>88</v>
      </c>
      <c r="O837" s="2">
        <v>5</v>
      </c>
      <c r="Q837" s="2">
        <v>1</v>
      </c>
      <c r="R837" s="2">
        <v>1</v>
      </c>
      <c r="S837" s="11">
        <v>1</v>
      </c>
      <c r="T837" s="11">
        <v>0</v>
      </c>
      <c r="U837" s="11">
        <v>0</v>
      </c>
      <c r="V837" s="2">
        <v>0</v>
      </c>
      <c r="W837" s="2">
        <v>1</v>
      </c>
      <c r="X837" s="2">
        <v>0</v>
      </c>
      <c r="Y837" s="2">
        <v>0</v>
      </c>
      <c r="Z837" s="27">
        <v>1964.018</v>
      </c>
      <c r="AA837" s="31">
        <v>1964.08</v>
      </c>
    </row>
    <row r="838" spans="1:27" x14ac:dyDescent="0.2">
      <c r="A838" s="3" t="s">
        <v>2416</v>
      </c>
      <c r="B838" s="2" t="s">
        <v>2417</v>
      </c>
      <c r="C838" s="8">
        <v>23809</v>
      </c>
      <c r="D838" s="2">
        <v>1965</v>
      </c>
      <c r="E838" s="2">
        <v>1960</v>
      </c>
      <c r="F838" s="2">
        <v>0</v>
      </c>
      <c r="G838" s="2">
        <v>0</v>
      </c>
      <c r="H838" s="3" t="s">
        <v>27</v>
      </c>
      <c r="I838" s="3" t="s">
        <v>4965</v>
      </c>
      <c r="J838" s="3" t="s">
        <v>2418</v>
      </c>
      <c r="K838" s="21" t="s">
        <v>2419</v>
      </c>
      <c r="L838" s="10">
        <v>22042</v>
      </c>
      <c r="M838" s="4">
        <f>10+48</f>
        <v>58</v>
      </c>
      <c r="N838" s="2">
        <v>86</v>
      </c>
      <c r="O838" s="2">
        <v>5</v>
      </c>
      <c r="Q838" s="2">
        <v>1</v>
      </c>
      <c r="R838" s="2">
        <v>1</v>
      </c>
      <c r="S838" s="11">
        <v>1</v>
      </c>
      <c r="T838" s="11">
        <v>0</v>
      </c>
      <c r="U838" s="11">
        <v>1</v>
      </c>
      <c r="V838" s="2">
        <v>0</v>
      </c>
      <c r="W838" s="2">
        <v>1</v>
      </c>
      <c r="X838" s="2">
        <v>0</v>
      </c>
      <c r="Y838" s="2">
        <v>0</v>
      </c>
      <c r="Z838" s="27">
        <v>1964.0530000000001</v>
      </c>
      <c r="AA838" s="31">
        <v>1965.01</v>
      </c>
    </row>
    <row r="839" spans="1:27" x14ac:dyDescent="0.2">
      <c r="A839" s="3" t="s">
        <v>2404</v>
      </c>
      <c r="B839" s="2" t="s">
        <v>2405</v>
      </c>
      <c r="C839" s="8">
        <v>23802</v>
      </c>
      <c r="D839" s="2">
        <v>1965</v>
      </c>
      <c r="E839" s="2">
        <v>1960</v>
      </c>
      <c r="F839" s="2">
        <v>0</v>
      </c>
      <c r="G839" s="2">
        <v>0</v>
      </c>
      <c r="H839" s="3" t="s">
        <v>27</v>
      </c>
      <c r="I839" s="3" t="s">
        <v>2406</v>
      </c>
      <c r="J839" s="3" t="s">
        <v>2406</v>
      </c>
      <c r="K839" s="21" t="s">
        <v>2407</v>
      </c>
      <c r="L839" s="10">
        <v>14791</v>
      </c>
      <c r="M839" s="4">
        <f>9+(12*24)</f>
        <v>297</v>
      </c>
      <c r="N839" s="2">
        <v>76</v>
      </c>
      <c r="O839" s="2">
        <v>1</v>
      </c>
      <c r="Q839" s="2">
        <v>0</v>
      </c>
      <c r="R839" s="2">
        <v>0</v>
      </c>
      <c r="S839" s="11">
        <v>1</v>
      </c>
      <c r="T839" s="11">
        <v>1</v>
      </c>
      <c r="U839" s="11">
        <v>0</v>
      </c>
      <c r="V839" s="2">
        <v>0</v>
      </c>
      <c r="W839" s="2">
        <v>1</v>
      </c>
      <c r="X839" s="2">
        <v>0</v>
      </c>
      <c r="Y839" s="2">
        <v>0</v>
      </c>
      <c r="Z839" s="27">
        <v>1964.0440000000001</v>
      </c>
      <c r="AA839" s="31">
        <v>1965.02</v>
      </c>
    </row>
    <row r="840" spans="1:27" x14ac:dyDescent="0.2">
      <c r="A840" s="3" t="s">
        <v>2400</v>
      </c>
      <c r="B840" s="2" t="s">
        <v>2401</v>
      </c>
      <c r="C840" s="8">
        <v>23858</v>
      </c>
      <c r="D840" s="2">
        <v>1965</v>
      </c>
      <c r="E840" s="2">
        <v>1960</v>
      </c>
      <c r="F840" s="2">
        <v>0</v>
      </c>
      <c r="G840" s="2">
        <v>0</v>
      </c>
      <c r="H840" s="3" t="s">
        <v>27</v>
      </c>
      <c r="I840" s="3" t="s">
        <v>5084</v>
      </c>
      <c r="J840" s="3" t="s">
        <v>2402</v>
      </c>
      <c r="K840" s="21" t="s">
        <v>2403</v>
      </c>
      <c r="L840" s="10">
        <v>17709</v>
      </c>
      <c r="M840" s="4">
        <f>10+(12*16)</f>
        <v>202</v>
      </c>
      <c r="N840" s="2">
        <v>80</v>
      </c>
      <c r="O840" s="2">
        <v>5</v>
      </c>
      <c r="Q840" s="2">
        <v>0</v>
      </c>
      <c r="R840" s="2">
        <v>0</v>
      </c>
      <c r="S840" s="11">
        <v>0</v>
      </c>
      <c r="T840" s="11">
        <v>1</v>
      </c>
      <c r="U840" s="11">
        <v>1</v>
      </c>
      <c r="V840" s="2">
        <v>0</v>
      </c>
      <c r="W840" s="2">
        <v>0</v>
      </c>
      <c r="X840" s="2">
        <v>0</v>
      </c>
      <c r="Y840" s="2">
        <v>1</v>
      </c>
      <c r="Z840" s="27">
        <v>1964.076</v>
      </c>
      <c r="AA840" s="31">
        <v>1965.03</v>
      </c>
    </row>
    <row r="841" spans="1:27" x14ac:dyDescent="0.2">
      <c r="A841" s="3" t="s">
        <v>2412</v>
      </c>
      <c r="B841" s="2" t="s">
        <v>2413</v>
      </c>
      <c r="C841" s="8">
        <v>23802</v>
      </c>
      <c r="D841" s="2">
        <v>1965</v>
      </c>
      <c r="E841" s="2">
        <v>1960</v>
      </c>
      <c r="F841" s="2">
        <v>0</v>
      </c>
      <c r="G841" s="2">
        <v>0</v>
      </c>
      <c r="H841" s="3" t="s">
        <v>27</v>
      </c>
      <c r="I841" s="3" t="s">
        <v>4966</v>
      </c>
      <c r="J841" s="3" t="s">
        <v>2414</v>
      </c>
      <c r="K841" s="21" t="s">
        <v>2415</v>
      </c>
      <c r="L841" s="10">
        <v>21430</v>
      </c>
      <c r="M841" s="4">
        <f>6+(12*6)</f>
        <v>78</v>
      </c>
      <c r="N841" s="2">
        <v>85</v>
      </c>
      <c r="O841" s="2">
        <v>1</v>
      </c>
      <c r="P841" s="2">
        <v>6</v>
      </c>
      <c r="Q841" s="2">
        <v>0</v>
      </c>
      <c r="R841" s="2">
        <v>0</v>
      </c>
      <c r="S841" s="11">
        <v>1</v>
      </c>
      <c r="T841" s="11">
        <v>1</v>
      </c>
      <c r="U841" s="11">
        <v>1</v>
      </c>
      <c r="V841" s="2">
        <v>0</v>
      </c>
      <c r="W841" s="2">
        <v>1</v>
      </c>
      <c r="X841" s="2">
        <v>2</v>
      </c>
      <c r="Y841" s="2">
        <v>0</v>
      </c>
      <c r="Z841" s="27">
        <v>1964.047</v>
      </c>
      <c r="AA841" s="31">
        <v>1965.04</v>
      </c>
    </row>
    <row r="842" spans="1:27" x14ac:dyDescent="0.2">
      <c r="A842" s="3" t="s">
        <v>2420</v>
      </c>
      <c r="B842" s="2" t="s">
        <v>2421</v>
      </c>
      <c r="C842" s="8">
        <v>23865</v>
      </c>
      <c r="D842" s="2">
        <v>1965</v>
      </c>
      <c r="E842" s="2">
        <v>1960</v>
      </c>
      <c r="F842" s="2">
        <v>0</v>
      </c>
      <c r="G842" s="2">
        <v>0</v>
      </c>
      <c r="H842" s="3" t="s">
        <v>27</v>
      </c>
      <c r="I842" s="3" t="s">
        <v>5079</v>
      </c>
      <c r="J842" s="3" t="s">
        <v>2422</v>
      </c>
      <c r="K842" s="21" t="s">
        <v>2423</v>
      </c>
      <c r="L842" s="10">
        <v>9681</v>
      </c>
      <c r="M842" s="4">
        <f>10+(12*38)</f>
        <v>466</v>
      </c>
      <c r="N842" s="2">
        <v>69</v>
      </c>
      <c r="O842" s="2">
        <v>2</v>
      </c>
      <c r="P842" s="2">
        <v>6</v>
      </c>
      <c r="Q842" s="2">
        <v>0</v>
      </c>
      <c r="R842" s="2">
        <v>0</v>
      </c>
      <c r="S842" s="11">
        <v>1</v>
      </c>
      <c r="T842" s="11">
        <v>0</v>
      </c>
      <c r="U842" s="11">
        <v>0</v>
      </c>
      <c r="V842" s="2">
        <v>0</v>
      </c>
      <c r="W842" s="2">
        <v>1</v>
      </c>
      <c r="X842" s="2">
        <v>3</v>
      </c>
      <c r="Y842" s="2">
        <v>1</v>
      </c>
      <c r="Z842" s="27">
        <v>1964.095</v>
      </c>
      <c r="AA842" s="31">
        <v>1965.05</v>
      </c>
    </row>
    <row r="843" spans="1:27" x14ac:dyDescent="0.2">
      <c r="A843" s="3" t="s">
        <v>2408</v>
      </c>
      <c r="B843" s="2" t="s">
        <v>2409</v>
      </c>
      <c r="C843" s="8">
        <v>23879</v>
      </c>
      <c r="D843" s="2">
        <v>1965</v>
      </c>
      <c r="E843" s="2">
        <v>1960</v>
      </c>
      <c r="F843" s="2">
        <v>0</v>
      </c>
      <c r="G843" s="2">
        <v>0</v>
      </c>
      <c r="H843" s="3" t="s">
        <v>27</v>
      </c>
      <c r="I843" s="3" t="s">
        <v>4967</v>
      </c>
      <c r="J843" s="3" t="s">
        <v>2410</v>
      </c>
      <c r="K843" s="21" t="s">
        <v>2411</v>
      </c>
      <c r="L843" s="10">
        <v>21726</v>
      </c>
      <c r="M843" s="4">
        <f>11+60</f>
        <v>71</v>
      </c>
      <c r="N843" s="2">
        <v>86</v>
      </c>
      <c r="O843" s="2">
        <v>5</v>
      </c>
      <c r="P843" s="2">
        <v>4</v>
      </c>
      <c r="Q843" s="2">
        <v>0</v>
      </c>
      <c r="R843" s="2">
        <v>0</v>
      </c>
      <c r="S843" s="11">
        <v>1</v>
      </c>
      <c r="T843" s="11">
        <v>1</v>
      </c>
      <c r="U843" s="11">
        <v>1</v>
      </c>
      <c r="V843" s="2">
        <v>0</v>
      </c>
      <c r="W843" s="2">
        <v>1</v>
      </c>
      <c r="X843" s="2">
        <v>0</v>
      </c>
      <c r="Y843" s="2">
        <v>0</v>
      </c>
      <c r="Z843" s="27">
        <v>1964.1079999999999</v>
      </c>
      <c r="AA843" s="31">
        <v>1965.06</v>
      </c>
    </row>
    <row r="844" spans="1:27" x14ac:dyDescent="0.2">
      <c r="A844" s="3" t="s">
        <v>4034</v>
      </c>
      <c r="B844" s="2" t="s">
        <v>4035</v>
      </c>
      <c r="C844" s="8">
        <v>23886</v>
      </c>
      <c r="D844" s="2">
        <v>1965</v>
      </c>
      <c r="E844" s="2">
        <v>1960</v>
      </c>
      <c r="F844" s="2">
        <v>2</v>
      </c>
      <c r="G844" s="2">
        <v>1</v>
      </c>
      <c r="H844" s="3" t="s">
        <v>3434</v>
      </c>
      <c r="I844" s="3" t="s">
        <v>4968</v>
      </c>
      <c r="J844" s="3" t="s">
        <v>4036</v>
      </c>
      <c r="K844" s="21" t="s">
        <v>4037</v>
      </c>
      <c r="L844" s="10">
        <v>22930</v>
      </c>
      <c r="M844" s="4">
        <f>7+24</f>
        <v>31</v>
      </c>
      <c r="N844" s="2">
        <v>87</v>
      </c>
      <c r="O844" s="2">
        <v>2</v>
      </c>
      <c r="Q844" s="2">
        <v>0</v>
      </c>
      <c r="R844" s="2">
        <v>0</v>
      </c>
      <c r="S844" s="11">
        <v>1</v>
      </c>
      <c r="T844" s="11">
        <v>0</v>
      </c>
      <c r="U844" s="11">
        <v>0</v>
      </c>
      <c r="V844" s="2">
        <v>1</v>
      </c>
      <c r="W844" s="2">
        <v>1</v>
      </c>
      <c r="X844" s="2">
        <v>0</v>
      </c>
      <c r="Y844" s="2">
        <v>0</v>
      </c>
      <c r="Z844" s="27">
        <v>1964.1110000000001</v>
      </c>
      <c r="AA844" s="31">
        <v>1965.07</v>
      </c>
    </row>
    <row r="845" spans="1:27" x14ac:dyDescent="0.2">
      <c r="A845" s="3" t="s">
        <v>4038</v>
      </c>
      <c r="B845" s="2" t="s">
        <v>4039</v>
      </c>
      <c r="C845" s="8">
        <v>23900</v>
      </c>
      <c r="D845" s="2">
        <v>1965</v>
      </c>
      <c r="E845" s="2">
        <v>1960</v>
      </c>
      <c r="F845" s="2">
        <v>1</v>
      </c>
      <c r="G845" s="2">
        <v>1</v>
      </c>
      <c r="H845" s="3" t="s">
        <v>3434</v>
      </c>
      <c r="I845" t="s">
        <v>5061</v>
      </c>
      <c r="J845" s="3" t="s">
        <v>4040</v>
      </c>
      <c r="K845" s="21" t="s">
        <v>2812</v>
      </c>
      <c r="L845" s="10">
        <v>21807</v>
      </c>
      <c r="M845" s="4">
        <f>9+60</f>
        <v>69</v>
      </c>
      <c r="N845" s="2">
        <v>86</v>
      </c>
      <c r="O845" s="2">
        <v>6</v>
      </c>
      <c r="P845" s="2">
        <v>1</v>
      </c>
      <c r="Q845" s="2">
        <v>1</v>
      </c>
      <c r="R845" s="2">
        <v>0</v>
      </c>
      <c r="S845" s="11">
        <v>1</v>
      </c>
      <c r="T845" s="11">
        <v>1</v>
      </c>
      <c r="U845" s="11">
        <v>0</v>
      </c>
      <c r="V845" s="2">
        <v>1</v>
      </c>
      <c r="W845" s="2">
        <v>1</v>
      </c>
      <c r="X845" s="2">
        <v>4</v>
      </c>
      <c r="Y845" s="2">
        <v>0</v>
      </c>
      <c r="Z845" s="27">
        <v>1964.12</v>
      </c>
      <c r="AA845" s="31">
        <v>1965.08</v>
      </c>
    </row>
    <row r="846" spans="1:27" x14ac:dyDescent="0.2">
      <c r="A846" s="3" t="s">
        <v>4041</v>
      </c>
      <c r="B846" s="2" t="s">
        <v>4042</v>
      </c>
      <c r="C846" s="8">
        <v>24068</v>
      </c>
      <c r="D846" s="2">
        <v>1965</v>
      </c>
      <c r="E846" s="2">
        <v>1960</v>
      </c>
      <c r="F846" s="2">
        <v>1</v>
      </c>
      <c r="G846" s="2">
        <v>1</v>
      </c>
      <c r="H846" s="3" t="s">
        <v>3442</v>
      </c>
      <c r="I846" s="3" t="s">
        <v>4966</v>
      </c>
      <c r="J846" s="3" t="s">
        <v>2414</v>
      </c>
      <c r="K846" s="21" t="s">
        <v>2415</v>
      </c>
      <c r="L846" s="10">
        <v>21430</v>
      </c>
      <c r="M846" s="4">
        <f>2+(12*7)</f>
        <v>86</v>
      </c>
      <c r="N846" s="2">
        <v>85</v>
      </c>
      <c r="O846" s="2">
        <v>1</v>
      </c>
      <c r="Q846" s="2">
        <v>0</v>
      </c>
      <c r="R846" s="2">
        <v>0</v>
      </c>
      <c r="S846" s="11">
        <v>1</v>
      </c>
      <c r="T846" s="11">
        <v>1</v>
      </c>
      <c r="U846" s="11">
        <v>0</v>
      </c>
      <c r="V846" s="2">
        <v>1</v>
      </c>
      <c r="W846" s="2">
        <v>1</v>
      </c>
      <c r="X846" s="2">
        <v>0</v>
      </c>
      <c r="Y846" s="2">
        <v>0</v>
      </c>
      <c r="Z846" s="27">
        <v>1965.0139999999999</v>
      </c>
      <c r="AA846" s="31">
        <v>1965.09</v>
      </c>
    </row>
    <row r="847" spans="1:27" x14ac:dyDescent="0.2">
      <c r="A847" s="3" t="s">
        <v>4031</v>
      </c>
      <c r="B847" s="2" t="s">
        <v>4032</v>
      </c>
      <c r="C847" s="8">
        <v>24061</v>
      </c>
      <c r="D847" s="2">
        <v>1965</v>
      </c>
      <c r="E847" s="2">
        <v>1960</v>
      </c>
      <c r="F847" s="2">
        <v>1</v>
      </c>
      <c r="G847" s="2">
        <v>1</v>
      </c>
      <c r="H847" s="3" t="s">
        <v>3442</v>
      </c>
      <c r="I847" s="3" t="s">
        <v>4963</v>
      </c>
      <c r="J847" s="3" t="s">
        <v>4033</v>
      </c>
      <c r="K847" s="3" t="s">
        <v>2182</v>
      </c>
      <c r="L847" s="10">
        <v>18529</v>
      </c>
      <c r="M847" s="4">
        <f>2+(12*15)</f>
        <v>182</v>
      </c>
      <c r="N847" s="2">
        <v>81</v>
      </c>
      <c r="O847" s="2">
        <v>1</v>
      </c>
      <c r="Q847" s="2">
        <v>1</v>
      </c>
      <c r="R847" s="2">
        <v>1</v>
      </c>
      <c r="S847" s="11">
        <v>1</v>
      </c>
      <c r="T847" s="11">
        <v>1</v>
      </c>
      <c r="U847" s="11">
        <v>1</v>
      </c>
      <c r="V847" s="2">
        <v>1</v>
      </c>
      <c r="W847" s="2">
        <v>1</v>
      </c>
      <c r="X847" s="2">
        <v>0</v>
      </c>
      <c r="Y847" s="2">
        <v>0</v>
      </c>
      <c r="Z847" s="27">
        <v>1965.01</v>
      </c>
      <c r="AA847" s="31">
        <v>1965.1</v>
      </c>
    </row>
    <row r="848" spans="1:27" x14ac:dyDescent="0.2">
      <c r="A848" s="3" t="s">
        <v>2433</v>
      </c>
      <c r="B848" s="2" t="s">
        <v>2434</v>
      </c>
      <c r="C848" s="8">
        <v>24124</v>
      </c>
      <c r="D848" s="2">
        <v>1966</v>
      </c>
      <c r="E848" s="2">
        <v>1960</v>
      </c>
      <c r="F848" s="2">
        <v>0</v>
      </c>
      <c r="G848" s="2">
        <v>0</v>
      </c>
      <c r="H848" s="3" t="s">
        <v>27</v>
      </c>
      <c r="I848" s="3" t="s">
        <v>4904</v>
      </c>
      <c r="J848" s="3" t="s">
        <v>2435</v>
      </c>
      <c r="K848" s="3" t="s">
        <v>2436</v>
      </c>
      <c r="L848" s="10">
        <v>14053</v>
      </c>
      <c r="M848" s="4">
        <f>7+(27*12)</f>
        <v>331</v>
      </c>
      <c r="N848" s="2">
        <v>75</v>
      </c>
      <c r="O848" s="2">
        <v>1</v>
      </c>
      <c r="Q848" s="2">
        <v>1</v>
      </c>
      <c r="R848" s="2">
        <v>0</v>
      </c>
      <c r="S848" s="11">
        <v>0</v>
      </c>
      <c r="T848" s="11">
        <v>1</v>
      </c>
      <c r="U848" s="11">
        <v>0</v>
      </c>
      <c r="V848" s="2">
        <v>0</v>
      </c>
      <c r="W848" s="2">
        <v>0</v>
      </c>
      <c r="X848" s="2">
        <v>2</v>
      </c>
      <c r="Y848" s="2">
        <v>0</v>
      </c>
      <c r="Z848" s="27">
        <v>1965.0360000000001</v>
      </c>
      <c r="AA848" s="31">
        <v>1966.01</v>
      </c>
    </row>
    <row r="849" spans="1:27" x14ac:dyDescent="0.2">
      <c r="A849" s="3" t="s">
        <v>4043</v>
      </c>
      <c r="B849" s="2" t="s">
        <v>4044</v>
      </c>
      <c r="C849" s="8">
        <v>24162</v>
      </c>
      <c r="D849" s="2">
        <v>1966</v>
      </c>
      <c r="E849" s="2">
        <v>1960</v>
      </c>
      <c r="F849" s="2">
        <v>1</v>
      </c>
      <c r="G849" s="2">
        <v>1</v>
      </c>
      <c r="H849" s="3" t="s">
        <v>3442</v>
      </c>
      <c r="I849" s="3" t="s">
        <v>2427</v>
      </c>
      <c r="J849" s="3" t="s">
        <v>2427</v>
      </c>
      <c r="K849" s="21" t="s">
        <v>2428</v>
      </c>
      <c r="L849" s="10">
        <v>16342</v>
      </c>
      <c r="M849" s="4">
        <f>5+(12*21)</f>
        <v>257</v>
      </c>
      <c r="N849" s="2">
        <v>78</v>
      </c>
      <c r="O849" s="2">
        <v>6</v>
      </c>
      <c r="P849" s="2">
        <v>2</v>
      </c>
      <c r="Q849" s="2">
        <v>0</v>
      </c>
      <c r="R849" s="2">
        <v>0</v>
      </c>
      <c r="S849" s="11">
        <v>1</v>
      </c>
      <c r="T849" s="11">
        <v>1</v>
      </c>
      <c r="U849" s="11">
        <v>0</v>
      </c>
      <c r="V849" s="2">
        <v>0</v>
      </c>
      <c r="W849" s="2">
        <v>1</v>
      </c>
      <c r="X849" s="2">
        <v>3</v>
      </c>
      <c r="Y849" s="2">
        <v>0</v>
      </c>
      <c r="Z849" s="27">
        <v>1965.0540000000001</v>
      </c>
      <c r="AA849" s="31">
        <v>1966.02</v>
      </c>
    </row>
    <row r="850" spans="1:27" x14ac:dyDescent="0.2">
      <c r="A850" s="3" t="s">
        <v>2441</v>
      </c>
      <c r="B850" s="2" t="s">
        <v>2442</v>
      </c>
      <c r="C850" s="8">
        <v>24173</v>
      </c>
      <c r="D850" s="2">
        <v>1966</v>
      </c>
      <c r="E850" s="2">
        <v>1960</v>
      </c>
      <c r="F850" s="2">
        <v>0</v>
      </c>
      <c r="G850" s="2">
        <v>0</v>
      </c>
      <c r="H850" s="3" t="s">
        <v>27</v>
      </c>
      <c r="I850" s="3" t="s">
        <v>4885</v>
      </c>
      <c r="J850" s="3" t="s">
        <v>2443</v>
      </c>
      <c r="K850" s="21" t="s">
        <v>2440</v>
      </c>
      <c r="L850" s="10">
        <v>23960</v>
      </c>
      <c r="M850" s="4">
        <f>6</f>
        <v>6</v>
      </c>
      <c r="N850" s="2">
        <v>89</v>
      </c>
      <c r="O850" s="2">
        <v>5</v>
      </c>
      <c r="P850" s="2">
        <v>1</v>
      </c>
      <c r="Q850" s="2">
        <v>0</v>
      </c>
      <c r="R850" s="2">
        <v>0</v>
      </c>
      <c r="S850" s="11">
        <v>1</v>
      </c>
      <c r="T850" s="11">
        <v>0</v>
      </c>
      <c r="U850" s="11">
        <v>0</v>
      </c>
      <c r="V850" s="2">
        <v>0</v>
      </c>
      <c r="W850" s="2">
        <v>1</v>
      </c>
      <c r="X850" s="2">
        <v>1</v>
      </c>
      <c r="Y850" s="2">
        <v>0</v>
      </c>
      <c r="Z850" s="27">
        <v>1965.0640000000001</v>
      </c>
      <c r="AA850" s="31">
        <v>1966.03</v>
      </c>
    </row>
    <row r="851" spans="1:27" x14ac:dyDescent="0.2">
      <c r="A851" s="3" t="s">
        <v>2429</v>
      </c>
      <c r="B851" s="2" t="s">
        <v>2430</v>
      </c>
      <c r="C851" s="8">
        <v>24187</v>
      </c>
      <c r="D851" s="2">
        <v>1966</v>
      </c>
      <c r="E851" s="2">
        <v>1960</v>
      </c>
      <c r="F851" s="2">
        <v>0</v>
      </c>
      <c r="G851" s="2">
        <v>0</v>
      </c>
      <c r="H851" s="3" t="s">
        <v>27</v>
      </c>
      <c r="I851" s="3" t="s">
        <v>2431</v>
      </c>
      <c r="J851" s="3" t="s">
        <v>2431</v>
      </c>
      <c r="K851" s="21" t="s">
        <v>2432</v>
      </c>
      <c r="L851" s="10">
        <v>20268</v>
      </c>
      <c r="M851" s="4">
        <f>9+(12*10)</f>
        <v>129</v>
      </c>
      <c r="N851" s="2">
        <v>84</v>
      </c>
      <c r="O851" s="2">
        <v>2</v>
      </c>
      <c r="Q851" s="2">
        <v>0</v>
      </c>
      <c r="R851" s="2">
        <v>0</v>
      </c>
      <c r="S851" s="11">
        <v>1</v>
      </c>
      <c r="T851" s="11">
        <v>1</v>
      </c>
      <c r="U851" s="11">
        <v>0</v>
      </c>
      <c r="V851" s="2">
        <v>0</v>
      </c>
      <c r="W851" s="2">
        <v>1</v>
      </c>
      <c r="X851" s="2">
        <v>4</v>
      </c>
      <c r="Y851" s="2">
        <v>0</v>
      </c>
      <c r="Z851" s="27">
        <v>1965.069</v>
      </c>
      <c r="AA851" s="31">
        <v>1966.04</v>
      </c>
    </row>
    <row r="852" spans="1:27" x14ac:dyDescent="0.2">
      <c r="A852" s="3" t="s">
        <v>2444</v>
      </c>
      <c r="B852" s="2" t="s">
        <v>2445</v>
      </c>
      <c r="C852" s="8">
        <v>24194</v>
      </c>
      <c r="D852" s="2">
        <v>1966</v>
      </c>
      <c r="E852" s="2">
        <v>1960</v>
      </c>
      <c r="F852" s="2">
        <v>0</v>
      </c>
      <c r="G852" s="2">
        <v>0</v>
      </c>
      <c r="H852" s="3" t="s">
        <v>27</v>
      </c>
      <c r="I852" s="3" t="s">
        <v>429</v>
      </c>
      <c r="J852" s="3" t="s">
        <v>660</v>
      </c>
      <c r="K852" s="15"/>
      <c r="L852" s="4" t="s">
        <v>430</v>
      </c>
      <c r="M852" s="4">
        <f>10+(12*95)</f>
        <v>1150</v>
      </c>
      <c r="N852" s="2">
        <v>41</v>
      </c>
      <c r="O852" s="2">
        <v>1</v>
      </c>
      <c r="Q852" s="2">
        <v>1</v>
      </c>
      <c r="R852" s="2">
        <v>1</v>
      </c>
      <c r="S852" s="11">
        <v>1</v>
      </c>
      <c r="T852" s="11">
        <v>0</v>
      </c>
      <c r="U852" s="11">
        <v>1</v>
      </c>
      <c r="V852" s="2">
        <v>0</v>
      </c>
      <c r="W852" s="2">
        <v>1</v>
      </c>
      <c r="X852" s="2">
        <v>4</v>
      </c>
      <c r="Y852" s="2">
        <v>1</v>
      </c>
      <c r="Z852" s="27">
        <v>1965.0830000000001</v>
      </c>
      <c r="AA852" s="31">
        <v>1966.05</v>
      </c>
    </row>
    <row r="853" spans="1:27" x14ac:dyDescent="0.2">
      <c r="A853" s="3" t="s">
        <v>2424</v>
      </c>
      <c r="B853" s="2" t="s">
        <v>2425</v>
      </c>
      <c r="C853" s="8">
        <v>24264</v>
      </c>
      <c r="D853" s="2">
        <v>1966</v>
      </c>
      <c r="E853" s="2">
        <v>1960</v>
      </c>
      <c r="F853" s="2">
        <v>0</v>
      </c>
      <c r="G853" s="2">
        <v>0</v>
      </c>
      <c r="H853" s="3" t="s">
        <v>27</v>
      </c>
      <c r="I853" s="3" t="s">
        <v>1312</v>
      </c>
      <c r="J853" s="21" t="s">
        <v>1313</v>
      </c>
      <c r="K853" s="21" t="s">
        <v>1314</v>
      </c>
      <c r="L853" s="10">
        <v>5402</v>
      </c>
      <c r="M853" s="4">
        <f>8+(12*51)</f>
        <v>620</v>
      </c>
      <c r="N853" s="2">
        <v>63</v>
      </c>
      <c r="O853" s="2">
        <v>1</v>
      </c>
      <c r="Q853" s="2">
        <v>1</v>
      </c>
      <c r="R853" s="2">
        <v>1</v>
      </c>
      <c r="S853" s="11">
        <v>1</v>
      </c>
      <c r="T853" s="11">
        <v>1</v>
      </c>
      <c r="U853" s="11">
        <v>0</v>
      </c>
      <c r="V853" s="2">
        <v>0</v>
      </c>
      <c r="W853" s="2">
        <v>1</v>
      </c>
      <c r="X853" s="2">
        <v>2</v>
      </c>
      <c r="Y853" s="2">
        <v>0</v>
      </c>
      <c r="Z853" s="27">
        <v>1965.1189999999999</v>
      </c>
      <c r="AA853" s="31">
        <v>1966.06</v>
      </c>
    </row>
    <row r="854" spans="1:27" x14ac:dyDescent="0.2">
      <c r="A854" s="3" t="s">
        <v>2437</v>
      </c>
      <c r="B854" s="2" t="s">
        <v>2438</v>
      </c>
      <c r="C854" s="8">
        <v>24271</v>
      </c>
      <c r="D854" s="2">
        <v>1966</v>
      </c>
      <c r="E854" s="2">
        <v>1960</v>
      </c>
      <c r="F854" s="2">
        <v>0</v>
      </c>
      <c r="G854" s="2">
        <v>0</v>
      </c>
      <c r="H854" s="3" t="s">
        <v>27</v>
      </c>
      <c r="I854" s="3" t="s">
        <v>4885</v>
      </c>
      <c r="J854" s="3" t="s">
        <v>2439</v>
      </c>
      <c r="K854" s="21" t="s">
        <v>2440</v>
      </c>
      <c r="L854" s="10">
        <v>23960</v>
      </c>
      <c r="M854" s="4">
        <f>9</f>
        <v>9</v>
      </c>
      <c r="N854" s="2">
        <v>89</v>
      </c>
      <c r="O854" s="2">
        <v>5</v>
      </c>
      <c r="Q854" s="2">
        <v>1</v>
      </c>
      <c r="R854" s="2">
        <v>1</v>
      </c>
      <c r="S854" s="11">
        <v>0</v>
      </c>
      <c r="T854" s="11">
        <v>0</v>
      </c>
      <c r="U854" s="11">
        <v>1</v>
      </c>
      <c r="V854" s="2">
        <v>0</v>
      </c>
      <c r="W854" s="2">
        <v>1</v>
      </c>
      <c r="X854" s="2">
        <v>2</v>
      </c>
      <c r="Y854" s="2">
        <v>0</v>
      </c>
      <c r="Z854" s="27">
        <v>1965.126</v>
      </c>
      <c r="AA854" s="31">
        <v>1966.07</v>
      </c>
    </row>
    <row r="855" spans="1:27" x14ac:dyDescent="0.2">
      <c r="A855" s="3" t="s">
        <v>2154</v>
      </c>
      <c r="B855" s="2" t="s">
        <v>2426</v>
      </c>
      <c r="C855" s="8">
        <v>24278</v>
      </c>
      <c r="D855" s="2">
        <v>1966</v>
      </c>
      <c r="E855" s="2">
        <v>1960</v>
      </c>
      <c r="F855" s="2">
        <v>0</v>
      </c>
      <c r="G855" s="2">
        <v>0</v>
      </c>
      <c r="H855" s="3" t="s">
        <v>27</v>
      </c>
      <c r="I855" s="3" t="s">
        <v>2427</v>
      </c>
      <c r="J855" s="3" t="s">
        <v>2427</v>
      </c>
      <c r="K855" s="21" t="s">
        <v>2428</v>
      </c>
      <c r="L855" s="10">
        <v>16342</v>
      </c>
      <c r="M855" s="4">
        <f>9+(12*21)</f>
        <v>261</v>
      </c>
      <c r="N855" s="2">
        <v>78</v>
      </c>
      <c r="O855" s="2">
        <v>1</v>
      </c>
      <c r="Q855" s="2">
        <v>0</v>
      </c>
      <c r="R855" s="2">
        <v>0</v>
      </c>
      <c r="S855" s="11">
        <v>1</v>
      </c>
      <c r="T855" s="11">
        <v>1</v>
      </c>
      <c r="U855" s="11">
        <v>1</v>
      </c>
      <c r="V855" s="2">
        <v>0</v>
      </c>
      <c r="W855" s="2">
        <v>1</v>
      </c>
      <c r="X855" s="2">
        <v>2</v>
      </c>
      <c r="Y855" s="2">
        <v>0</v>
      </c>
      <c r="Z855" s="27">
        <v>1965.135</v>
      </c>
      <c r="AA855" s="31">
        <v>1966.08</v>
      </c>
    </row>
    <row r="856" spans="1:27" x14ac:dyDescent="0.2">
      <c r="A856" s="3" t="s">
        <v>2453</v>
      </c>
      <c r="B856" s="2" t="s">
        <v>2454</v>
      </c>
      <c r="C856" s="8">
        <v>24572</v>
      </c>
      <c r="D856" s="2">
        <v>1967</v>
      </c>
      <c r="E856" s="2">
        <v>1960</v>
      </c>
      <c r="F856" s="2">
        <v>0</v>
      </c>
      <c r="G856" s="2">
        <v>0</v>
      </c>
      <c r="H856" s="3" t="s">
        <v>27</v>
      </c>
      <c r="I856" t="s">
        <v>5082</v>
      </c>
      <c r="J856" s="3" t="s">
        <v>1810</v>
      </c>
      <c r="K856" s="21" t="s">
        <v>1811</v>
      </c>
      <c r="L856" s="10">
        <v>13169</v>
      </c>
      <c r="M856" s="4">
        <f>3+(12*31)</f>
        <v>375</v>
      </c>
      <c r="N856" s="2">
        <v>74</v>
      </c>
      <c r="O856" s="2">
        <v>6</v>
      </c>
      <c r="Q856" s="2">
        <v>0</v>
      </c>
      <c r="R856" s="2">
        <v>0</v>
      </c>
      <c r="S856" s="11">
        <v>0</v>
      </c>
      <c r="T856" s="11">
        <v>1</v>
      </c>
      <c r="U856" s="11">
        <v>1</v>
      </c>
      <c r="V856" s="2">
        <v>0</v>
      </c>
      <c r="W856" s="2">
        <v>0</v>
      </c>
      <c r="X856" s="2">
        <v>1</v>
      </c>
      <c r="Y856" s="2">
        <v>0</v>
      </c>
      <c r="Z856" s="27">
        <v>1966.075</v>
      </c>
      <c r="AA856" s="31">
        <v>1967.01</v>
      </c>
    </row>
    <row r="857" spans="1:27" x14ac:dyDescent="0.2">
      <c r="A857" s="3" t="s">
        <v>2446</v>
      </c>
      <c r="B857" s="2" t="s">
        <v>2447</v>
      </c>
      <c r="C857" s="8">
        <v>24614</v>
      </c>
      <c r="D857" s="2">
        <v>1967</v>
      </c>
      <c r="E857" s="2">
        <v>1960</v>
      </c>
      <c r="F857" s="2">
        <v>0</v>
      </c>
      <c r="G857" s="2">
        <v>0</v>
      </c>
      <c r="H857" s="3" t="s">
        <v>27</v>
      </c>
      <c r="I857" s="3" t="s">
        <v>4538</v>
      </c>
      <c r="J857" s="3" t="s">
        <v>2448</v>
      </c>
      <c r="K857" s="21" t="s">
        <v>2238</v>
      </c>
      <c r="L857" s="10">
        <v>19172</v>
      </c>
      <c r="M857" s="4">
        <f>11+(12*14)</f>
        <v>179</v>
      </c>
      <c r="N857" s="2">
        <v>82</v>
      </c>
      <c r="O857" s="2">
        <v>1</v>
      </c>
      <c r="Q857" s="2">
        <v>1</v>
      </c>
      <c r="R857" s="2">
        <v>1</v>
      </c>
      <c r="S857" s="11">
        <v>1</v>
      </c>
      <c r="T857" s="11">
        <v>1</v>
      </c>
      <c r="U857" s="11">
        <v>0</v>
      </c>
      <c r="V857" s="2">
        <v>0</v>
      </c>
      <c r="W857" s="2">
        <v>1</v>
      </c>
      <c r="X857" s="2">
        <v>3</v>
      </c>
      <c r="Y857" s="2">
        <v>0</v>
      </c>
      <c r="Z857" s="27">
        <v>1966.1</v>
      </c>
      <c r="AA857" s="31">
        <v>1967.02</v>
      </c>
    </row>
    <row r="858" spans="1:27" x14ac:dyDescent="0.2">
      <c r="A858" s="3" t="s">
        <v>4045</v>
      </c>
      <c r="B858" s="2" t="s">
        <v>4046</v>
      </c>
      <c r="C858" s="8">
        <v>24621</v>
      </c>
      <c r="D858" s="2">
        <v>1967</v>
      </c>
      <c r="E858" s="2">
        <v>1960</v>
      </c>
      <c r="F858" s="2">
        <v>2</v>
      </c>
      <c r="G858" s="2">
        <v>1</v>
      </c>
      <c r="H858" s="3" t="s">
        <v>3434</v>
      </c>
      <c r="I858" s="3" t="s">
        <v>4538</v>
      </c>
      <c r="J858" s="3" t="s">
        <v>4047</v>
      </c>
      <c r="K858" s="21" t="s">
        <v>2238</v>
      </c>
      <c r="L858" s="10">
        <v>19172</v>
      </c>
      <c r="M858" s="4">
        <f>11+(12*14)</f>
        <v>179</v>
      </c>
      <c r="N858" s="2">
        <v>82</v>
      </c>
      <c r="O858" s="2">
        <v>2</v>
      </c>
      <c r="Q858" s="2">
        <v>1</v>
      </c>
      <c r="R858" s="2">
        <v>0</v>
      </c>
      <c r="S858" s="11">
        <v>1</v>
      </c>
      <c r="T858" s="11">
        <v>1</v>
      </c>
      <c r="U858" s="11">
        <v>1</v>
      </c>
      <c r="V858" s="2">
        <v>1</v>
      </c>
      <c r="W858" s="2">
        <v>1</v>
      </c>
      <c r="X858" s="2">
        <v>4</v>
      </c>
      <c r="Y858" s="2">
        <v>0</v>
      </c>
      <c r="Z858" s="27">
        <v>1966.1079999999999</v>
      </c>
      <c r="AA858" s="31">
        <v>1967.03</v>
      </c>
    </row>
    <row r="859" spans="1:27" x14ac:dyDescent="0.2">
      <c r="A859" s="3" t="s">
        <v>2449</v>
      </c>
      <c r="B859" s="2" t="s">
        <v>2450</v>
      </c>
      <c r="C859" s="8">
        <v>24635</v>
      </c>
      <c r="D859" s="2">
        <v>1967</v>
      </c>
      <c r="E859" s="2">
        <v>1960</v>
      </c>
      <c r="F859" s="2">
        <v>0</v>
      </c>
      <c r="G859" s="2">
        <v>0</v>
      </c>
      <c r="H859" s="3" t="s">
        <v>27</v>
      </c>
      <c r="I859" s="3" t="s">
        <v>2451</v>
      </c>
      <c r="J859" s="3" t="s">
        <v>2451</v>
      </c>
      <c r="K859" s="21" t="s">
        <v>2452</v>
      </c>
      <c r="L859" s="10">
        <v>19970</v>
      </c>
      <c r="M859" s="4">
        <f>9+(12*12)</f>
        <v>153</v>
      </c>
      <c r="N859" s="2">
        <v>83</v>
      </c>
      <c r="O859" s="2">
        <v>5</v>
      </c>
      <c r="Q859" s="2">
        <v>0</v>
      </c>
      <c r="R859" s="2">
        <v>0</v>
      </c>
      <c r="S859" s="11">
        <v>0</v>
      </c>
      <c r="T859" s="11">
        <v>1</v>
      </c>
      <c r="U859" s="11">
        <v>0</v>
      </c>
      <c r="V859" s="2">
        <v>0</v>
      </c>
      <c r="W859" s="2">
        <v>0</v>
      </c>
      <c r="X859" s="2">
        <v>3</v>
      </c>
      <c r="Y859" s="2">
        <v>1</v>
      </c>
      <c r="Z859" s="27">
        <v>1966.1310000000001</v>
      </c>
      <c r="AA859" s="31">
        <v>1967.04</v>
      </c>
    </row>
    <row r="860" spans="1:27" x14ac:dyDescent="0.2">
      <c r="A860" s="3" t="s">
        <v>4048</v>
      </c>
      <c r="B860" s="2" t="s">
        <v>4049</v>
      </c>
      <c r="C860" s="8">
        <v>24817</v>
      </c>
      <c r="D860" s="2">
        <v>1967</v>
      </c>
      <c r="E860" s="2">
        <v>1960</v>
      </c>
      <c r="F860" s="2">
        <v>2</v>
      </c>
      <c r="G860" s="2">
        <v>1</v>
      </c>
      <c r="H860" s="3" t="s">
        <v>3434</v>
      </c>
      <c r="I860" s="3" t="s">
        <v>4963</v>
      </c>
      <c r="J860" s="3" t="s">
        <v>4050</v>
      </c>
      <c r="K860" s="3" t="s">
        <v>2182</v>
      </c>
      <c r="L860" s="10">
        <v>18529</v>
      </c>
      <c r="M860" s="4">
        <f>3+(12*16)</f>
        <v>195</v>
      </c>
      <c r="N860" s="2">
        <v>81</v>
      </c>
      <c r="O860" s="2">
        <v>2</v>
      </c>
      <c r="Q860" s="2">
        <v>1</v>
      </c>
      <c r="R860" s="2">
        <v>1</v>
      </c>
      <c r="S860" s="11">
        <v>1</v>
      </c>
      <c r="T860" s="11">
        <v>0</v>
      </c>
      <c r="U860" s="11">
        <v>0</v>
      </c>
      <c r="V860" s="2">
        <v>1</v>
      </c>
      <c r="W860" s="2">
        <v>1</v>
      </c>
      <c r="X860" s="2">
        <v>2</v>
      </c>
      <c r="Y860" s="2">
        <v>0</v>
      </c>
      <c r="Z860" s="27">
        <v>1967.0329999999999</v>
      </c>
      <c r="AA860" s="31">
        <v>1967.05</v>
      </c>
    </row>
    <row r="861" spans="1:27" x14ac:dyDescent="0.2">
      <c r="A861" s="3" t="s">
        <v>4058</v>
      </c>
      <c r="B861" s="2" t="s">
        <v>4059</v>
      </c>
      <c r="C861" s="8">
        <v>24853</v>
      </c>
      <c r="D861" s="2">
        <v>1968</v>
      </c>
      <c r="E861" s="2">
        <v>1960</v>
      </c>
      <c r="F861" s="2">
        <v>1</v>
      </c>
      <c r="G861" s="2">
        <v>1</v>
      </c>
      <c r="H861" s="3" t="s">
        <v>3442</v>
      </c>
      <c r="I861" t="s">
        <v>5062</v>
      </c>
      <c r="J861" s="3" t="s">
        <v>4060</v>
      </c>
      <c r="K861" s="21" t="s">
        <v>4061</v>
      </c>
      <c r="L861" s="10">
        <v>18484</v>
      </c>
      <c r="M861" s="4">
        <f>5+(12*17)</f>
        <v>209</v>
      </c>
      <c r="N861" s="2">
        <v>81</v>
      </c>
      <c r="O861" s="2">
        <v>2</v>
      </c>
      <c r="Q861" s="2">
        <v>0</v>
      </c>
      <c r="R861" s="2">
        <v>0</v>
      </c>
      <c r="S861" s="11">
        <v>1</v>
      </c>
      <c r="T861" s="11">
        <v>0</v>
      </c>
      <c r="U861" s="11">
        <v>1</v>
      </c>
      <c r="V861" s="2">
        <v>0</v>
      </c>
      <c r="W861" s="2">
        <v>1</v>
      </c>
      <c r="X861" s="2">
        <v>0</v>
      </c>
      <c r="Y861" s="2">
        <v>0</v>
      </c>
      <c r="Z861" s="27">
        <v>1967.059</v>
      </c>
      <c r="AA861" s="31">
        <v>1968.01</v>
      </c>
    </row>
    <row r="862" spans="1:27" x14ac:dyDescent="0.2">
      <c r="A862" s="3" t="s">
        <v>4056</v>
      </c>
      <c r="B862" s="2" t="s">
        <v>4057</v>
      </c>
      <c r="C862" s="8">
        <v>24866</v>
      </c>
      <c r="D862" s="2">
        <v>1968</v>
      </c>
      <c r="E862" s="2">
        <v>1960</v>
      </c>
      <c r="F862" s="2">
        <v>2</v>
      </c>
      <c r="G862" s="2">
        <v>1</v>
      </c>
      <c r="H862" s="3" t="s">
        <v>3434</v>
      </c>
      <c r="I862" s="3" t="s">
        <v>5096</v>
      </c>
      <c r="J862" s="3" t="s">
        <v>4053</v>
      </c>
      <c r="K862" s="19" t="s">
        <v>2395</v>
      </c>
      <c r="L862" s="10">
        <v>19952</v>
      </c>
      <c r="M862" s="4">
        <f>5+(12*13)</f>
        <v>161</v>
      </c>
      <c r="N862" s="2">
        <v>83</v>
      </c>
      <c r="O862" s="2">
        <v>1</v>
      </c>
      <c r="Q862" s="2">
        <v>1</v>
      </c>
      <c r="R862" s="2">
        <v>0</v>
      </c>
      <c r="S862" s="11">
        <v>1</v>
      </c>
      <c r="T862" s="11">
        <v>1</v>
      </c>
      <c r="U862" s="11">
        <v>1</v>
      </c>
      <c r="V862" s="2">
        <v>1</v>
      </c>
      <c r="W862" s="2">
        <v>1</v>
      </c>
      <c r="X862" s="2">
        <v>1</v>
      </c>
      <c r="Y862" s="2">
        <v>1</v>
      </c>
      <c r="Z862" s="27">
        <v>1967.0609999999999</v>
      </c>
      <c r="AA862" s="31">
        <v>1968.02</v>
      </c>
    </row>
    <row r="863" spans="1:27" x14ac:dyDescent="0.2">
      <c r="A863" s="3" t="s">
        <v>1499</v>
      </c>
      <c r="B863" s="2" t="s">
        <v>4062</v>
      </c>
      <c r="C863" s="8">
        <v>24936</v>
      </c>
      <c r="D863" s="2">
        <v>1968</v>
      </c>
      <c r="E863" s="2">
        <v>1960</v>
      </c>
      <c r="F863" s="2">
        <v>2</v>
      </c>
      <c r="G863" s="2">
        <v>1</v>
      </c>
      <c r="H863" s="3" t="s">
        <v>3434</v>
      </c>
      <c r="I863" s="3" t="s">
        <v>5083</v>
      </c>
      <c r="J863" s="3" t="s">
        <v>4063</v>
      </c>
      <c r="K863" s="21" t="s">
        <v>2276</v>
      </c>
      <c r="L863" s="10">
        <v>17709</v>
      </c>
      <c r="M863" s="4">
        <f>10+(12*19)</f>
        <v>238</v>
      </c>
      <c r="N863" s="2">
        <v>80</v>
      </c>
      <c r="O863" s="2">
        <v>1</v>
      </c>
      <c r="Q863" s="2">
        <v>0</v>
      </c>
      <c r="R863" s="2">
        <v>0</v>
      </c>
      <c r="S863" s="11">
        <v>1</v>
      </c>
      <c r="T863" s="11">
        <v>0</v>
      </c>
      <c r="U863" s="11">
        <v>1</v>
      </c>
      <c r="V863" s="2">
        <v>1</v>
      </c>
      <c r="W863" s="2">
        <v>1</v>
      </c>
      <c r="X863" s="2">
        <v>2</v>
      </c>
      <c r="Y863" s="2">
        <v>1</v>
      </c>
      <c r="Z863" s="27">
        <v>1967.1010000000001</v>
      </c>
      <c r="AA863" s="31">
        <v>1968.03</v>
      </c>
    </row>
    <row r="864" spans="1:27" x14ac:dyDescent="0.2">
      <c r="A864" s="3" t="s">
        <v>4051</v>
      </c>
      <c r="B864" s="2" t="s">
        <v>4052</v>
      </c>
      <c r="C864" s="8">
        <v>24866</v>
      </c>
      <c r="D864" s="2">
        <v>1968</v>
      </c>
      <c r="E864" s="2">
        <v>1960</v>
      </c>
      <c r="F864" s="2">
        <v>2</v>
      </c>
      <c r="G864" s="2">
        <v>1</v>
      </c>
      <c r="H864" s="3" t="s">
        <v>3434</v>
      </c>
      <c r="I864" s="3" t="s">
        <v>5096</v>
      </c>
      <c r="J864" s="3" t="s">
        <v>4053</v>
      </c>
      <c r="K864" s="19" t="s">
        <v>2395</v>
      </c>
      <c r="L864" s="10">
        <v>19952</v>
      </c>
      <c r="M864" s="4">
        <f>5+(12*13)</f>
        <v>161</v>
      </c>
      <c r="N864" s="2">
        <v>83</v>
      </c>
      <c r="O864" s="2">
        <v>1</v>
      </c>
      <c r="Q864" s="2">
        <v>1</v>
      </c>
      <c r="R864" s="2">
        <v>0</v>
      </c>
      <c r="S864" s="11">
        <v>1</v>
      </c>
      <c r="T864" s="11">
        <v>1</v>
      </c>
      <c r="U864" s="11">
        <v>1</v>
      </c>
      <c r="V864" s="2">
        <v>1</v>
      </c>
      <c r="W864" s="2">
        <v>1</v>
      </c>
      <c r="X864" s="2">
        <v>1</v>
      </c>
      <c r="Y864" s="2">
        <v>1</v>
      </c>
      <c r="Z864" s="27">
        <v>1967.0619999999999</v>
      </c>
      <c r="AA864" s="31">
        <v>1968.04</v>
      </c>
    </row>
    <row r="865" spans="1:27" x14ac:dyDescent="0.2">
      <c r="A865" s="3" t="s">
        <v>2466</v>
      </c>
      <c r="B865" s="2" t="s">
        <v>2467</v>
      </c>
      <c r="C865" s="8">
        <v>24959</v>
      </c>
      <c r="D865" s="2">
        <v>1968</v>
      </c>
      <c r="E865" s="2">
        <v>1960</v>
      </c>
      <c r="F865" s="2">
        <v>0</v>
      </c>
      <c r="G865" s="2">
        <v>0</v>
      </c>
      <c r="H865" s="3" t="s">
        <v>27</v>
      </c>
      <c r="I865" s="3" t="s">
        <v>4924</v>
      </c>
      <c r="J865" s="3" t="s">
        <v>2468</v>
      </c>
      <c r="K865" s="21" t="s">
        <v>1913</v>
      </c>
      <c r="L865" s="10">
        <v>14052</v>
      </c>
      <c r="M865" s="4">
        <f>11+(12*29)</f>
        <v>359</v>
      </c>
      <c r="N865" s="2">
        <v>75</v>
      </c>
      <c r="O865" s="2">
        <v>4</v>
      </c>
      <c r="P865" s="2">
        <v>1</v>
      </c>
      <c r="Q865" s="2">
        <v>1</v>
      </c>
      <c r="R865" s="2">
        <v>1</v>
      </c>
      <c r="S865" s="11">
        <v>1</v>
      </c>
      <c r="T865" s="11">
        <v>1</v>
      </c>
      <c r="U865" s="11">
        <v>1</v>
      </c>
      <c r="V865" s="2">
        <v>0</v>
      </c>
      <c r="W865" s="2">
        <v>1</v>
      </c>
      <c r="X865" s="2">
        <v>1</v>
      </c>
      <c r="Y865" s="2">
        <v>0</v>
      </c>
      <c r="Z865" s="27">
        <v>1967.1120000000001</v>
      </c>
      <c r="AA865" s="31">
        <v>1968.05</v>
      </c>
    </row>
    <row r="866" spans="1:27" x14ac:dyDescent="0.2">
      <c r="A866" s="3" t="s">
        <v>4054</v>
      </c>
      <c r="B866" s="2" t="s">
        <v>4055</v>
      </c>
      <c r="C866" s="8">
        <v>24866</v>
      </c>
      <c r="D866" s="2">
        <v>1968</v>
      </c>
      <c r="E866" s="2">
        <v>1960</v>
      </c>
      <c r="F866" s="2">
        <v>2</v>
      </c>
      <c r="G866" s="2">
        <v>1</v>
      </c>
      <c r="H866" s="3" t="s">
        <v>3434</v>
      </c>
      <c r="I866" s="3" t="s">
        <v>4907</v>
      </c>
      <c r="J866" s="3" t="s">
        <v>1708</v>
      </c>
      <c r="K866" s="21" t="s">
        <v>1709</v>
      </c>
      <c r="L866" s="10">
        <v>12599</v>
      </c>
      <c r="M866" s="4">
        <f>7+(12*33)</f>
        <v>403</v>
      </c>
      <c r="N866" s="2">
        <v>73</v>
      </c>
      <c r="O866" s="2">
        <v>1</v>
      </c>
      <c r="Q866" s="2">
        <v>0</v>
      </c>
      <c r="R866" s="2">
        <v>0</v>
      </c>
      <c r="S866" s="11">
        <v>1</v>
      </c>
      <c r="T866" s="11">
        <v>1</v>
      </c>
      <c r="U866" s="11">
        <v>1</v>
      </c>
      <c r="V866" s="2">
        <v>1</v>
      </c>
      <c r="W866" s="2">
        <v>1</v>
      </c>
      <c r="X866" s="2">
        <v>1</v>
      </c>
      <c r="Y866" s="2">
        <v>0</v>
      </c>
      <c r="Z866" s="27">
        <v>1967.0630000000001</v>
      </c>
      <c r="AA866" s="31">
        <v>1968.06</v>
      </c>
    </row>
    <row r="867" spans="1:27" x14ac:dyDescent="0.2">
      <c r="A867" s="3" t="s">
        <v>2469</v>
      </c>
      <c r="B867" s="2" t="s">
        <v>2470</v>
      </c>
      <c r="C867" s="8">
        <v>24985</v>
      </c>
      <c r="D867" s="2">
        <v>1968</v>
      </c>
      <c r="E867" s="2">
        <v>1960</v>
      </c>
      <c r="F867" s="2">
        <v>0</v>
      </c>
      <c r="G867" s="2">
        <v>0</v>
      </c>
      <c r="H867" s="3" t="s">
        <v>27</v>
      </c>
      <c r="I867" s="3" t="s">
        <v>2471</v>
      </c>
      <c r="J867" s="3" t="s">
        <v>2471</v>
      </c>
      <c r="K867" s="21" t="s">
        <v>2472</v>
      </c>
      <c r="L867" s="10">
        <v>23982</v>
      </c>
      <c r="M867" s="4">
        <f>9+24</f>
        <v>33</v>
      </c>
      <c r="N867" s="2">
        <v>89</v>
      </c>
      <c r="O867" s="2">
        <v>2</v>
      </c>
      <c r="Q867" s="2">
        <v>0</v>
      </c>
      <c r="R867" s="2">
        <v>0</v>
      </c>
      <c r="S867" s="11">
        <v>1</v>
      </c>
      <c r="T867" s="11">
        <v>1</v>
      </c>
      <c r="U867" s="11">
        <v>0</v>
      </c>
      <c r="V867" s="2">
        <v>0</v>
      </c>
      <c r="W867" s="2">
        <v>1</v>
      </c>
      <c r="X867" s="2">
        <v>1</v>
      </c>
      <c r="Y867" s="2">
        <v>0</v>
      </c>
      <c r="Z867" s="27">
        <v>1967.135</v>
      </c>
      <c r="AA867" s="31">
        <v>1968.07</v>
      </c>
    </row>
    <row r="868" spans="1:27" x14ac:dyDescent="0.2">
      <c r="A868" s="3" t="s">
        <v>2462</v>
      </c>
      <c r="B868" s="2" t="s">
        <v>2463</v>
      </c>
      <c r="C868" s="8">
        <v>24999</v>
      </c>
      <c r="D868" s="2">
        <v>1968</v>
      </c>
      <c r="E868" s="2">
        <v>1960</v>
      </c>
      <c r="F868" s="2">
        <v>0</v>
      </c>
      <c r="G868" s="2">
        <v>0</v>
      </c>
      <c r="H868" s="3" t="s">
        <v>27</v>
      </c>
      <c r="I868" s="3" t="s">
        <v>4969</v>
      </c>
      <c r="J868" s="3" t="s">
        <v>2464</v>
      </c>
      <c r="K868" s="21" t="s">
        <v>2465</v>
      </c>
      <c r="L868" s="10">
        <v>24373</v>
      </c>
      <c r="M868" s="4">
        <f>9+12</f>
        <v>21</v>
      </c>
      <c r="N868" s="2">
        <v>89</v>
      </c>
      <c r="O868" s="2">
        <v>5</v>
      </c>
      <c r="Q868" s="2">
        <v>1</v>
      </c>
      <c r="R868" s="2">
        <v>0</v>
      </c>
      <c r="S868" s="11">
        <v>1</v>
      </c>
      <c r="T868" s="11">
        <v>0</v>
      </c>
      <c r="U868" s="11">
        <v>0</v>
      </c>
      <c r="V868" s="2">
        <v>0</v>
      </c>
      <c r="W868" s="2">
        <v>1</v>
      </c>
      <c r="X868" s="2">
        <v>2</v>
      </c>
      <c r="Y868" s="2">
        <v>0</v>
      </c>
      <c r="Z868" s="27">
        <v>1967.162</v>
      </c>
      <c r="AA868" s="31">
        <v>1968.08</v>
      </c>
    </row>
    <row r="869" spans="1:27" x14ac:dyDescent="0.2">
      <c r="A869" s="3" t="s">
        <v>2459</v>
      </c>
      <c r="B869" s="2" t="s">
        <v>2460</v>
      </c>
      <c r="C869" s="8">
        <v>25006</v>
      </c>
      <c r="D869" s="2">
        <v>1968</v>
      </c>
      <c r="E869" s="2">
        <v>1960</v>
      </c>
      <c r="F869" s="2">
        <v>0</v>
      </c>
      <c r="G869" s="2">
        <v>0</v>
      </c>
      <c r="H869" s="3" t="s">
        <v>27</v>
      </c>
      <c r="I869" s="3" t="s">
        <v>429</v>
      </c>
      <c r="J869" s="3" t="s">
        <v>2461</v>
      </c>
      <c r="K869" s="15"/>
      <c r="L869" s="4" t="s">
        <v>430</v>
      </c>
      <c r="M869" s="4">
        <f>1+(12*98)</f>
        <v>1177</v>
      </c>
      <c r="N869" s="2">
        <v>41</v>
      </c>
      <c r="O869" s="2">
        <v>5</v>
      </c>
      <c r="Q869" s="2">
        <v>1</v>
      </c>
      <c r="R869" s="2">
        <v>1</v>
      </c>
      <c r="S869" s="11">
        <v>1</v>
      </c>
      <c r="T869" s="11">
        <v>1</v>
      </c>
      <c r="U869" s="11">
        <v>1</v>
      </c>
      <c r="V869" s="2">
        <v>0</v>
      </c>
      <c r="W869" s="2">
        <v>0</v>
      </c>
      <c r="X869" s="2">
        <v>2</v>
      </c>
      <c r="Y869" s="2">
        <v>1</v>
      </c>
      <c r="Z869" s="27">
        <v>1967.181</v>
      </c>
      <c r="AA869" s="31">
        <v>1968.09</v>
      </c>
    </row>
    <row r="870" spans="1:27" x14ac:dyDescent="0.2">
      <c r="A870" s="3" t="s">
        <v>2455</v>
      </c>
      <c r="B870" s="2" t="s">
        <v>2456</v>
      </c>
      <c r="C870" s="8">
        <v>25188</v>
      </c>
      <c r="D870" s="2">
        <v>1968</v>
      </c>
      <c r="E870" s="2">
        <v>1960</v>
      </c>
      <c r="F870" s="2">
        <v>0</v>
      </c>
      <c r="G870" s="2">
        <v>0</v>
      </c>
      <c r="H870" s="3" t="s">
        <v>27</v>
      </c>
      <c r="I870" s="3" t="s">
        <v>4970</v>
      </c>
      <c r="J870" s="3" t="s">
        <v>2457</v>
      </c>
      <c r="K870" s="21" t="s">
        <v>2458</v>
      </c>
      <c r="L870" s="10">
        <v>24653</v>
      </c>
      <c r="M870" s="4">
        <f>6+12</f>
        <v>18</v>
      </c>
      <c r="N870" s="2">
        <v>90</v>
      </c>
      <c r="O870" s="2">
        <v>1</v>
      </c>
      <c r="Q870" s="2">
        <v>0</v>
      </c>
      <c r="R870" s="2">
        <v>0</v>
      </c>
      <c r="S870" s="11">
        <v>1</v>
      </c>
      <c r="T870" s="11">
        <v>0</v>
      </c>
      <c r="U870" s="11">
        <v>1</v>
      </c>
      <c r="V870" s="2">
        <v>0</v>
      </c>
      <c r="W870" s="2">
        <v>1</v>
      </c>
      <c r="X870" s="2">
        <v>0</v>
      </c>
      <c r="Y870" s="2">
        <v>0</v>
      </c>
      <c r="Z870" s="27">
        <v>1968.0239999999999</v>
      </c>
      <c r="AA870" s="31">
        <v>1968.1</v>
      </c>
    </row>
    <row r="871" spans="1:27" x14ac:dyDescent="0.2">
      <c r="A871" s="3" t="s">
        <v>2490</v>
      </c>
      <c r="B871" s="2" t="s">
        <v>2491</v>
      </c>
      <c r="C871" s="8">
        <v>25216</v>
      </c>
      <c r="D871" s="2">
        <v>1969</v>
      </c>
      <c r="E871" s="2">
        <v>1960</v>
      </c>
      <c r="F871" s="2">
        <v>0</v>
      </c>
      <c r="G871" s="2">
        <v>0</v>
      </c>
      <c r="H871" s="3" t="s">
        <v>27</v>
      </c>
      <c r="I871" s="3" t="s">
        <v>4971</v>
      </c>
      <c r="J871" s="3" t="s">
        <v>2492</v>
      </c>
      <c r="K871" s="21" t="s">
        <v>2493</v>
      </c>
      <c r="L871" s="10">
        <v>13759</v>
      </c>
      <c r="M871" s="4">
        <f>4+(12*31)</f>
        <v>376</v>
      </c>
      <c r="N871" s="2">
        <v>75</v>
      </c>
      <c r="O871" s="2">
        <v>4</v>
      </c>
      <c r="Q871" s="2">
        <v>1</v>
      </c>
      <c r="R871" s="2">
        <v>0</v>
      </c>
      <c r="S871" s="11">
        <v>0</v>
      </c>
      <c r="T871" s="11">
        <v>1</v>
      </c>
      <c r="U871" s="11">
        <v>1</v>
      </c>
      <c r="V871" s="2">
        <v>0</v>
      </c>
      <c r="W871" s="2">
        <v>0</v>
      </c>
      <c r="X871" s="2">
        <v>0</v>
      </c>
      <c r="Y871" s="2">
        <v>0</v>
      </c>
      <c r="Z871" s="27">
        <v>1968.0250000000001</v>
      </c>
      <c r="AA871" s="31">
        <v>1969.01</v>
      </c>
    </row>
    <row r="872" spans="1:27" x14ac:dyDescent="0.2">
      <c r="A872" s="3" t="s">
        <v>4069</v>
      </c>
      <c r="B872" s="2" t="s">
        <v>4070</v>
      </c>
      <c r="C872" s="8">
        <v>25314</v>
      </c>
      <c r="D872" s="2">
        <v>1969</v>
      </c>
      <c r="E872" s="2">
        <v>1960</v>
      </c>
      <c r="F872" s="2">
        <v>2</v>
      </c>
      <c r="G872" s="2">
        <v>1</v>
      </c>
      <c r="H872" s="3" t="s">
        <v>3434</v>
      </c>
      <c r="I872" s="3" t="s">
        <v>4972</v>
      </c>
      <c r="J872" s="3" t="s">
        <v>4071</v>
      </c>
      <c r="K872" s="21" t="s">
        <v>2639</v>
      </c>
      <c r="L872" s="10">
        <v>18501</v>
      </c>
      <c r="M872" s="4">
        <f>8+(12*18)</f>
        <v>224</v>
      </c>
      <c r="N872" s="2">
        <v>81</v>
      </c>
      <c r="O872" s="2">
        <v>2</v>
      </c>
      <c r="P872" s="2">
        <v>3</v>
      </c>
      <c r="Q872" s="2">
        <v>1</v>
      </c>
      <c r="R872" s="2">
        <v>0</v>
      </c>
      <c r="S872" s="11">
        <v>0</v>
      </c>
      <c r="T872" s="11">
        <v>0</v>
      </c>
      <c r="U872" s="11">
        <v>0</v>
      </c>
      <c r="V872" s="2">
        <v>1</v>
      </c>
      <c r="W872" s="2">
        <v>0</v>
      </c>
      <c r="X872" s="2">
        <v>3</v>
      </c>
      <c r="Y872" s="2">
        <v>0</v>
      </c>
      <c r="Z872" s="27">
        <v>1968.0809999999999</v>
      </c>
      <c r="AA872" s="31">
        <v>1969.02</v>
      </c>
    </row>
    <row r="873" spans="1:27" x14ac:dyDescent="0.2">
      <c r="A873" s="3" t="s">
        <v>4072</v>
      </c>
      <c r="B873" s="2" t="s">
        <v>4073</v>
      </c>
      <c r="C873" s="8">
        <v>25314</v>
      </c>
      <c r="D873" s="2">
        <v>1969</v>
      </c>
      <c r="E873" s="2">
        <v>1960</v>
      </c>
      <c r="F873" s="2">
        <v>1</v>
      </c>
      <c r="G873" s="2">
        <v>1</v>
      </c>
      <c r="H873" s="3" t="s">
        <v>3442</v>
      </c>
      <c r="I873" s="3" t="s">
        <v>5083</v>
      </c>
      <c r="J873" s="3" t="s">
        <v>4074</v>
      </c>
      <c r="K873" s="21" t="s">
        <v>2276</v>
      </c>
      <c r="L873" s="10">
        <v>17709</v>
      </c>
      <c r="M873" s="4">
        <f>10+(12*20)</f>
        <v>250</v>
      </c>
      <c r="N873" s="2">
        <v>80</v>
      </c>
      <c r="O873" s="2">
        <v>2</v>
      </c>
      <c r="Q873" s="2">
        <v>0</v>
      </c>
      <c r="R873" s="2">
        <v>0</v>
      </c>
      <c r="S873" s="11">
        <v>1</v>
      </c>
      <c r="T873" s="11">
        <v>1</v>
      </c>
      <c r="U873" s="11">
        <v>1</v>
      </c>
      <c r="V873" s="2">
        <v>0</v>
      </c>
      <c r="W873" s="2">
        <v>1</v>
      </c>
      <c r="X873" s="2">
        <v>3</v>
      </c>
      <c r="Y873" s="2">
        <v>1</v>
      </c>
      <c r="Z873" s="27">
        <v>1968.0840000000001</v>
      </c>
      <c r="AA873" s="31">
        <v>1969.03</v>
      </c>
    </row>
    <row r="874" spans="1:27" x14ac:dyDescent="0.2">
      <c r="A874" s="3" t="s">
        <v>2476</v>
      </c>
      <c r="B874" s="2" t="s">
        <v>2477</v>
      </c>
      <c r="C874" s="8">
        <v>25342</v>
      </c>
      <c r="D874" s="2">
        <v>1969</v>
      </c>
      <c r="E874" s="2">
        <v>1960</v>
      </c>
      <c r="F874" s="2">
        <v>0</v>
      </c>
      <c r="G874" s="2">
        <v>0</v>
      </c>
      <c r="H874" s="3" t="s">
        <v>27</v>
      </c>
      <c r="I874" s="3" t="s">
        <v>2478</v>
      </c>
      <c r="J874" s="3" t="s">
        <v>2478</v>
      </c>
      <c r="K874" s="21" t="s">
        <v>2479</v>
      </c>
      <c r="L874" s="10">
        <v>15301</v>
      </c>
      <c r="M874" s="4">
        <f>6+(12*27)</f>
        <v>330</v>
      </c>
      <c r="N874" s="2">
        <v>77</v>
      </c>
      <c r="O874" s="2">
        <v>1</v>
      </c>
      <c r="Q874" s="2">
        <v>0</v>
      </c>
      <c r="R874" s="2">
        <v>0</v>
      </c>
      <c r="S874" s="11">
        <v>1</v>
      </c>
      <c r="T874" s="11">
        <v>1</v>
      </c>
      <c r="U874" s="11">
        <v>0</v>
      </c>
      <c r="V874" s="2">
        <v>0</v>
      </c>
      <c r="W874" s="2">
        <v>1</v>
      </c>
      <c r="X874" s="2">
        <v>3</v>
      </c>
      <c r="Y874" s="2">
        <v>0</v>
      </c>
      <c r="Z874" s="27">
        <v>1968.1030000000001</v>
      </c>
      <c r="AA874" s="31">
        <v>1969.04</v>
      </c>
    </row>
    <row r="875" spans="1:27" x14ac:dyDescent="0.2">
      <c r="A875" s="3" t="s">
        <v>4067</v>
      </c>
      <c r="B875" s="2" t="s">
        <v>4068</v>
      </c>
      <c r="C875" s="8">
        <v>25356</v>
      </c>
      <c r="D875" s="2">
        <v>1969</v>
      </c>
      <c r="E875" s="2">
        <v>1960</v>
      </c>
      <c r="F875" s="2">
        <v>1</v>
      </c>
      <c r="G875" s="2">
        <v>1</v>
      </c>
      <c r="H875" s="3" t="s">
        <v>3442</v>
      </c>
      <c r="I875" s="3" t="s">
        <v>4953</v>
      </c>
      <c r="J875" s="3" t="s">
        <v>2513</v>
      </c>
      <c r="K875" s="21" t="s">
        <v>2250</v>
      </c>
      <c r="L875" s="10">
        <v>18388</v>
      </c>
      <c r="M875" s="4">
        <f>1+(12*19)</f>
        <v>229</v>
      </c>
      <c r="N875" s="2">
        <v>81</v>
      </c>
      <c r="O875" s="2">
        <v>1</v>
      </c>
      <c r="Q875" s="2">
        <v>0</v>
      </c>
      <c r="R875" s="2">
        <v>0</v>
      </c>
      <c r="S875" s="11">
        <v>1</v>
      </c>
      <c r="T875" s="11">
        <v>1</v>
      </c>
      <c r="U875" s="11">
        <v>1</v>
      </c>
      <c r="V875" s="2">
        <v>1</v>
      </c>
      <c r="W875" s="2">
        <v>1</v>
      </c>
      <c r="X875" s="2">
        <v>3</v>
      </c>
      <c r="Y875" s="2">
        <v>0</v>
      </c>
      <c r="Z875" s="27">
        <v>1968.114</v>
      </c>
      <c r="AA875" s="31">
        <v>1969.05</v>
      </c>
    </row>
    <row r="876" spans="1:27" x14ac:dyDescent="0.2">
      <c r="A876" s="3" t="s">
        <v>2486</v>
      </c>
      <c r="B876" s="2" t="s">
        <v>2487</v>
      </c>
      <c r="C876" s="8">
        <v>25363</v>
      </c>
      <c r="D876" s="2">
        <v>1969</v>
      </c>
      <c r="E876" s="2">
        <v>1960</v>
      </c>
      <c r="F876" s="2">
        <v>0</v>
      </c>
      <c r="G876" s="2">
        <v>0</v>
      </c>
      <c r="H876" s="3" t="s">
        <v>27</v>
      </c>
      <c r="I876" s="3" t="s">
        <v>4973</v>
      </c>
      <c r="J876" s="3" t="s">
        <v>2488</v>
      </c>
      <c r="K876" s="21" t="s">
        <v>2489</v>
      </c>
      <c r="L876" s="10">
        <v>21807</v>
      </c>
      <c r="M876" s="4">
        <f>9+(12*9)</f>
        <v>117</v>
      </c>
      <c r="N876" s="2">
        <v>86</v>
      </c>
      <c r="O876" s="2">
        <v>2</v>
      </c>
      <c r="P876" s="2">
        <v>1</v>
      </c>
      <c r="Q876" s="2">
        <v>0</v>
      </c>
      <c r="R876" s="2">
        <v>0</v>
      </c>
      <c r="S876" s="11">
        <v>1</v>
      </c>
      <c r="T876" s="11">
        <v>1</v>
      </c>
      <c r="U876" s="11">
        <v>1</v>
      </c>
      <c r="V876" s="2">
        <v>0</v>
      </c>
      <c r="W876" s="2">
        <v>1</v>
      </c>
      <c r="X876" s="2">
        <v>0</v>
      </c>
      <c r="Y876" s="2">
        <v>0</v>
      </c>
      <c r="Z876" s="27">
        <v>1968.1210000000001</v>
      </c>
      <c r="AA876" s="31">
        <v>1969.06</v>
      </c>
    </row>
    <row r="877" spans="1:27" x14ac:dyDescent="0.2">
      <c r="A877" s="3" t="s">
        <v>2483</v>
      </c>
      <c r="B877" s="2" t="s">
        <v>2484</v>
      </c>
      <c r="C877" s="8">
        <v>25370</v>
      </c>
      <c r="D877" s="2">
        <v>1969</v>
      </c>
      <c r="E877" s="2">
        <v>1960</v>
      </c>
      <c r="F877" s="2">
        <v>0</v>
      </c>
      <c r="G877" s="2">
        <v>0</v>
      </c>
      <c r="H877" s="3" t="s">
        <v>27</v>
      </c>
      <c r="I877" s="3" t="s">
        <v>4908</v>
      </c>
      <c r="J877" s="3" t="s">
        <v>2485</v>
      </c>
      <c r="K877" s="21" t="s">
        <v>1673</v>
      </c>
      <c r="L877" s="10">
        <v>12970</v>
      </c>
      <c r="M877" s="4">
        <f>11+(12*34)</f>
        <v>419</v>
      </c>
      <c r="N877" s="2">
        <v>74</v>
      </c>
      <c r="O877" s="2">
        <v>2</v>
      </c>
      <c r="Q877" s="2">
        <v>1</v>
      </c>
      <c r="R877" s="2">
        <v>1</v>
      </c>
      <c r="S877" s="11">
        <v>1</v>
      </c>
      <c r="T877" s="11">
        <v>1</v>
      </c>
      <c r="U877" s="11">
        <v>1</v>
      </c>
      <c r="V877" s="2">
        <v>0</v>
      </c>
      <c r="W877" s="2">
        <v>1</v>
      </c>
      <c r="X877" s="2">
        <v>0</v>
      </c>
      <c r="Y877" s="2">
        <v>0</v>
      </c>
      <c r="Z877" s="27">
        <v>1968.1279999999999</v>
      </c>
      <c r="AA877" s="31">
        <v>1969.07</v>
      </c>
    </row>
    <row r="878" spans="1:27" x14ac:dyDescent="0.2">
      <c r="A878" s="3" t="s">
        <v>4064</v>
      </c>
      <c r="B878" s="2" t="s">
        <v>4065</v>
      </c>
      <c r="C878" s="8">
        <v>25342</v>
      </c>
      <c r="D878" s="2">
        <v>1969</v>
      </c>
      <c r="E878" s="2">
        <v>1960</v>
      </c>
      <c r="F878" s="2">
        <v>2</v>
      </c>
      <c r="G878" s="2">
        <v>1</v>
      </c>
      <c r="H878" s="3" t="s">
        <v>3434</v>
      </c>
      <c r="I878" s="3" t="s">
        <v>4961</v>
      </c>
      <c r="J878" s="3" t="s">
        <v>4066</v>
      </c>
      <c r="K878" s="21" t="s">
        <v>2339</v>
      </c>
      <c r="L878" s="10">
        <v>20654</v>
      </c>
      <c r="M878" s="4">
        <f>10+(12*12)</f>
        <v>154</v>
      </c>
      <c r="N878" s="2">
        <v>84</v>
      </c>
      <c r="O878" s="2">
        <v>1</v>
      </c>
      <c r="Q878" s="2">
        <v>1</v>
      </c>
      <c r="R878" s="2">
        <v>0</v>
      </c>
      <c r="S878" s="11">
        <v>1</v>
      </c>
      <c r="T878" s="11">
        <v>1</v>
      </c>
      <c r="U878" s="11">
        <v>1</v>
      </c>
      <c r="V878" s="2">
        <v>1</v>
      </c>
      <c r="W878" s="2">
        <v>1</v>
      </c>
      <c r="X878" s="2">
        <v>0</v>
      </c>
      <c r="Y878" s="2">
        <v>0</v>
      </c>
      <c r="Z878" s="27">
        <v>1968.098</v>
      </c>
      <c r="AA878" s="31">
        <v>1969.8</v>
      </c>
    </row>
    <row r="879" spans="1:27" x14ac:dyDescent="0.2">
      <c r="A879" s="3" t="s">
        <v>2473</v>
      </c>
      <c r="B879" s="2" t="s">
        <v>2474</v>
      </c>
      <c r="C879" s="8">
        <v>25545</v>
      </c>
      <c r="D879" s="2">
        <v>1969</v>
      </c>
      <c r="E879" s="2">
        <v>1960</v>
      </c>
      <c r="F879" s="2">
        <v>0</v>
      </c>
      <c r="G879" s="2">
        <v>0</v>
      </c>
      <c r="H879" s="3" t="s">
        <v>27</v>
      </c>
      <c r="I879" s="3" t="s">
        <v>5083</v>
      </c>
      <c r="J879" s="3" t="s">
        <v>2475</v>
      </c>
      <c r="K879" s="21" t="s">
        <v>2276</v>
      </c>
      <c r="L879" s="10">
        <v>17709</v>
      </c>
      <c r="M879" s="4">
        <f>6+(12*21)</f>
        <v>258</v>
      </c>
      <c r="N879" s="2">
        <v>80</v>
      </c>
      <c r="O879" s="2">
        <v>1</v>
      </c>
      <c r="Q879" s="2">
        <v>0</v>
      </c>
      <c r="R879" s="2">
        <v>0</v>
      </c>
      <c r="S879" s="11">
        <v>1</v>
      </c>
      <c r="T879" s="11">
        <v>1</v>
      </c>
      <c r="U879" s="11">
        <v>0</v>
      </c>
      <c r="V879" s="2">
        <v>0</v>
      </c>
      <c r="W879" s="2">
        <v>1</v>
      </c>
      <c r="X879" s="2">
        <v>2</v>
      </c>
      <c r="Y879" s="2">
        <v>1</v>
      </c>
      <c r="Z879" s="27">
        <v>1969.0070000000001</v>
      </c>
      <c r="AA879" s="31">
        <v>1969.09</v>
      </c>
    </row>
    <row r="880" spans="1:27" x14ac:dyDescent="0.2">
      <c r="A880" s="3" t="s">
        <v>2480</v>
      </c>
      <c r="B880" s="2" t="s">
        <v>2481</v>
      </c>
      <c r="C880" s="8">
        <v>25545</v>
      </c>
      <c r="D880" s="2">
        <v>1969</v>
      </c>
      <c r="E880" s="2">
        <v>1960</v>
      </c>
      <c r="F880" s="2">
        <v>0</v>
      </c>
      <c r="G880" s="2">
        <v>0</v>
      </c>
      <c r="H880" s="3" t="s">
        <v>27</v>
      </c>
      <c r="I880" s="3" t="s">
        <v>5096</v>
      </c>
      <c r="J880" s="3" t="s">
        <v>2482</v>
      </c>
      <c r="K880" s="19" t="s">
        <v>2395</v>
      </c>
      <c r="L880" s="10">
        <v>19952</v>
      </c>
      <c r="M880" s="4">
        <f>4+(12*15)</f>
        <v>184</v>
      </c>
      <c r="N880" s="2">
        <v>83</v>
      </c>
      <c r="O880" s="2">
        <v>1</v>
      </c>
      <c r="Q880" s="2">
        <v>1</v>
      </c>
      <c r="R880" s="2">
        <v>0</v>
      </c>
      <c r="S880" s="11">
        <v>1</v>
      </c>
      <c r="T880" s="11">
        <v>1</v>
      </c>
      <c r="U880" s="11">
        <v>0</v>
      </c>
      <c r="V880" s="2">
        <v>0</v>
      </c>
      <c r="W880" s="2">
        <v>1</v>
      </c>
      <c r="X880" s="2">
        <v>2</v>
      </c>
      <c r="Y880" s="2">
        <v>1</v>
      </c>
      <c r="Z880" s="27">
        <v>1969.009</v>
      </c>
      <c r="AA880" s="31">
        <v>1969.1</v>
      </c>
    </row>
    <row r="881" spans="1:27" x14ac:dyDescent="0.2">
      <c r="A881" s="3" t="s">
        <v>4081</v>
      </c>
      <c r="B881" s="2" t="s">
        <v>4082</v>
      </c>
      <c r="C881" s="8">
        <v>25588</v>
      </c>
      <c r="D881" s="2">
        <v>1970</v>
      </c>
      <c r="E881" s="2">
        <v>1970</v>
      </c>
      <c r="F881" s="2">
        <v>2</v>
      </c>
      <c r="G881" s="2">
        <v>1</v>
      </c>
      <c r="H881" s="3" t="s">
        <v>3434</v>
      </c>
      <c r="I881" s="3" t="s">
        <v>4961</v>
      </c>
      <c r="J881" s="3" t="s">
        <v>4066</v>
      </c>
      <c r="K881" s="21" t="s">
        <v>2339</v>
      </c>
      <c r="L881" s="10">
        <v>20654</v>
      </c>
      <c r="M881" s="4">
        <f>6+(12*13)</f>
        <v>162</v>
      </c>
      <c r="N881" s="2">
        <v>84</v>
      </c>
      <c r="O881" s="2">
        <v>1</v>
      </c>
      <c r="Q881" s="2">
        <v>1</v>
      </c>
      <c r="R881" s="2">
        <v>0</v>
      </c>
      <c r="S881" s="11">
        <v>1</v>
      </c>
      <c r="T881" s="11">
        <v>1</v>
      </c>
      <c r="U881" s="11">
        <v>1</v>
      </c>
      <c r="V881" s="2">
        <v>1</v>
      </c>
      <c r="W881" s="2">
        <v>1</v>
      </c>
      <c r="X881" s="2">
        <v>2</v>
      </c>
      <c r="Y881" s="2">
        <v>0</v>
      </c>
      <c r="Z881" s="27">
        <v>1969.0309999999999</v>
      </c>
      <c r="AA881" s="31">
        <v>1970.01</v>
      </c>
    </row>
    <row r="882" spans="1:27" x14ac:dyDescent="0.2">
      <c r="A882" s="3" t="s">
        <v>2494</v>
      </c>
      <c r="B882" s="2" t="s">
        <v>2495</v>
      </c>
      <c r="C882" s="8">
        <v>25692</v>
      </c>
      <c r="D882" s="2">
        <v>1970</v>
      </c>
      <c r="E882" s="2">
        <v>1970</v>
      </c>
      <c r="F882" s="2">
        <v>0</v>
      </c>
      <c r="G882" s="2">
        <v>0</v>
      </c>
      <c r="H882" s="3" t="s">
        <v>27</v>
      </c>
      <c r="I882" s="3" t="s">
        <v>4974</v>
      </c>
      <c r="J882" s="3" t="s">
        <v>2496</v>
      </c>
      <c r="K882" s="21" t="s">
        <v>2497</v>
      </c>
      <c r="L882" s="10">
        <v>24822</v>
      </c>
      <c r="M882" s="4">
        <f>5+24</f>
        <v>29</v>
      </c>
      <c r="N882" s="2">
        <v>90</v>
      </c>
      <c r="O882" s="2">
        <v>2</v>
      </c>
      <c r="P882" s="2">
        <v>1</v>
      </c>
      <c r="Q882" s="2">
        <v>0</v>
      </c>
      <c r="R882" s="2">
        <v>0</v>
      </c>
      <c r="S882" s="11">
        <v>1</v>
      </c>
      <c r="T882" s="11">
        <v>0</v>
      </c>
      <c r="U882" s="11">
        <v>0</v>
      </c>
      <c r="V882" s="2">
        <v>0</v>
      </c>
      <c r="W882" s="2">
        <v>1</v>
      </c>
      <c r="X882" s="2">
        <v>0</v>
      </c>
      <c r="Y882" s="2">
        <v>0</v>
      </c>
      <c r="Z882" s="27">
        <v>1969.088</v>
      </c>
      <c r="AA882" s="31">
        <v>1970.02</v>
      </c>
    </row>
    <row r="883" spans="1:27" x14ac:dyDescent="0.2">
      <c r="A883" s="3" t="s">
        <v>4083</v>
      </c>
      <c r="B883" s="2" t="s">
        <v>4084</v>
      </c>
      <c r="C883" s="8">
        <v>25734</v>
      </c>
      <c r="D883" s="2">
        <v>1970</v>
      </c>
      <c r="E883" s="2">
        <v>1970</v>
      </c>
      <c r="F883" s="2">
        <v>1</v>
      </c>
      <c r="G883" s="2">
        <v>1</v>
      </c>
      <c r="H883" s="3" t="s">
        <v>3442</v>
      </c>
      <c r="I883" s="3" t="s">
        <v>4962</v>
      </c>
      <c r="J883" s="3" t="s">
        <v>4085</v>
      </c>
      <c r="K883" s="21" t="s">
        <v>2331</v>
      </c>
      <c r="L883" s="10">
        <v>17708</v>
      </c>
      <c r="M883" s="4">
        <f>12*22</f>
        <v>264</v>
      </c>
      <c r="N883" s="2">
        <v>80</v>
      </c>
      <c r="O883" s="2">
        <v>2</v>
      </c>
      <c r="Q883" s="2">
        <v>0</v>
      </c>
      <c r="R883" s="2">
        <v>0</v>
      </c>
      <c r="S883" s="11">
        <v>1</v>
      </c>
      <c r="T883" s="11">
        <v>1</v>
      </c>
      <c r="U883" s="11">
        <v>1</v>
      </c>
      <c r="V883" s="2">
        <v>0</v>
      </c>
      <c r="W883" s="2">
        <v>1</v>
      </c>
      <c r="X883" s="2">
        <v>3</v>
      </c>
      <c r="Y883" s="2">
        <v>1</v>
      </c>
      <c r="Z883" s="27">
        <v>1969.1110000000001</v>
      </c>
      <c r="AA883" s="31">
        <v>1970.03</v>
      </c>
    </row>
    <row r="884" spans="1:27" x14ac:dyDescent="0.2">
      <c r="A884" s="3" t="s">
        <v>4079</v>
      </c>
      <c r="B884" s="2" t="s">
        <v>4080</v>
      </c>
      <c r="C884" s="8">
        <v>25713</v>
      </c>
      <c r="D884" s="2">
        <v>1970</v>
      </c>
      <c r="E884" s="2">
        <v>1970</v>
      </c>
      <c r="F884" s="2">
        <v>2</v>
      </c>
      <c r="G884" s="2">
        <v>1</v>
      </c>
      <c r="H884" s="3" t="s">
        <v>3434</v>
      </c>
      <c r="I884" s="3" t="s">
        <v>2617</v>
      </c>
      <c r="J884" s="3" t="s">
        <v>2618</v>
      </c>
      <c r="K884" s="3" t="s">
        <v>2619</v>
      </c>
      <c r="L884" s="10">
        <v>20677</v>
      </c>
      <c r="M884" s="4">
        <f>9+(12*13)</f>
        <v>165</v>
      </c>
      <c r="N884" s="2">
        <v>84</v>
      </c>
      <c r="O884" s="2">
        <v>2</v>
      </c>
      <c r="Q884" s="2">
        <v>0</v>
      </c>
      <c r="R884" s="2">
        <v>0</v>
      </c>
      <c r="S884" s="11">
        <v>1</v>
      </c>
      <c r="T884" s="11">
        <v>1</v>
      </c>
      <c r="U884" s="11">
        <v>1</v>
      </c>
      <c r="V884" s="2">
        <v>1</v>
      </c>
      <c r="W884" s="2">
        <v>1</v>
      </c>
      <c r="X884" s="2">
        <v>0</v>
      </c>
      <c r="Y884" s="2">
        <v>0</v>
      </c>
      <c r="Z884" s="27">
        <v>1969.097</v>
      </c>
      <c r="AA884" s="31">
        <v>1970.04</v>
      </c>
    </row>
    <row r="885" spans="1:27" x14ac:dyDescent="0.2">
      <c r="A885" s="3" t="s">
        <v>4075</v>
      </c>
      <c r="B885" s="2" t="s">
        <v>4076</v>
      </c>
      <c r="C885" s="8">
        <v>25923</v>
      </c>
      <c r="D885" s="2">
        <v>1970</v>
      </c>
      <c r="E885" s="2">
        <v>1970</v>
      </c>
      <c r="F885" s="2">
        <v>2</v>
      </c>
      <c r="G885" s="2">
        <v>1</v>
      </c>
      <c r="H885" s="3" t="s">
        <v>3434</v>
      </c>
      <c r="I885" s="3" t="s">
        <v>4975</v>
      </c>
      <c r="J885" s="3" t="s">
        <v>4077</v>
      </c>
      <c r="K885" s="21" t="s">
        <v>4078</v>
      </c>
      <c r="L885" s="10">
        <v>25741</v>
      </c>
      <c r="M885" s="4">
        <f>6</f>
        <v>6</v>
      </c>
      <c r="N885" s="2">
        <v>91</v>
      </c>
      <c r="O885" s="2">
        <v>5</v>
      </c>
      <c r="Q885" s="2">
        <v>1</v>
      </c>
      <c r="R885" s="2">
        <v>1</v>
      </c>
      <c r="S885" s="11">
        <v>1</v>
      </c>
      <c r="T885" s="11">
        <v>0</v>
      </c>
      <c r="U885" s="11">
        <v>0</v>
      </c>
      <c r="V885" s="2">
        <v>1</v>
      </c>
      <c r="W885" s="2">
        <v>1</v>
      </c>
      <c r="X885" s="2">
        <v>8</v>
      </c>
      <c r="Y885" s="2">
        <v>0</v>
      </c>
      <c r="Z885" s="27">
        <v>1970.0139999999999</v>
      </c>
      <c r="AA885" s="31">
        <v>1970.05</v>
      </c>
    </row>
    <row r="886" spans="1:27" x14ac:dyDescent="0.2">
      <c r="A886" s="3" t="s">
        <v>2498</v>
      </c>
      <c r="B886" s="2" t="s">
        <v>2499</v>
      </c>
      <c r="C886" s="8">
        <v>25860</v>
      </c>
      <c r="D886" s="2">
        <v>1970</v>
      </c>
      <c r="E886" s="2">
        <v>1970</v>
      </c>
      <c r="F886" s="2">
        <v>0</v>
      </c>
      <c r="G886" s="2">
        <v>0</v>
      </c>
      <c r="H886" s="3" t="s">
        <v>27</v>
      </c>
      <c r="I886" s="3" t="s">
        <v>2500</v>
      </c>
      <c r="J886" s="3" t="s">
        <v>2500</v>
      </c>
      <c r="K886" s="3" t="s">
        <v>2501</v>
      </c>
      <c r="L886" s="10">
        <v>22028</v>
      </c>
      <c r="M886" s="4">
        <f>6+(12*9)</f>
        <v>114</v>
      </c>
      <c r="N886" s="2">
        <v>86</v>
      </c>
      <c r="O886" s="2">
        <v>4</v>
      </c>
      <c r="Q886" s="2">
        <v>0</v>
      </c>
      <c r="R886" s="2">
        <v>0</v>
      </c>
      <c r="S886" s="11">
        <v>0</v>
      </c>
      <c r="T886" s="11">
        <v>0</v>
      </c>
      <c r="U886" s="11">
        <v>1</v>
      </c>
      <c r="V886" s="2">
        <v>0</v>
      </c>
      <c r="W886" s="2">
        <v>1</v>
      </c>
      <c r="X886" s="2">
        <v>0</v>
      </c>
      <c r="Y886" s="2">
        <v>0</v>
      </c>
      <c r="Z886" s="27">
        <v>1970.001</v>
      </c>
      <c r="AA886" s="31">
        <v>1970.06</v>
      </c>
    </row>
    <row r="887" spans="1:27" x14ac:dyDescent="0.2">
      <c r="A887" s="3" t="s">
        <v>4086</v>
      </c>
      <c r="B887" s="2" t="s">
        <v>4087</v>
      </c>
      <c r="C887" s="8">
        <v>25947</v>
      </c>
      <c r="D887" s="2">
        <v>1971</v>
      </c>
      <c r="E887" s="2">
        <v>1970</v>
      </c>
      <c r="F887" s="2">
        <v>2</v>
      </c>
      <c r="G887" s="2">
        <v>1</v>
      </c>
      <c r="H887" s="3" t="s">
        <v>3434</v>
      </c>
      <c r="I887" s="21" t="s">
        <v>4088</v>
      </c>
      <c r="J887" s="21" t="s">
        <v>4088</v>
      </c>
      <c r="K887" s="21" t="s">
        <v>4089</v>
      </c>
      <c r="L887" s="10">
        <v>25128</v>
      </c>
      <c r="M887" s="4">
        <f>3+24</f>
        <v>27</v>
      </c>
      <c r="N887" s="2">
        <v>90</v>
      </c>
      <c r="O887" s="2">
        <v>2</v>
      </c>
      <c r="Q887" s="2">
        <v>0</v>
      </c>
      <c r="R887" s="2">
        <v>0</v>
      </c>
      <c r="S887" s="11">
        <v>1</v>
      </c>
      <c r="T887" s="11">
        <v>0</v>
      </c>
      <c r="U887" s="11">
        <v>0</v>
      </c>
      <c r="V887" s="2">
        <v>1</v>
      </c>
      <c r="W887" s="2">
        <v>1</v>
      </c>
      <c r="X887" s="2">
        <v>0</v>
      </c>
      <c r="Y887" s="2">
        <v>0</v>
      </c>
      <c r="Z887" s="27">
        <v>1970.0219999999999</v>
      </c>
      <c r="AA887" s="31">
        <v>1971.01</v>
      </c>
    </row>
    <row r="888" spans="1:27" x14ac:dyDescent="0.2">
      <c r="A888" s="3" t="s">
        <v>2511</v>
      </c>
      <c r="B888" s="2" t="s">
        <v>2512</v>
      </c>
      <c r="C888" s="8">
        <v>25988</v>
      </c>
      <c r="D888" s="2">
        <v>1971</v>
      </c>
      <c r="E888" s="2">
        <v>1970</v>
      </c>
      <c r="F888" s="2">
        <v>0</v>
      </c>
      <c r="G888" s="2">
        <v>0</v>
      </c>
      <c r="H888" s="3" t="s">
        <v>27</v>
      </c>
      <c r="I888" s="3" t="s">
        <v>4953</v>
      </c>
      <c r="J888" s="3" t="s">
        <v>2513</v>
      </c>
      <c r="K888" s="21" t="s">
        <v>2250</v>
      </c>
      <c r="L888" s="10">
        <v>18388</v>
      </c>
      <c r="M888" s="4">
        <f>9+(12*20)</f>
        <v>249</v>
      </c>
      <c r="N888" s="2">
        <v>81</v>
      </c>
      <c r="O888" s="2">
        <v>1</v>
      </c>
      <c r="Q888" s="2">
        <v>0</v>
      </c>
      <c r="R888" s="2">
        <v>0</v>
      </c>
      <c r="S888" s="11">
        <v>1</v>
      </c>
      <c r="T888" s="11">
        <v>1</v>
      </c>
      <c r="U888" s="11">
        <v>0</v>
      </c>
      <c r="V888" s="2">
        <v>0</v>
      </c>
      <c r="W888" s="2">
        <v>1</v>
      </c>
      <c r="X888" s="2">
        <v>0</v>
      </c>
      <c r="Y888" s="2">
        <v>0</v>
      </c>
      <c r="Z888" s="27">
        <v>1970.0519999999999</v>
      </c>
      <c r="AA888" s="31">
        <v>1971.02</v>
      </c>
    </row>
    <row r="889" spans="1:27" x14ac:dyDescent="0.2">
      <c r="A889" s="3" t="s">
        <v>2502</v>
      </c>
      <c r="B889" s="2" t="s">
        <v>2503</v>
      </c>
      <c r="C889" s="8">
        <v>26000</v>
      </c>
      <c r="D889" s="2">
        <v>1971</v>
      </c>
      <c r="E889" s="2">
        <v>1970</v>
      </c>
      <c r="F889" s="2">
        <v>0</v>
      </c>
      <c r="G889" s="2">
        <v>0</v>
      </c>
      <c r="H889" s="3" t="s">
        <v>27</v>
      </c>
      <c r="I889" s="3" t="s">
        <v>4970</v>
      </c>
      <c r="J889" s="3" t="s">
        <v>2457</v>
      </c>
      <c r="K889" s="21" t="s">
        <v>2458</v>
      </c>
      <c r="L889" s="10">
        <v>24653</v>
      </c>
      <c r="M889" s="4">
        <f>9+36</f>
        <v>45</v>
      </c>
      <c r="N889" s="2">
        <v>90</v>
      </c>
      <c r="O889" s="2">
        <v>2</v>
      </c>
      <c r="Q889" s="2">
        <v>0</v>
      </c>
      <c r="R889" s="2">
        <v>0</v>
      </c>
      <c r="S889" s="11">
        <v>1</v>
      </c>
      <c r="T889" s="11">
        <v>1</v>
      </c>
      <c r="U889" s="11">
        <v>0</v>
      </c>
      <c r="V889" s="2">
        <v>0</v>
      </c>
      <c r="W889" s="2">
        <v>1</v>
      </c>
      <c r="X889" s="2">
        <v>1</v>
      </c>
      <c r="Y889" s="2">
        <v>0</v>
      </c>
      <c r="Z889" s="27">
        <v>1970.057</v>
      </c>
      <c r="AA889" s="31">
        <v>1971.03</v>
      </c>
    </row>
    <row r="890" spans="1:27" x14ac:dyDescent="0.2">
      <c r="A890" s="3" t="s">
        <v>2523</v>
      </c>
      <c r="B890" s="2" t="s">
        <v>2524</v>
      </c>
      <c r="C890" s="8">
        <v>26028</v>
      </c>
      <c r="D890" s="2">
        <v>1971</v>
      </c>
      <c r="E890" s="2">
        <v>1970</v>
      </c>
      <c r="F890" s="2">
        <v>0</v>
      </c>
      <c r="G890" s="2">
        <v>0</v>
      </c>
      <c r="H890" s="3" t="s">
        <v>27</v>
      </c>
      <c r="I890" s="3" t="s">
        <v>4976</v>
      </c>
      <c r="J890" s="3" t="s">
        <v>2525</v>
      </c>
      <c r="K890" s="21" t="s">
        <v>2526</v>
      </c>
      <c r="L890" s="10">
        <v>25133</v>
      </c>
      <c r="M890" s="4">
        <f>6+24</f>
        <v>30</v>
      </c>
      <c r="N890" s="2">
        <v>90</v>
      </c>
      <c r="O890" s="2">
        <v>1</v>
      </c>
      <c r="Q890" s="2">
        <v>1</v>
      </c>
      <c r="R890" s="2">
        <v>0</v>
      </c>
      <c r="S890" s="11">
        <v>1</v>
      </c>
      <c r="T890" s="11">
        <v>0</v>
      </c>
      <c r="U890" s="11">
        <v>1</v>
      </c>
      <c r="V890" s="2">
        <v>0</v>
      </c>
      <c r="W890" s="2">
        <v>1</v>
      </c>
      <c r="X890" s="2">
        <v>0</v>
      </c>
      <c r="Y890" s="2">
        <v>0</v>
      </c>
      <c r="Z890" s="27">
        <v>1970.0709999999999</v>
      </c>
      <c r="AA890" s="31">
        <v>1971.04</v>
      </c>
    </row>
    <row r="891" spans="1:27" x14ac:dyDescent="0.2">
      <c r="A891" s="3" t="s">
        <v>4097</v>
      </c>
      <c r="B891" s="2" t="s">
        <v>4098</v>
      </c>
      <c r="C891" s="8">
        <v>26028</v>
      </c>
      <c r="D891" s="2">
        <v>1971</v>
      </c>
      <c r="E891" s="2">
        <v>1970</v>
      </c>
      <c r="F891" s="2">
        <v>2</v>
      </c>
      <c r="G891" s="2">
        <v>1</v>
      </c>
      <c r="H891" s="3" t="s">
        <v>3434</v>
      </c>
      <c r="I891" s="3" t="s">
        <v>5096</v>
      </c>
      <c r="J891" s="3" t="s">
        <v>4099</v>
      </c>
      <c r="K891" s="19" t="s">
        <v>2395</v>
      </c>
      <c r="L891" s="10">
        <v>19952</v>
      </c>
      <c r="M891" s="4">
        <f>8+(12*14)</f>
        <v>176</v>
      </c>
      <c r="N891" s="2">
        <v>83</v>
      </c>
      <c r="O891" s="2">
        <v>1</v>
      </c>
      <c r="Q891" s="2">
        <v>1</v>
      </c>
      <c r="R891" s="2">
        <v>0</v>
      </c>
      <c r="S891" s="11">
        <v>1</v>
      </c>
      <c r="T891" s="11">
        <v>0</v>
      </c>
      <c r="U891" s="11">
        <v>1</v>
      </c>
      <c r="V891" s="2">
        <v>1</v>
      </c>
      <c r="W891" s="2">
        <v>1</v>
      </c>
      <c r="X891" s="2">
        <v>4</v>
      </c>
      <c r="Y891" s="2">
        <v>1</v>
      </c>
      <c r="Z891" s="27">
        <v>1970.075</v>
      </c>
      <c r="AA891" s="31">
        <v>1971.05</v>
      </c>
    </row>
    <row r="892" spans="1:27" x14ac:dyDescent="0.2">
      <c r="A892" s="3" t="s">
        <v>2520</v>
      </c>
      <c r="B892" s="2" t="s">
        <v>2521</v>
      </c>
      <c r="C892" s="8">
        <v>26028</v>
      </c>
      <c r="D892" s="2">
        <v>1971</v>
      </c>
      <c r="E892" s="2">
        <v>1970</v>
      </c>
      <c r="F892" s="2">
        <v>0</v>
      </c>
      <c r="G892" s="2">
        <v>0</v>
      </c>
      <c r="H892" s="3" t="s">
        <v>27</v>
      </c>
      <c r="I892" s="3" t="s">
        <v>4538</v>
      </c>
      <c r="J892" s="3" t="s">
        <v>2522</v>
      </c>
      <c r="K892" s="21" t="s">
        <v>2238</v>
      </c>
      <c r="L892" s="10">
        <v>19172</v>
      </c>
      <c r="M892" s="4">
        <f>10+(12*18)</f>
        <v>226</v>
      </c>
      <c r="N892" s="2">
        <v>82</v>
      </c>
      <c r="O892" s="2">
        <v>2</v>
      </c>
      <c r="Q892" s="2">
        <v>1</v>
      </c>
      <c r="R892" s="2">
        <v>0</v>
      </c>
      <c r="S892" s="11">
        <v>1</v>
      </c>
      <c r="T892" s="11">
        <v>1</v>
      </c>
      <c r="U892" s="11">
        <v>0</v>
      </c>
      <c r="V892" s="2">
        <v>0</v>
      </c>
      <c r="W892" s="2">
        <v>1</v>
      </c>
      <c r="X892" s="2">
        <v>4</v>
      </c>
      <c r="Y892" s="2">
        <v>0</v>
      </c>
      <c r="Z892" s="27">
        <v>1970.079</v>
      </c>
      <c r="AA892" s="31">
        <v>1971.06</v>
      </c>
    </row>
    <row r="893" spans="1:27" x14ac:dyDescent="0.2">
      <c r="A893" s="3" t="s">
        <v>2507</v>
      </c>
      <c r="B893" s="2" t="s">
        <v>2508</v>
      </c>
      <c r="C893" s="8">
        <v>26049</v>
      </c>
      <c r="D893" s="2">
        <v>1971</v>
      </c>
      <c r="E893" s="2">
        <v>1970</v>
      </c>
      <c r="F893" s="2">
        <v>0</v>
      </c>
      <c r="G893" s="2">
        <v>0</v>
      </c>
      <c r="H893" s="3" t="s">
        <v>27</v>
      </c>
      <c r="I893" s="3" t="s">
        <v>4977</v>
      </c>
      <c r="J893" s="3" t="s">
        <v>2509</v>
      </c>
      <c r="K893" s="21" t="s">
        <v>2510</v>
      </c>
      <c r="L893" s="10">
        <v>24987</v>
      </c>
      <c r="M893" s="4">
        <f>11+24</f>
        <v>35</v>
      </c>
      <c r="N893" s="2">
        <v>90</v>
      </c>
      <c r="O893" s="2">
        <v>5</v>
      </c>
      <c r="Q893" s="2">
        <v>1</v>
      </c>
      <c r="R893" s="2">
        <v>0</v>
      </c>
      <c r="S893" s="11">
        <v>1</v>
      </c>
      <c r="T893" s="11">
        <v>1</v>
      </c>
      <c r="U893" s="11">
        <v>0</v>
      </c>
      <c r="V893" s="2">
        <v>0</v>
      </c>
      <c r="W893" s="2">
        <v>1</v>
      </c>
      <c r="X893" s="2">
        <v>1</v>
      </c>
      <c r="Y893" s="2">
        <v>0</v>
      </c>
      <c r="Z893" s="27">
        <v>1970.0920000000001</v>
      </c>
      <c r="AA893" s="31">
        <v>1971.07</v>
      </c>
    </row>
    <row r="894" spans="1:27" x14ac:dyDescent="0.2">
      <c r="A894" s="3" t="s">
        <v>2527</v>
      </c>
      <c r="B894" s="2" t="s">
        <v>2528</v>
      </c>
      <c r="C894" s="8">
        <v>26056</v>
      </c>
      <c r="D894" s="2">
        <v>1971</v>
      </c>
      <c r="E894" s="2">
        <v>1970</v>
      </c>
      <c r="F894" s="2">
        <v>0</v>
      </c>
      <c r="G894" s="2">
        <v>0</v>
      </c>
      <c r="H894" s="3" t="s">
        <v>27</v>
      </c>
      <c r="I894" s="3" t="s">
        <v>5083</v>
      </c>
      <c r="J894" s="3" t="s">
        <v>2275</v>
      </c>
      <c r="K894" s="21" t="s">
        <v>2276</v>
      </c>
      <c r="L894" s="10">
        <v>17709</v>
      </c>
      <c r="M894" s="4">
        <f>11+(12*29)</f>
        <v>359</v>
      </c>
      <c r="N894" s="2">
        <v>80</v>
      </c>
      <c r="O894" s="2">
        <v>2</v>
      </c>
      <c r="Q894" s="2">
        <v>0</v>
      </c>
      <c r="R894" s="2">
        <v>0</v>
      </c>
      <c r="S894" s="11">
        <v>1</v>
      </c>
      <c r="T894" s="11">
        <v>1</v>
      </c>
      <c r="U894" s="11">
        <v>1</v>
      </c>
      <c r="V894" s="2">
        <v>0</v>
      </c>
      <c r="W894" s="2">
        <v>1</v>
      </c>
      <c r="X894" s="2">
        <v>2</v>
      </c>
      <c r="Y894" s="2">
        <v>1</v>
      </c>
      <c r="Z894" s="27">
        <v>1970.096</v>
      </c>
      <c r="AA894" s="31">
        <v>1971.08</v>
      </c>
    </row>
    <row r="895" spans="1:27" x14ac:dyDescent="0.2">
      <c r="A895" s="3" t="s">
        <v>2529</v>
      </c>
      <c r="B895" s="2" t="s">
        <v>2530</v>
      </c>
      <c r="C895" s="8">
        <v>26056</v>
      </c>
      <c r="D895" s="2">
        <v>1971</v>
      </c>
      <c r="E895" s="2">
        <v>1970</v>
      </c>
      <c r="F895" s="2">
        <v>0</v>
      </c>
      <c r="G895" s="2">
        <v>0</v>
      </c>
      <c r="H895" s="3" t="s">
        <v>27</v>
      </c>
      <c r="I895" s="3" t="s">
        <v>4705</v>
      </c>
      <c r="J895" s="3" t="s">
        <v>2531</v>
      </c>
      <c r="K895" s="21" t="s">
        <v>1849</v>
      </c>
      <c r="L895" s="10">
        <v>11126</v>
      </c>
      <c r="M895" s="4">
        <f>11+(12*40)</f>
        <v>491</v>
      </c>
      <c r="N895" s="2">
        <v>71</v>
      </c>
      <c r="O895" s="2">
        <v>2</v>
      </c>
      <c r="Q895" s="2">
        <v>1</v>
      </c>
      <c r="R895" s="2">
        <v>0</v>
      </c>
      <c r="S895" s="11">
        <v>1</v>
      </c>
      <c r="T895" s="11">
        <v>0</v>
      </c>
      <c r="U895" s="11">
        <v>1</v>
      </c>
      <c r="V895" s="2">
        <v>0</v>
      </c>
      <c r="W895" s="2">
        <v>1</v>
      </c>
      <c r="X895" s="2">
        <v>3</v>
      </c>
      <c r="Y895" s="2">
        <v>1</v>
      </c>
      <c r="Z895" s="27">
        <v>1970.097</v>
      </c>
      <c r="AA895" s="31">
        <v>1971.09</v>
      </c>
    </row>
    <row r="896" spans="1:27" x14ac:dyDescent="0.2">
      <c r="A896" s="3" t="s">
        <v>2518</v>
      </c>
      <c r="B896" s="2" t="s">
        <v>2519</v>
      </c>
      <c r="C896" s="8">
        <v>26056</v>
      </c>
      <c r="D896" s="2">
        <v>1971</v>
      </c>
      <c r="E896" s="2">
        <v>1970</v>
      </c>
      <c r="F896" s="2">
        <v>0</v>
      </c>
      <c r="G896" s="2">
        <v>0</v>
      </c>
      <c r="H896" s="3" t="s">
        <v>27</v>
      </c>
      <c r="I896" s="3" t="s">
        <v>4884</v>
      </c>
      <c r="J896" s="3" t="s">
        <v>1684</v>
      </c>
      <c r="K896" s="21" t="s">
        <v>1685</v>
      </c>
      <c r="L896" s="10">
        <v>13010</v>
      </c>
      <c r="M896" s="4">
        <f>9+(12*35)</f>
        <v>429</v>
      </c>
      <c r="N896" s="2">
        <v>74</v>
      </c>
      <c r="O896" s="2">
        <v>1</v>
      </c>
      <c r="Q896" s="2">
        <v>1</v>
      </c>
      <c r="R896" s="2">
        <v>0</v>
      </c>
      <c r="S896" s="11">
        <v>1</v>
      </c>
      <c r="T896" s="11">
        <v>0</v>
      </c>
      <c r="U896" s="11">
        <v>1</v>
      </c>
      <c r="V896" s="2">
        <v>0</v>
      </c>
      <c r="W896" s="2">
        <v>1</v>
      </c>
      <c r="X896" s="2">
        <v>3</v>
      </c>
      <c r="Y896" s="2">
        <v>0</v>
      </c>
      <c r="Z896" s="27">
        <v>1970.098</v>
      </c>
      <c r="AA896" s="31">
        <v>1971.1</v>
      </c>
    </row>
    <row r="897" spans="1:27" x14ac:dyDescent="0.2">
      <c r="A897" s="3" t="s">
        <v>2532</v>
      </c>
      <c r="B897" s="2" t="s">
        <v>2533</v>
      </c>
      <c r="C897" s="8">
        <v>26044</v>
      </c>
      <c r="D897" s="2">
        <v>1971</v>
      </c>
      <c r="E897" s="2">
        <v>1970</v>
      </c>
      <c r="F897" s="2">
        <v>0</v>
      </c>
      <c r="G897" s="2">
        <v>0</v>
      </c>
      <c r="H897" s="3" t="s">
        <v>27</v>
      </c>
      <c r="I897" s="3" t="s">
        <v>4978</v>
      </c>
      <c r="J897" s="3" t="s">
        <v>2534</v>
      </c>
      <c r="K897" s="21" t="s">
        <v>2535</v>
      </c>
      <c r="L897" s="10">
        <v>19539</v>
      </c>
      <c r="M897" s="4">
        <f>10+(12*17)</f>
        <v>214</v>
      </c>
      <c r="N897" s="2">
        <v>83</v>
      </c>
      <c r="O897" s="2">
        <v>1</v>
      </c>
      <c r="Q897" s="2">
        <v>0</v>
      </c>
      <c r="R897" s="2">
        <v>0</v>
      </c>
      <c r="S897" s="11">
        <v>1</v>
      </c>
      <c r="T897" s="11">
        <v>0</v>
      </c>
      <c r="U897" s="11">
        <v>1</v>
      </c>
      <c r="V897" s="2">
        <v>0</v>
      </c>
      <c r="W897" s="2">
        <v>1</v>
      </c>
      <c r="X897" s="2">
        <v>6</v>
      </c>
      <c r="Y897" s="2">
        <v>1</v>
      </c>
      <c r="Z897" s="27">
        <v>1970.088</v>
      </c>
      <c r="AA897" s="31">
        <v>1971.11</v>
      </c>
    </row>
    <row r="898" spans="1:27" x14ac:dyDescent="0.2">
      <c r="A898" s="3" t="s">
        <v>4090</v>
      </c>
      <c r="B898" s="2" t="s">
        <v>4091</v>
      </c>
      <c r="C898" s="8">
        <v>26098</v>
      </c>
      <c r="D898" s="2">
        <v>1971</v>
      </c>
      <c r="E898" s="2">
        <v>1970</v>
      </c>
      <c r="F898" s="2">
        <v>1</v>
      </c>
      <c r="G898" s="2">
        <v>1</v>
      </c>
      <c r="H898" s="3" t="s">
        <v>3442</v>
      </c>
      <c r="I898" s="3" t="s">
        <v>4972</v>
      </c>
      <c r="J898" s="3" t="s">
        <v>4092</v>
      </c>
      <c r="K898" s="21" t="s">
        <v>2639</v>
      </c>
      <c r="L898" s="10">
        <v>18483</v>
      </c>
      <c r="M898" s="4">
        <f>10+(12*20)</f>
        <v>250</v>
      </c>
      <c r="N898" s="2">
        <v>81</v>
      </c>
      <c r="O898" s="2">
        <v>3</v>
      </c>
      <c r="Q898" s="2">
        <v>1</v>
      </c>
      <c r="R898" s="2">
        <v>0</v>
      </c>
      <c r="S898" s="11">
        <v>0</v>
      </c>
      <c r="T898" s="11">
        <v>0</v>
      </c>
      <c r="U898" s="11">
        <v>0</v>
      </c>
      <c r="V898" s="2">
        <v>0</v>
      </c>
      <c r="W898" s="2">
        <v>1</v>
      </c>
      <c r="X898" s="2">
        <v>0</v>
      </c>
      <c r="Y898" s="2">
        <v>0</v>
      </c>
      <c r="Z898" s="27">
        <v>1970.134</v>
      </c>
      <c r="AA898" s="31">
        <v>1971.12</v>
      </c>
    </row>
    <row r="899" spans="1:27" x14ac:dyDescent="0.2">
      <c r="A899" s="3" t="s">
        <v>4093</v>
      </c>
      <c r="B899" s="2" t="s">
        <v>4094</v>
      </c>
      <c r="C899" s="8">
        <v>26112</v>
      </c>
      <c r="D899" s="2">
        <v>1971</v>
      </c>
      <c r="E899" s="2">
        <v>1970</v>
      </c>
      <c r="F899" s="2">
        <v>2</v>
      </c>
      <c r="G899" s="2">
        <v>1</v>
      </c>
      <c r="H899" s="3" t="s">
        <v>3434</v>
      </c>
      <c r="I899" s="3" t="s">
        <v>4979</v>
      </c>
      <c r="J899" s="3" t="s">
        <v>4095</v>
      </c>
      <c r="K899" s="21" t="s">
        <v>4096</v>
      </c>
      <c r="L899" s="10">
        <v>23361</v>
      </c>
      <c r="M899" s="4">
        <f>6+(12*7)</f>
        <v>90</v>
      </c>
      <c r="N899" s="2">
        <v>88</v>
      </c>
      <c r="O899" s="2">
        <v>2</v>
      </c>
      <c r="Q899" s="2">
        <v>0</v>
      </c>
      <c r="R899" s="2">
        <v>0</v>
      </c>
      <c r="S899" s="11">
        <v>1</v>
      </c>
      <c r="T899" s="11">
        <v>0</v>
      </c>
      <c r="U899" s="11">
        <v>0</v>
      </c>
      <c r="V899" s="2">
        <v>1</v>
      </c>
      <c r="W899" s="2">
        <v>1</v>
      </c>
      <c r="X899" s="2">
        <v>4</v>
      </c>
      <c r="Y899" s="2">
        <v>0</v>
      </c>
      <c r="Z899" s="27">
        <v>1970.1420000000001</v>
      </c>
      <c r="AA899" s="31">
        <v>1971.13</v>
      </c>
    </row>
    <row r="900" spans="1:27" x14ac:dyDescent="0.2">
      <c r="A900" s="3" t="s">
        <v>2504</v>
      </c>
      <c r="B900" s="8" t="s">
        <v>2505</v>
      </c>
      <c r="C900" s="8">
        <v>26091</v>
      </c>
      <c r="D900" s="2">
        <v>1971</v>
      </c>
      <c r="E900" s="2">
        <v>1970</v>
      </c>
      <c r="F900" s="2">
        <v>0</v>
      </c>
      <c r="G900" s="2">
        <v>0</v>
      </c>
      <c r="H900" s="3" t="s">
        <v>27</v>
      </c>
      <c r="I900" s="3" t="s">
        <v>2506</v>
      </c>
      <c r="J900" s="3" t="s">
        <v>2506</v>
      </c>
      <c r="K900" s="15"/>
      <c r="L900" s="4" t="s">
        <v>520</v>
      </c>
      <c r="M900" s="4">
        <f>2+1200</f>
        <v>1202</v>
      </c>
      <c r="N900" s="2">
        <v>42</v>
      </c>
      <c r="O900" s="2">
        <v>5</v>
      </c>
      <c r="Q900" s="2">
        <v>1</v>
      </c>
      <c r="R900" s="2">
        <v>1</v>
      </c>
      <c r="S900" s="11">
        <v>1</v>
      </c>
      <c r="T900" s="11">
        <v>1</v>
      </c>
      <c r="U900" s="11">
        <v>1</v>
      </c>
      <c r="V900" s="2">
        <v>0</v>
      </c>
      <c r="W900" s="2">
        <v>0</v>
      </c>
      <c r="X900" s="2">
        <v>0</v>
      </c>
      <c r="Y900" s="2">
        <v>1</v>
      </c>
      <c r="Z900" s="27">
        <v>1970.123</v>
      </c>
      <c r="AA900" s="31">
        <v>1971.14</v>
      </c>
    </row>
    <row r="901" spans="1:27" x14ac:dyDescent="0.2">
      <c r="A901" s="3" t="s">
        <v>2514</v>
      </c>
      <c r="B901" s="2" t="s">
        <v>2515</v>
      </c>
      <c r="C901" s="8">
        <v>26259</v>
      </c>
      <c r="D901" s="2">
        <v>1971</v>
      </c>
      <c r="E901" s="2">
        <v>1970</v>
      </c>
      <c r="F901" s="2">
        <v>0</v>
      </c>
      <c r="G901" s="2">
        <v>0</v>
      </c>
      <c r="H901" s="3" t="s">
        <v>27</v>
      </c>
      <c r="I901" s="3" t="s">
        <v>4870</v>
      </c>
      <c r="J901" s="3" t="s">
        <v>2516</v>
      </c>
      <c r="K901" s="21" t="s">
        <v>2517</v>
      </c>
      <c r="L901" s="10">
        <v>23953</v>
      </c>
      <c r="M901" s="4">
        <f>4+(12*6)</f>
        <v>76</v>
      </c>
      <c r="N901" s="2">
        <v>89</v>
      </c>
      <c r="O901" s="2">
        <v>1</v>
      </c>
      <c r="Q901" s="2">
        <v>0</v>
      </c>
      <c r="R901" s="2">
        <v>0</v>
      </c>
      <c r="S901" s="11">
        <v>1</v>
      </c>
      <c r="T901" s="11">
        <v>0</v>
      </c>
      <c r="U901" s="11">
        <v>1</v>
      </c>
      <c r="V901" s="2">
        <v>0</v>
      </c>
      <c r="W901" s="2">
        <v>1</v>
      </c>
      <c r="X901" s="2">
        <v>3</v>
      </c>
      <c r="Y901" s="2">
        <v>0</v>
      </c>
      <c r="Z901" s="27">
        <v>1971.0150000000001</v>
      </c>
      <c r="AA901" s="31">
        <v>1971.15</v>
      </c>
    </row>
    <row r="902" spans="1:27" x14ac:dyDescent="0.2">
      <c r="A902" s="3" t="s">
        <v>2536</v>
      </c>
      <c r="B902" s="2" t="s">
        <v>2537</v>
      </c>
      <c r="C902" s="8">
        <v>26311</v>
      </c>
      <c r="D902" s="2">
        <v>1972</v>
      </c>
      <c r="E902" s="2">
        <v>1970</v>
      </c>
      <c r="F902" s="2">
        <v>0</v>
      </c>
      <c r="G902" s="2">
        <v>0</v>
      </c>
      <c r="H902" s="3" t="s">
        <v>27</v>
      </c>
      <c r="I902" s="3" t="s">
        <v>1312</v>
      </c>
      <c r="J902" s="21" t="s">
        <v>1313</v>
      </c>
      <c r="K902" s="21" t="s">
        <v>1314</v>
      </c>
      <c r="L902" s="10">
        <v>5402</v>
      </c>
      <c r="M902" s="4">
        <f>3+(12*57)</f>
        <v>687</v>
      </c>
      <c r="N902" s="2">
        <v>63</v>
      </c>
      <c r="O902" s="2">
        <v>2</v>
      </c>
      <c r="Q902" s="2">
        <v>1</v>
      </c>
      <c r="R902" s="2">
        <v>1</v>
      </c>
      <c r="S902" s="11">
        <v>0</v>
      </c>
      <c r="T902" s="11">
        <v>1</v>
      </c>
      <c r="U902" s="11">
        <v>0</v>
      </c>
      <c r="V902" s="2">
        <v>0</v>
      </c>
      <c r="W902" s="2">
        <v>0</v>
      </c>
      <c r="X902" s="2">
        <v>0</v>
      </c>
      <c r="Y902" s="2">
        <v>0</v>
      </c>
      <c r="Z902" s="27">
        <v>1971.0409999999999</v>
      </c>
      <c r="AA902" s="31">
        <v>1972.01</v>
      </c>
    </row>
    <row r="903" spans="1:27" x14ac:dyDescent="0.2">
      <c r="A903" s="3" t="s">
        <v>2544</v>
      </c>
      <c r="B903" s="2" t="s">
        <v>2545</v>
      </c>
      <c r="C903" s="8">
        <v>26434</v>
      </c>
      <c r="D903" s="2">
        <v>1972</v>
      </c>
      <c r="E903" s="2">
        <v>1970</v>
      </c>
      <c r="F903" s="2">
        <v>0</v>
      </c>
      <c r="G903" s="2">
        <v>0</v>
      </c>
      <c r="H903" s="3" t="s">
        <v>27</v>
      </c>
      <c r="I903" s="3" t="s">
        <v>4976</v>
      </c>
      <c r="J903" s="3" t="s">
        <v>2546</v>
      </c>
      <c r="K903" s="21" t="s">
        <v>2526</v>
      </c>
      <c r="L903" s="10">
        <v>25132</v>
      </c>
      <c r="M903" s="4">
        <f>7+(12*3)</f>
        <v>43</v>
      </c>
      <c r="N903" s="2">
        <v>90</v>
      </c>
      <c r="O903" s="2">
        <v>1</v>
      </c>
      <c r="Q903" s="2">
        <v>1</v>
      </c>
      <c r="R903" s="2">
        <v>0</v>
      </c>
      <c r="S903" s="11">
        <v>1</v>
      </c>
      <c r="T903" s="11">
        <v>1</v>
      </c>
      <c r="U903" s="11">
        <v>1</v>
      </c>
      <c r="V903" s="2">
        <v>0</v>
      </c>
      <c r="W903" s="2">
        <v>1</v>
      </c>
      <c r="X903" s="2">
        <v>1</v>
      </c>
      <c r="Y903" s="2">
        <v>0</v>
      </c>
      <c r="Z903" s="27">
        <v>1971.105</v>
      </c>
      <c r="AA903" s="31">
        <v>1972.02</v>
      </c>
    </row>
    <row r="904" spans="1:27" x14ac:dyDescent="0.2">
      <c r="A904" s="3" t="s">
        <v>2538</v>
      </c>
      <c r="B904" s="2" t="s">
        <v>2539</v>
      </c>
      <c r="C904" s="8">
        <v>26441</v>
      </c>
      <c r="D904" s="2">
        <v>1972</v>
      </c>
      <c r="E904" s="2">
        <v>1970</v>
      </c>
      <c r="F904" s="2">
        <v>0</v>
      </c>
      <c r="G904" s="2">
        <v>0</v>
      </c>
      <c r="H904" s="3" t="s">
        <v>27</v>
      </c>
      <c r="I904" s="3" t="s">
        <v>4742</v>
      </c>
      <c r="J904" s="3" t="s">
        <v>2540</v>
      </c>
      <c r="K904" s="21" t="s">
        <v>2541</v>
      </c>
      <c r="L904" s="10">
        <v>25856</v>
      </c>
      <c r="M904" s="4">
        <f>7+12</f>
        <v>19</v>
      </c>
      <c r="N904" s="2">
        <v>91</v>
      </c>
      <c r="O904" s="2">
        <v>1</v>
      </c>
      <c r="Q904" s="2">
        <v>1</v>
      </c>
      <c r="R904" s="2">
        <v>1</v>
      </c>
      <c r="S904" s="11">
        <v>1</v>
      </c>
      <c r="T904" s="11">
        <v>1</v>
      </c>
      <c r="U904" s="11">
        <v>0</v>
      </c>
      <c r="V904" s="2">
        <v>0</v>
      </c>
      <c r="W904" s="2">
        <v>1</v>
      </c>
      <c r="X904" s="2">
        <v>2</v>
      </c>
      <c r="Y904" s="2">
        <v>0</v>
      </c>
      <c r="Z904" s="27">
        <v>1971.1130000000001</v>
      </c>
      <c r="AA904" s="31">
        <v>1972.03</v>
      </c>
    </row>
    <row r="905" spans="1:27" x14ac:dyDescent="0.2">
      <c r="A905" s="3" t="s">
        <v>4103</v>
      </c>
      <c r="B905" s="2" t="s">
        <v>4104</v>
      </c>
      <c r="C905" s="8">
        <v>26462</v>
      </c>
      <c r="D905" s="2">
        <v>1972</v>
      </c>
      <c r="E905" s="2">
        <v>1970</v>
      </c>
      <c r="F905" s="2">
        <v>1</v>
      </c>
      <c r="G905" s="2">
        <v>1</v>
      </c>
      <c r="H905" s="3" t="s">
        <v>3442</v>
      </c>
      <c r="I905" s="3" t="s">
        <v>5083</v>
      </c>
      <c r="J905" s="3" t="s">
        <v>4105</v>
      </c>
      <c r="K905" s="21" t="s">
        <v>2276</v>
      </c>
      <c r="L905" s="10">
        <v>17709</v>
      </c>
      <c r="M905" s="4">
        <f>12*24</f>
        <v>288</v>
      </c>
      <c r="N905" s="2">
        <v>80</v>
      </c>
      <c r="O905" s="2">
        <v>2</v>
      </c>
      <c r="Q905" s="2">
        <v>0</v>
      </c>
      <c r="R905" s="2">
        <v>0</v>
      </c>
      <c r="S905" s="11">
        <v>0</v>
      </c>
      <c r="T905" s="11">
        <v>1</v>
      </c>
      <c r="U905" s="11">
        <v>1</v>
      </c>
      <c r="V905" s="2">
        <v>0</v>
      </c>
      <c r="W905" s="2">
        <v>1</v>
      </c>
      <c r="X905" s="2">
        <v>3</v>
      </c>
      <c r="Y905" s="2">
        <v>1</v>
      </c>
      <c r="Z905" s="27">
        <v>1971.1410000000001</v>
      </c>
      <c r="AA905" s="31">
        <v>1972.04</v>
      </c>
    </row>
    <row r="906" spans="1:27" x14ac:dyDescent="0.2">
      <c r="A906" s="3" t="s">
        <v>2547</v>
      </c>
      <c r="B906" s="2" t="s">
        <v>2548</v>
      </c>
      <c r="C906" s="8">
        <v>26479</v>
      </c>
      <c r="D906" s="2">
        <v>1972</v>
      </c>
      <c r="E906" s="2">
        <v>1970</v>
      </c>
      <c r="F906" s="2">
        <v>0</v>
      </c>
      <c r="G906" s="2">
        <v>0</v>
      </c>
      <c r="H906" s="3" t="s">
        <v>27</v>
      </c>
      <c r="I906" s="3" t="s">
        <v>2549</v>
      </c>
      <c r="J906" s="3" t="s">
        <v>2549</v>
      </c>
      <c r="K906" s="21" t="s">
        <v>2550</v>
      </c>
      <c r="L906" s="10">
        <v>25833</v>
      </c>
      <c r="M906" s="4">
        <f>9+12</f>
        <v>21</v>
      </c>
      <c r="N906" s="2">
        <v>91</v>
      </c>
      <c r="O906" s="2">
        <v>2</v>
      </c>
      <c r="Q906" s="2">
        <v>1</v>
      </c>
      <c r="R906" s="2">
        <v>0</v>
      </c>
      <c r="S906" s="11">
        <v>1</v>
      </c>
      <c r="T906" s="11">
        <v>0</v>
      </c>
      <c r="U906" s="11">
        <v>1</v>
      </c>
      <c r="V906" s="2">
        <v>0</v>
      </c>
      <c r="W906" s="2">
        <v>1</v>
      </c>
      <c r="X906" s="2">
        <v>3</v>
      </c>
      <c r="Y906" s="2">
        <v>0</v>
      </c>
      <c r="Z906" s="27">
        <v>1971.172</v>
      </c>
      <c r="AA906" s="31">
        <v>1972.05</v>
      </c>
    </row>
    <row r="907" spans="1:27" x14ac:dyDescent="0.2">
      <c r="A907" s="3" t="s">
        <v>2542</v>
      </c>
      <c r="B907" s="2" t="s">
        <v>2543</v>
      </c>
      <c r="C907" s="8">
        <v>26479</v>
      </c>
      <c r="D907" s="2">
        <v>1972</v>
      </c>
      <c r="E907" s="2">
        <v>1970</v>
      </c>
      <c r="F907" s="2">
        <v>0</v>
      </c>
      <c r="G907" s="2">
        <v>0</v>
      </c>
      <c r="H907" s="3" t="s">
        <v>27</v>
      </c>
      <c r="I907" s="3" t="s">
        <v>4538</v>
      </c>
      <c r="J907" s="3" t="s">
        <v>2448</v>
      </c>
      <c r="K907" s="21" t="s">
        <v>2238</v>
      </c>
      <c r="L907" s="10">
        <v>19172</v>
      </c>
      <c r="M907" s="4">
        <f>12*20</f>
        <v>240</v>
      </c>
      <c r="N907" s="2">
        <v>82</v>
      </c>
      <c r="O907" s="2">
        <v>2</v>
      </c>
      <c r="Q907" s="2">
        <v>1</v>
      </c>
      <c r="R907" s="2">
        <v>1</v>
      </c>
      <c r="S907" s="11">
        <v>1</v>
      </c>
      <c r="T907" s="11">
        <v>0</v>
      </c>
      <c r="U907" s="11">
        <v>1</v>
      </c>
      <c r="V907" s="2">
        <v>0</v>
      </c>
      <c r="W907" s="2">
        <v>1</v>
      </c>
      <c r="X907" s="2">
        <v>3</v>
      </c>
      <c r="Y907" s="2">
        <v>0</v>
      </c>
      <c r="Z907" s="27">
        <v>1971.1769999999999</v>
      </c>
      <c r="AA907" s="31">
        <v>1972.06</v>
      </c>
    </row>
    <row r="908" spans="1:27" x14ac:dyDescent="0.2">
      <c r="A908" s="3" t="s">
        <v>4106</v>
      </c>
      <c r="B908" s="2" t="s">
        <v>4107</v>
      </c>
      <c r="C908" s="8">
        <v>26644</v>
      </c>
      <c r="D908" s="2">
        <v>1972</v>
      </c>
      <c r="E908" s="2">
        <v>1970</v>
      </c>
      <c r="F908" s="2">
        <v>2</v>
      </c>
      <c r="G908" s="2">
        <v>1</v>
      </c>
      <c r="H908" s="3" t="s">
        <v>3434</v>
      </c>
      <c r="I908" s="3" t="s">
        <v>4868</v>
      </c>
      <c r="J908" s="3" t="s">
        <v>4108</v>
      </c>
      <c r="K908" s="21" t="s">
        <v>2887</v>
      </c>
      <c r="L908" s="10">
        <v>24839</v>
      </c>
      <c r="M908" s="4">
        <f>11+36</f>
        <v>47</v>
      </c>
      <c r="N908" s="2">
        <v>90</v>
      </c>
      <c r="O908" s="2">
        <v>3</v>
      </c>
      <c r="Q908" s="2">
        <v>0</v>
      </c>
      <c r="R908" s="2">
        <v>0</v>
      </c>
      <c r="S908" s="11">
        <v>0</v>
      </c>
      <c r="T908" s="11">
        <v>0</v>
      </c>
      <c r="U908" s="11">
        <v>0</v>
      </c>
      <c r="V908" s="2">
        <v>1</v>
      </c>
      <c r="W908" s="2">
        <v>1</v>
      </c>
      <c r="X908" s="2">
        <v>0</v>
      </c>
      <c r="Y908" s="2">
        <v>0</v>
      </c>
      <c r="Z908" s="27" t="s">
        <v>5167</v>
      </c>
      <c r="AA908" s="31">
        <v>1972.07</v>
      </c>
    </row>
    <row r="909" spans="1:27" x14ac:dyDescent="0.2">
      <c r="A909" s="3" t="s">
        <v>2551</v>
      </c>
      <c r="B909" s="2" t="s">
        <v>2552</v>
      </c>
      <c r="C909" s="8">
        <v>26623</v>
      </c>
      <c r="D909" s="2">
        <v>1972</v>
      </c>
      <c r="E909" s="2">
        <v>1970</v>
      </c>
      <c r="F909" s="2">
        <v>0</v>
      </c>
      <c r="G909" s="2">
        <v>0</v>
      </c>
      <c r="H909" s="3" t="s">
        <v>27</v>
      </c>
      <c r="I909" s="3" t="s">
        <v>2553</v>
      </c>
      <c r="J909" s="3" t="s">
        <v>2553</v>
      </c>
      <c r="K909" s="21" t="s">
        <v>2554</v>
      </c>
      <c r="L909" s="10">
        <v>24975</v>
      </c>
      <c r="M909" s="4">
        <f>6+(12*4)</f>
        <v>54</v>
      </c>
      <c r="N909" s="2">
        <v>90</v>
      </c>
      <c r="O909" s="2">
        <v>4</v>
      </c>
      <c r="Q909" s="2">
        <v>0</v>
      </c>
      <c r="R909" s="2">
        <v>0</v>
      </c>
      <c r="S909" s="11">
        <v>0</v>
      </c>
      <c r="T909" s="11">
        <v>0</v>
      </c>
      <c r="U909" s="11">
        <v>1</v>
      </c>
      <c r="V909" s="2">
        <v>0</v>
      </c>
      <c r="W909" s="2">
        <v>1</v>
      </c>
      <c r="X909" s="2">
        <v>1</v>
      </c>
      <c r="Y909" s="2">
        <v>0</v>
      </c>
      <c r="Z909" s="27">
        <v>1972.01</v>
      </c>
      <c r="AA909" s="31">
        <v>1972.08</v>
      </c>
    </row>
    <row r="910" spans="1:27" x14ac:dyDescent="0.2">
      <c r="A910" s="3" t="s">
        <v>4100</v>
      </c>
      <c r="B910" s="2" t="s">
        <v>4101</v>
      </c>
      <c r="C910" s="8">
        <v>26609</v>
      </c>
      <c r="D910" s="2">
        <v>1972</v>
      </c>
      <c r="E910" s="2">
        <v>1970</v>
      </c>
      <c r="F910" s="2">
        <v>2</v>
      </c>
      <c r="G910" s="2">
        <v>1</v>
      </c>
      <c r="H910" s="3" t="s">
        <v>3434</v>
      </c>
      <c r="I910" s="3" t="s">
        <v>5063</v>
      </c>
      <c r="J910" s="3" t="s">
        <v>5064</v>
      </c>
      <c r="K910" s="21" t="s">
        <v>4102</v>
      </c>
      <c r="L910" s="10">
        <v>17014</v>
      </c>
      <c r="M910" s="4">
        <f>4+(12*26)</f>
        <v>316</v>
      </c>
      <c r="N910" s="2">
        <v>79</v>
      </c>
      <c r="O910" s="2">
        <v>2</v>
      </c>
      <c r="Q910" s="2">
        <v>0</v>
      </c>
      <c r="R910" s="2">
        <v>0</v>
      </c>
      <c r="S910" s="11">
        <v>0</v>
      </c>
      <c r="T910" s="11">
        <v>0</v>
      </c>
      <c r="U910" s="11">
        <v>0</v>
      </c>
      <c r="V910" s="2">
        <v>1</v>
      </c>
      <c r="W910" s="2">
        <v>1</v>
      </c>
      <c r="X910" s="2">
        <v>0</v>
      </c>
      <c r="Y910" s="2">
        <v>0</v>
      </c>
      <c r="Z910" s="27" t="s">
        <v>5167</v>
      </c>
      <c r="AA910" s="31">
        <v>1972.09</v>
      </c>
    </row>
    <row r="911" spans="1:27" x14ac:dyDescent="0.2">
      <c r="A911" s="3" t="s">
        <v>2578</v>
      </c>
      <c r="B911" s="2" t="s">
        <v>2579</v>
      </c>
      <c r="C911" s="8">
        <v>26674</v>
      </c>
      <c r="D911" s="2">
        <v>1973</v>
      </c>
      <c r="E911" s="2">
        <v>1970</v>
      </c>
      <c r="F911" s="2">
        <v>0</v>
      </c>
      <c r="G911" s="2">
        <v>0</v>
      </c>
      <c r="H911" s="3" t="s">
        <v>27</v>
      </c>
      <c r="I911" s="3" t="s">
        <v>4904</v>
      </c>
      <c r="J911" s="3" t="s">
        <v>2580</v>
      </c>
      <c r="K911" s="21" t="s">
        <v>2581</v>
      </c>
      <c r="L911" s="10">
        <v>16981</v>
      </c>
      <c r="M911" s="4">
        <f>7+(12*26)</f>
        <v>319</v>
      </c>
      <c r="N911" s="2">
        <v>79</v>
      </c>
      <c r="O911" s="2">
        <v>1</v>
      </c>
      <c r="Q911" s="2">
        <v>0</v>
      </c>
      <c r="R911" s="2">
        <v>0</v>
      </c>
      <c r="S911" s="11">
        <v>1</v>
      </c>
      <c r="T911" s="11">
        <v>0</v>
      </c>
      <c r="U911" s="11">
        <v>1</v>
      </c>
      <c r="V911" s="2">
        <v>0</v>
      </c>
      <c r="W911" s="2">
        <v>1</v>
      </c>
      <c r="X911" s="2">
        <v>4</v>
      </c>
      <c r="Y911" s="2">
        <v>1</v>
      </c>
      <c r="Z911" s="27">
        <v>1972.0340000000001</v>
      </c>
      <c r="AA911" s="31">
        <v>1973.01</v>
      </c>
    </row>
    <row r="912" spans="1:27" x14ac:dyDescent="0.2">
      <c r="A912" s="3" t="s">
        <v>2561</v>
      </c>
      <c r="B912" s="2" t="s">
        <v>2562</v>
      </c>
      <c r="C912" s="8">
        <v>26728</v>
      </c>
      <c r="D912" s="2">
        <v>1973</v>
      </c>
      <c r="E912" s="2">
        <v>1970</v>
      </c>
      <c r="F912" s="2">
        <v>0</v>
      </c>
      <c r="G912" s="2">
        <v>0</v>
      </c>
      <c r="H912" s="3" t="s">
        <v>27</v>
      </c>
      <c r="I912" s="23" t="s">
        <v>4980</v>
      </c>
      <c r="J912" s="23" t="s">
        <v>2563</v>
      </c>
      <c r="K912" s="21" t="s">
        <v>2564</v>
      </c>
      <c r="L912" s="10">
        <v>24924</v>
      </c>
      <c r="M912" s="4">
        <f>12*5</f>
        <v>60</v>
      </c>
      <c r="N912" s="2">
        <v>90</v>
      </c>
      <c r="O912" s="2">
        <v>4</v>
      </c>
      <c r="Q912" s="2">
        <v>0</v>
      </c>
      <c r="R912" s="2">
        <v>0</v>
      </c>
      <c r="S912" s="11">
        <v>1</v>
      </c>
      <c r="T912" s="11">
        <v>1</v>
      </c>
      <c r="U912" s="11">
        <v>0</v>
      </c>
      <c r="V912" s="2">
        <v>0</v>
      </c>
      <c r="W912" s="2">
        <v>1</v>
      </c>
      <c r="X912" s="2">
        <v>2</v>
      </c>
      <c r="Y912" s="2">
        <v>1</v>
      </c>
      <c r="Z912" s="27">
        <v>1972.069</v>
      </c>
      <c r="AA912" s="31">
        <v>1973.02</v>
      </c>
    </row>
    <row r="913" spans="1:27" ht="12.75" customHeight="1" x14ac:dyDescent="0.2">
      <c r="A913" s="3" t="s">
        <v>2565</v>
      </c>
      <c r="B913" s="2" t="s">
        <v>2566</v>
      </c>
      <c r="C913" s="8">
        <v>26778</v>
      </c>
      <c r="D913" s="2">
        <v>1973</v>
      </c>
      <c r="E913" s="2">
        <v>1970</v>
      </c>
      <c r="F913" s="2">
        <v>0</v>
      </c>
      <c r="G913" s="2">
        <v>0</v>
      </c>
      <c r="H913" s="3" t="s">
        <v>27</v>
      </c>
      <c r="I913" s="3" t="s">
        <v>4977</v>
      </c>
      <c r="J913" s="3" t="s">
        <v>2567</v>
      </c>
      <c r="K913" s="21" t="s">
        <v>2510</v>
      </c>
      <c r="L913" s="10">
        <v>24987</v>
      </c>
      <c r="M913" s="4">
        <f>11+48</f>
        <v>59</v>
      </c>
      <c r="N913" s="2">
        <v>90</v>
      </c>
      <c r="O913" s="2">
        <v>4</v>
      </c>
      <c r="Q913" s="2">
        <v>1</v>
      </c>
      <c r="R913" s="2">
        <v>1</v>
      </c>
      <c r="S913" s="11">
        <v>1</v>
      </c>
      <c r="T913" s="11">
        <v>1</v>
      </c>
      <c r="U913" s="11">
        <v>1</v>
      </c>
      <c r="V913" s="2">
        <v>0</v>
      </c>
      <c r="W913" s="2">
        <v>0</v>
      </c>
      <c r="X913" s="2">
        <v>3</v>
      </c>
      <c r="Y913" s="2">
        <v>1</v>
      </c>
      <c r="Z913" s="27">
        <v>1972.098</v>
      </c>
      <c r="AA913" s="31">
        <v>1973.03</v>
      </c>
    </row>
    <row r="914" spans="1:27" x14ac:dyDescent="0.2">
      <c r="A914" s="3" t="s">
        <v>2568</v>
      </c>
      <c r="B914" s="2" t="s">
        <v>2569</v>
      </c>
      <c r="C914" s="8">
        <v>26778</v>
      </c>
      <c r="D914" s="2">
        <v>1973</v>
      </c>
      <c r="E914" s="2">
        <v>1970</v>
      </c>
      <c r="F914" s="2">
        <v>0</v>
      </c>
      <c r="G914" s="2">
        <v>0</v>
      </c>
      <c r="H914" s="3" t="s">
        <v>27</v>
      </c>
      <c r="I914" s="3" t="s">
        <v>4981</v>
      </c>
      <c r="J914" s="3" t="s">
        <v>2570</v>
      </c>
      <c r="K914" s="21" t="s">
        <v>2571</v>
      </c>
      <c r="L914" s="10">
        <v>25778</v>
      </c>
      <c r="M914" s="4">
        <f>9+24</f>
        <v>33</v>
      </c>
      <c r="N914" s="2">
        <v>91</v>
      </c>
      <c r="O914" s="2">
        <v>1</v>
      </c>
      <c r="P914" s="2">
        <v>6</v>
      </c>
      <c r="Q914" s="2">
        <v>1</v>
      </c>
      <c r="R914" s="2">
        <v>0</v>
      </c>
      <c r="S914" s="11">
        <v>1</v>
      </c>
      <c r="T914" s="11">
        <v>0</v>
      </c>
      <c r="U914" s="11">
        <v>0</v>
      </c>
      <c r="V914" s="2">
        <v>0</v>
      </c>
      <c r="W914" s="2">
        <v>1</v>
      </c>
      <c r="X914" s="2">
        <v>1</v>
      </c>
      <c r="Y914" s="2">
        <v>1</v>
      </c>
      <c r="Z914" s="27">
        <v>1972.0989999999999</v>
      </c>
      <c r="AA914" s="31">
        <v>1973.04</v>
      </c>
    </row>
    <row r="915" spans="1:27" x14ac:dyDescent="0.2">
      <c r="A915" s="3" t="s">
        <v>4111</v>
      </c>
      <c r="B915" s="2" t="s">
        <v>4112</v>
      </c>
      <c r="C915" s="8">
        <v>26798</v>
      </c>
      <c r="D915" s="2">
        <v>1973</v>
      </c>
      <c r="E915" s="2">
        <v>1970</v>
      </c>
      <c r="F915" s="2">
        <v>2</v>
      </c>
      <c r="G915" s="2">
        <v>1</v>
      </c>
      <c r="H915" s="3" t="s">
        <v>3434</v>
      </c>
      <c r="I915" s="3" t="s">
        <v>4113</v>
      </c>
      <c r="J915" s="3" t="s">
        <v>4113</v>
      </c>
      <c r="K915" s="21" t="s">
        <v>4114</v>
      </c>
      <c r="L915" s="10">
        <v>22896</v>
      </c>
      <c r="M915" s="4">
        <f>8+120</f>
        <v>128</v>
      </c>
      <c r="N915" s="2">
        <v>87</v>
      </c>
      <c r="O915" s="2">
        <v>3</v>
      </c>
      <c r="Q915" s="2">
        <v>0</v>
      </c>
      <c r="R915" s="2">
        <v>0</v>
      </c>
      <c r="S915" s="11">
        <v>1</v>
      </c>
      <c r="T915" s="11">
        <v>0</v>
      </c>
      <c r="U915" s="11">
        <v>1</v>
      </c>
      <c r="V915" s="2">
        <v>1</v>
      </c>
      <c r="W915" s="2">
        <v>1</v>
      </c>
      <c r="X915" s="2">
        <v>1</v>
      </c>
      <c r="Y915" s="2">
        <v>1</v>
      </c>
      <c r="Z915" s="27">
        <v>1972.1130000000001</v>
      </c>
      <c r="AA915" s="31">
        <v>1973.05</v>
      </c>
    </row>
    <row r="916" spans="1:27" x14ac:dyDescent="0.2">
      <c r="A916" s="3" t="s">
        <v>2555</v>
      </c>
      <c r="B916" s="2" t="s">
        <v>2556</v>
      </c>
      <c r="C916" s="8">
        <v>26833</v>
      </c>
      <c r="D916" s="2">
        <v>1973</v>
      </c>
      <c r="E916" s="2">
        <v>1970</v>
      </c>
      <c r="F916" s="2">
        <v>0</v>
      </c>
      <c r="G916" s="2">
        <v>0</v>
      </c>
      <c r="H916" s="3" t="s">
        <v>27</v>
      </c>
      <c r="I916" s="3" t="s">
        <v>2557</v>
      </c>
      <c r="J916" s="3" t="s">
        <v>2557</v>
      </c>
      <c r="K916" s="21" t="s">
        <v>2558</v>
      </c>
      <c r="L916" s="10">
        <v>14464</v>
      </c>
      <c r="M916" s="4">
        <f>10+(12*33)</f>
        <v>406</v>
      </c>
      <c r="N916" s="2">
        <v>76</v>
      </c>
      <c r="O916" s="2">
        <v>1</v>
      </c>
      <c r="Q916" s="2">
        <v>0</v>
      </c>
      <c r="R916" s="2">
        <v>0</v>
      </c>
      <c r="S916" s="11">
        <v>1</v>
      </c>
      <c r="T916" s="11">
        <v>1</v>
      </c>
      <c r="U916" s="11">
        <v>0</v>
      </c>
      <c r="V916" s="2">
        <v>0</v>
      </c>
      <c r="W916" s="2">
        <v>1</v>
      </c>
      <c r="X916" s="2">
        <v>3</v>
      </c>
      <c r="Y916" s="2">
        <v>0</v>
      </c>
      <c r="Z916" s="27">
        <v>1972.1559999999999</v>
      </c>
      <c r="AA916" s="31">
        <v>1973.06</v>
      </c>
    </row>
    <row r="917" spans="1:27" x14ac:dyDescent="0.2">
      <c r="A917" s="3" t="s">
        <v>2559</v>
      </c>
      <c r="B917" s="2" t="s">
        <v>2560</v>
      </c>
      <c r="C917" s="8">
        <v>26813</v>
      </c>
      <c r="D917" s="2">
        <v>1973</v>
      </c>
      <c r="E917" s="2">
        <v>1970</v>
      </c>
      <c r="F917" s="2">
        <v>0</v>
      </c>
      <c r="G917" s="2">
        <v>0</v>
      </c>
      <c r="H917" s="3" t="s">
        <v>27</v>
      </c>
      <c r="I917" s="3" t="s">
        <v>4920</v>
      </c>
      <c r="J917" s="3" t="s">
        <v>1835</v>
      </c>
      <c r="K917" s="21" t="s">
        <v>1836</v>
      </c>
      <c r="L917" s="10">
        <v>12589</v>
      </c>
      <c r="M917" s="4">
        <f>11+(12*38)</f>
        <v>467</v>
      </c>
      <c r="N917" s="2">
        <v>73</v>
      </c>
      <c r="O917" s="2">
        <v>2</v>
      </c>
      <c r="Q917" s="2">
        <v>1</v>
      </c>
      <c r="R917" s="2">
        <v>0</v>
      </c>
      <c r="S917" s="11">
        <v>1</v>
      </c>
      <c r="T917" s="11">
        <v>1</v>
      </c>
      <c r="U917" s="11">
        <v>1</v>
      </c>
      <c r="V917" s="2">
        <v>0</v>
      </c>
      <c r="W917" s="2">
        <v>0</v>
      </c>
      <c r="X917" s="2">
        <v>2</v>
      </c>
      <c r="Y917" s="2">
        <v>1</v>
      </c>
      <c r="Z917" s="27">
        <v>1972.125</v>
      </c>
      <c r="AA917" s="31">
        <v>1973.07</v>
      </c>
    </row>
    <row r="918" spans="1:27" x14ac:dyDescent="0.2">
      <c r="A918" s="3" t="s">
        <v>2576</v>
      </c>
      <c r="B918" s="2" t="s">
        <v>2577</v>
      </c>
      <c r="C918" s="8">
        <v>26836</v>
      </c>
      <c r="D918" s="2">
        <v>1973</v>
      </c>
      <c r="E918" s="2">
        <v>1970</v>
      </c>
      <c r="F918" s="2">
        <v>0</v>
      </c>
      <c r="G918" s="2">
        <v>0</v>
      </c>
      <c r="H918" s="3" t="s">
        <v>27</v>
      </c>
      <c r="I918" s="3" t="s">
        <v>4705</v>
      </c>
      <c r="J918" s="3" t="s">
        <v>2531</v>
      </c>
      <c r="K918" s="21" t="s">
        <v>1849</v>
      </c>
      <c r="L918" s="10">
        <v>11126</v>
      </c>
      <c r="M918" s="4">
        <f>12*43</f>
        <v>516</v>
      </c>
      <c r="N918" s="2">
        <v>71</v>
      </c>
      <c r="O918" s="2">
        <v>2</v>
      </c>
      <c r="Q918" s="2">
        <v>1</v>
      </c>
      <c r="R918" s="2">
        <v>0</v>
      </c>
      <c r="S918" s="11">
        <v>1</v>
      </c>
      <c r="T918" s="11">
        <v>1</v>
      </c>
      <c r="U918" s="11">
        <v>1</v>
      </c>
      <c r="V918" s="2">
        <v>0</v>
      </c>
      <c r="W918" s="2">
        <v>1</v>
      </c>
      <c r="X918" s="2">
        <v>4</v>
      </c>
      <c r="Y918" s="2">
        <v>0</v>
      </c>
      <c r="Z918" s="27">
        <v>1972.1610000000001</v>
      </c>
      <c r="AA918" s="31">
        <v>1973.08</v>
      </c>
    </row>
    <row r="919" spans="1:27" x14ac:dyDescent="0.2">
      <c r="A919" s="3" t="s">
        <v>2582</v>
      </c>
      <c r="B919" s="2" t="s">
        <v>2583</v>
      </c>
      <c r="C919" s="8">
        <v>26836</v>
      </c>
      <c r="D919" s="2">
        <v>1973</v>
      </c>
      <c r="E919" s="2">
        <v>1970</v>
      </c>
      <c r="F919" s="2">
        <v>0</v>
      </c>
      <c r="G919" s="2">
        <v>0</v>
      </c>
      <c r="H919" s="3" t="s">
        <v>27</v>
      </c>
      <c r="I919" s="3" t="s">
        <v>5083</v>
      </c>
      <c r="J919" s="3" t="s">
        <v>2275</v>
      </c>
      <c r="K919" s="21" t="s">
        <v>2276</v>
      </c>
      <c r="L919" s="10">
        <v>17709</v>
      </c>
      <c r="M919" s="4">
        <f>12*25</f>
        <v>300</v>
      </c>
      <c r="N919" s="2">
        <v>80</v>
      </c>
      <c r="O919" s="2">
        <v>2</v>
      </c>
      <c r="Q919" s="2">
        <v>0</v>
      </c>
      <c r="R919" s="2">
        <v>0</v>
      </c>
      <c r="S919" s="11">
        <v>1</v>
      </c>
      <c r="T919" s="11">
        <v>0</v>
      </c>
      <c r="U919" s="11">
        <v>0</v>
      </c>
      <c r="V919" s="2">
        <v>0</v>
      </c>
      <c r="W919" s="2">
        <v>1</v>
      </c>
      <c r="X919" s="2">
        <v>4</v>
      </c>
      <c r="Y919" s="2">
        <v>0</v>
      </c>
      <c r="Z919" s="27">
        <v>1972.162</v>
      </c>
      <c r="AA919" s="31">
        <v>1973.09</v>
      </c>
    </row>
    <row r="920" spans="1:27" x14ac:dyDescent="0.2">
      <c r="A920" s="3" t="s">
        <v>4109</v>
      </c>
      <c r="B920" s="2" t="s">
        <v>4110</v>
      </c>
      <c r="C920" s="8">
        <v>26836</v>
      </c>
      <c r="D920" s="2">
        <v>1973</v>
      </c>
      <c r="E920" s="2">
        <v>1970</v>
      </c>
      <c r="F920" s="2">
        <v>1</v>
      </c>
      <c r="G920" s="2">
        <v>1</v>
      </c>
      <c r="H920" s="3" t="s">
        <v>3442</v>
      </c>
      <c r="I920" s="3" t="s">
        <v>4538</v>
      </c>
      <c r="J920" s="3" t="s">
        <v>2683</v>
      </c>
      <c r="K920" s="21" t="s">
        <v>2238</v>
      </c>
      <c r="L920" s="10">
        <v>19172</v>
      </c>
      <c r="M920" s="4">
        <f>12*21</f>
        <v>252</v>
      </c>
      <c r="N920" s="2">
        <v>82</v>
      </c>
      <c r="O920" s="2">
        <v>1</v>
      </c>
      <c r="Q920" s="2">
        <v>1</v>
      </c>
      <c r="R920" s="2">
        <v>0</v>
      </c>
      <c r="S920" s="11">
        <v>1</v>
      </c>
      <c r="T920" s="11">
        <v>0</v>
      </c>
      <c r="U920" s="11">
        <v>0</v>
      </c>
      <c r="V920" s="2">
        <v>0</v>
      </c>
      <c r="W920" s="2">
        <v>1</v>
      </c>
      <c r="X920" s="2">
        <v>4</v>
      </c>
      <c r="Y920" s="2">
        <v>1</v>
      </c>
      <c r="Z920" s="27">
        <v>1972.165</v>
      </c>
      <c r="AA920" s="31">
        <v>1973.1</v>
      </c>
    </row>
    <row r="921" spans="1:27" x14ac:dyDescent="0.2">
      <c r="A921" s="3" t="s">
        <v>4119</v>
      </c>
      <c r="B921" s="2" t="s">
        <v>4120</v>
      </c>
      <c r="C921" s="8">
        <v>26840</v>
      </c>
      <c r="D921" s="2">
        <v>1973</v>
      </c>
      <c r="E921" s="2">
        <v>1970</v>
      </c>
      <c r="F921" s="2">
        <v>2</v>
      </c>
      <c r="G921" s="2">
        <v>1</v>
      </c>
      <c r="H921" s="3" t="s">
        <v>3434</v>
      </c>
      <c r="I921" s="3" t="s">
        <v>4982</v>
      </c>
      <c r="J921" s="3" t="s">
        <v>4121</v>
      </c>
      <c r="K921" s="21" t="s">
        <v>4118</v>
      </c>
      <c r="L921" s="10">
        <v>25944</v>
      </c>
      <c r="M921" s="4">
        <v>29</v>
      </c>
      <c r="N921" s="2">
        <v>91</v>
      </c>
      <c r="O921" s="2">
        <v>1</v>
      </c>
      <c r="P921" s="2">
        <v>4</v>
      </c>
      <c r="Q921" s="2">
        <v>1</v>
      </c>
      <c r="R921" s="2">
        <v>0</v>
      </c>
      <c r="S921" s="11">
        <v>1</v>
      </c>
      <c r="T921" s="11">
        <v>0</v>
      </c>
      <c r="U921" s="11">
        <v>0</v>
      </c>
      <c r="V921" s="2">
        <v>1</v>
      </c>
      <c r="W921" s="2">
        <v>1</v>
      </c>
      <c r="X921" s="2">
        <v>4</v>
      </c>
      <c r="Y921" s="2">
        <v>1</v>
      </c>
      <c r="Z921" s="27">
        <v>1972.175</v>
      </c>
      <c r="AA921" s="31">
        <v>1973.11</v>
      </c>
    </row>
    <row r="922" spans="1:27" x14ac:dyDescent="0.2">
      <c r="A922" s="3" t="s">
        <v>4115</v>
      </c>
      <c r="B922" s="2" t="s">
        <v>4116</v>
      </c>
      <c r="C922" s="8">
        <v>26840</v>
      </c>
      <c r="D922" s="2">
        <v>1973</v>
      </c>
      <c r="E922" s="2">
        <v>1970</v>
      </c>
      <c r="F922" s="2">
        <v>2</v>
      </c>
      <c r="G922" s="2">
        <v>1</v>
      </c>
      <c r="H922" s="3" t="s">
        <v>3434</v>
      </c>
      <c r="I922" s="3" t="s">
        <v>4982</v>
      </c>
      <c r="J922" s="3" t="s">
        <v>4117</v>
      </c>
      <c r="K922" s="21" t="s">
        <v>4118</v>
      </c>
      <c r="L922" s="10">
        <v>25944</v>
      </c>
      <c r="M922" s="4">
        <f>5+24</f>
        <v>29</v>
      </c>
      <c r="N922" s="2">
        <v>91</v>
      </c>
      <c r="O922" s="2">
        <v>1</v>
      </c>
      <c r="P922" s="2">
        <v>4</v>
      </c>
      <c r="Q922" s="2">
        <v>1</v>
      </c>
      <c r="R922" s="2">
        <v>0</v>
      </c>
      <c r="S922" s="11">
        <v>1</v>
      </c>
      <c r="T922" s="11">
        <v>0</v>
      </c>
      <c r="U922" s="11">
        <v>0</v>
      </c>
      <c r="V922" s="2">
        <v>1</v>
      </c>
      <c r="W922" s="2">
        <v>1</v>
      </c>
      <c r="X922" s="2">
        <v>2</v>
      </c>
      <c r="Y922" s="2">
        <v>1</v>
      </c>
      <c r="Z922" s="27">
        <v>1972.1759999999999</v>
      </c>
      <c r="AA922" s="31">
        <v>1973.12</v>
      </c>
    </row>
    <row r="923" spans="1:27" x14ac:dyDescent="0.2">
      <c r="A923" s="3" t="s">
        <v>2572</v>
      </c>
      <c r="B923" s="2" t="s">
        <v>2573</v>
      </c>
      <c r="C923" s="8">
        <v>26840</v>
      </c>
      <c r="D923" s="2">
        <v>1973</v>
      </c>
      <c r="E923" s="2">
        <v>1970</v>
      </c>
      <c r="F923" s="2">
        <v>0</v>
      </c>
      <c r="G923" s="2">
        <v>0</v>
      </c>
      <c r="H923" s="3" t="s">
        <v>27</v>
      </c>
      <c r="I923" s="3" t="s">
        <v>2574</v>
      </c>
      <c r="J923" s="3" t="s">
        <v>2574</v>
      </c>
      <c r="K923" s="21" t="s">
        <v>2575</v>
      </c>
      <c r="L923" s="10">
        <v>24356</v>
      </c>
      <c r="M923" s="4">
        <f>9+(12*7)</f>
        <v>93</v>
      </c>
      <c r="N923" s="2">
        <v>89</v>
      </c>
      <c r="O923" s="2">
        <v>2</v>
      </c>
      <c r="P923" s="2">
        <v>1</v>
      </c>
      <c r="Q923" s="2">
        <v>0</v>
      </c>
      <c r="R923" s="2">
        <v>0</v>
      </c>
      <c r="S923" s="11">
        <v>1</v>
      </c>
      <c r="T923" s="11">
        <v>0</v>
      </c>
      <c r="U923" s="11">
        <v>1</v>
      </c>
      <c r="V923" s="2">
        <v>0</v>
      </c>
      <c r="W923" s="2">
        <v>1</v>
      </c>
      <c r="X923" s="2">
        <v>3</v>
      </c>
      <c r="Y923" s="2">
        <v>1</v>
      </c>
      <c r="Z923" s="27">
        <v>1972.1769999999999</v>
      </c>
      <c r="AA923" s="31">
        <v>1973.13</v>
      </c>
    </row>
    <row r="924" spans="1:27" x14ac:dyDescent="0.2">
      <c r="A924" s="3" t="s">
        <v>2598</v>
      </c>
      <c r="B924" s="2" t="s">
        <v>2599</v>
      </c>
      <c r="C924" s="8">
        <v>27038</v>
      </c>
      <c r="D924" s="2">
        <v>1974</v>
      </c>
      <c r="E924" s="2">
        <v>1970</v>
      </c>
      <c r="F924" s="2">
        <v>0</v>
      </c>
      <c r="G924" s="2">
        <v>0</v>
      </c>
      <c r="H924" s="3" t="s">
        <v>27</v>
      </c>
      <c r="I924" s="3" t="s">
        <v>4983</v>
      </c>
      <c r="J924" s="3" t="s">
        <v>2600</v>
      </c>
      <c r="K924" s="21" t="s">
        <v>2601</v>
      </c>
      <c r="L924" s="10">
        <v>25126</v>
      </c>
      <c r="M924" s="4">
        <f>3+(12*5)</f>
        <v>63</v>
      </c>
      <c r="N924" s="2">
        <v>90</v>
      </c>
      <c r="O924" s="2">
        <v>1</v>
      </c>
      <c r="Q924" s="2">
        <v>0</v>
      </c>
      <c r="R924" s="2">
        <v>0</v>
      </c>
      <c r="S924" s="11">
        <v>1</v>
      </c>
      <c r="T924" s="11">
        <v>1</v>
      </c>
      <c r="U924" s="11">
        <v>0</v>
      </c>
      <c r="V924" s="2">
        <v>0</v>
      </c>
      <c r="W924" s="2">
        <v>1</v>
      </c>
      <c r="X924" s="2">
        <v>3</v>
      </c>
      <c r="Y924" s="2">
        <v>1</v>
      </c>
      <c r="Z924" s="27">
        <v>1973.0319999999999</v>
      </c>
      <c r="AA924" s="31">
        <v>1974.01</v>
      </c>
    </row>
    <row r="925" spans="1:27" x14ac:dyDescent="0.2">
      <c r="A925" s="3" t="s">
        <v>4122</v>
      </c>
      <c r="B925" s="8" t="s">
        <v>4123</v>
      </c>
      <c r="C925" s="8">
        <v>27080</v>
      </c>
      <c r="D925" s="2">
        <v>1974</v>
      </c>
      <c r="E925" s="2">
        <v>1970</v>
      </c>
      <c r="F925" s="2">
        <v>1</v>
      </c>
      <c r="G925" s="2">
        <v>1</v>
      </c>
      <c r="H925" s="3" t="s">
        <v>3442</v>
      </c>
      <c r="I925" s="3" t="s">
        <v>5065</v>
      </c>
      <c r="J925" s="3" t="s">
        <v>4124</v>
      </c>
      <c r="K925" s="21" t="s">
        <v>4125</v>
      </c>
      <c r="L925" s="10">
        <v>24939</v>
      </c>
      <c r="M925" s="4">
        <f>10+(12*5)</f>
        <v>70</v>
      </c>
      <c r="N925" s="2">
        <v>90</v>
      </c>
      <c r="O925" s="2">
        <v>1</v>
      </c>
      <c r="Q925" s="2">
        <v>1</v>
      </c>
      <c r="R925" s="2">
        <v>0</v>
      </c>
      <c r="S925" s="11">
        <v>1</v>
      </c>
      <c r="T925" s="11">
        <v>1</v>
      </c>
      <c r="U925" s="11">
        <v>0</v>
      </c>
      <c r="V925" s="2">
        <v>0</v>
      </c>
      <c r="W925" s="2">
        <v>0</v>
      </c>
      <c r="X925" s="2">
        <v>0</v>
      </c>
      <c r="Y925" s="2">
        <v>1</v>
      </c>
      <c r="Z925" s="27">
        <v>1973.0550000000001</v>
      </c>
      <c r="AA925" s="31">
        <v>1974.02</v>
      </c>
    </row>
    <row r="926" spans="1:27" x14ac:dyDescent="0.2">
      <c r="A926" s="3" t="s">
        <v>4129</v>
      </c>
      <c r="B926" s="2" t="s">
        <v>4130</v>
      </c>
      <c r="C926" s="8">
        <v>27092</v>
      </c>
      <c r="D926" s="2">
        <v>1974</v>
      </c>
      <c r="E926" s="2">
        <v>1970</v>
      </c>
      <c r="F926" s="2">
        <v>2</v>
      </c>
      <c r="G926" s="2">
        <v>1</v>
      </c>
      <c r="H926" s="3" t="s">
        <v>3434</v>
      </c>
      <c r="I926" s="3" t="s">
        <v>4984</v>
      </c>
      <c r="J926" s="3" t="s">
        <v>4131</v>
      </c>
      <c r="K926" s="21" t="s">
        <v>4132</v>
      </c>
      <c r="L926" s="10">
        <v>18871</v>
      </c>
      <c r="M926" s="4">
        <f>7+(12*22)</f>
        <v>271</v>
      </c>
      <c r="N926" s="2">
        <v>82</v>
      </c>
      <c r="O926" s="2">
        <v>4</v>
      </c>
      <c r="P926" s="2">
        <v>6</v>
      </c>
      <c r="Q926" s="2">
        <v>0</v>
      </c>
      <c r="R926" s="2">
        <v>0</v>
      </c>
      <c r="S926" s="11">
        <v>1</v>
      </c>
      <c r="T926" s="11">
        <v>0</v>
      </c>
      <c r="U926" s="11">
        <v>1</v>
      </c>
      <c r="V926" s="2">
        <v>0</v>
      </c>
      <c r="W926" s="2">
        <v>1</v>
      </c>
      <c r="X926" s="2">
        <v>2</v>
      </c>
      <c r="Y926" s="2">
        <v>1</v>
      </c>
      <c r="Z926" s="27">
        <v>1973.0650000000001</v>
      </c>
      <c r="AA926" s="31">
        <v>1974.03</v>
      </c>
    </row>
    <row r="927" spans="1:27" x14ac:dyDescent="0.2">
      <c r="A927" s="3" t="s">
        <v>2594</v>
      </c>
      <c r="B927" s="2" t="s">
        <v>2595</v>
      </c>
      <c r="C927" s="8">
        <v>27092</v>
      </c>
      <c r="D927" s="2">
        <v>1974</v>
      </c>
      <c r="E927" s="2">
        <v>1970</v>
      </c>
      <c r="F927" s="2">
        <v>0</v>
      </c>
      <c r="G927" s="2">
        <v>0</v>
      </c>
      <c r="H927" s="3" t="s">
        <v>27</v>
      </c>
      <c r="I927" s="3" t="s">
        <v>4985</v>
      </c>
      <c r="J927" s="3" t="s">
        <v>2596</v>
      </c>
      <c r="K927" s="21" t="s">
        <v>2597</v>
      </c>
      <c r="L927" s="10">
        <v>24418</v>
      </c>
      <c r="M927" s="4">
        <f>4+(12*7)</f>
        <v>88</v>
      </c>
      <c r="N927" s="2">
        <v>89</v>
      </c>
      <c r="O927" s="2">
        <v>2</v>
      </c>
      <c r="Q927" s="2">
        <v>0</v>
      </c>
      <c r="R927" s="2">
        <v>0</v>
      </c>
      <c r="S927" s="11">
        <v>1</v>
      </c>
      <c r="T927" s="11">
        <v>1</v>
      </c>
      <c r="U927" s="11">
        <v>1</v>
      </c>
      <c r="V927" s="2">
        <v>0</v>
      </c>
      <c r="W927" s="2">
        <v>1</v>
      </c>
      <c r="X927" s="2">
        <v>1</v>
      </c>
      <c r="Y927" s="2">
        <v>1</v>
      </c>
      <c r="Z927" s="27">
        <v>1973.067</v>
      </c>
      <c r="AA927" s="31">
        <v>1974.04</v>
      </c>
    </row>
    <row r="928" spans="1:27" x14ac:dyDescent="0.2">
      <c r="A928" s="3" t="s">
        <v>2584</v>
      </c>
      <c r="B928" s="2" t="s">
        <v>2585</v>
      </c>
      <c r="C928" s="8">
        <v>27135</v>
      </c>
      <c r="D928" s="2">
        <v>1974</v>
      </c>
      <c r="E928" s="2">
        <v>1970</v>
      </c>
      <c r="F928" s="2">
        <v>0</v>
      </c>
      <c r="G928" s="2">
        <v>0</v>
      </c>
      <c r="H928" s="3" t="s">
        <v>27</v>
      </c>
      <c r="I928" s="3" t="s">
        <v>2586</v>
      </c>
      <c r="J928" s="3" t="s">
        <v>2586</v>
      </c>
      <c r="K928" s="19" t="s">
        <v>2587</v>
      </c>
      <c r="L928" s="10">
        <v>4620</v>
      </c>
      <c r="M928" s="4">
        <f>8+(12*61)</f>
        <v>740</v>
      </c>
      <c r="N928" s="2">
        <v>62</v>
      </c>
      <c r="O928" s="2">
        <v>1</v>
      </c>
      <c r="Q928" s="2">
        <v>0</v>
      </c>
      <c r="R928" s="2">
        <v>0</v>
      </c>
      <c r="S928" s="11">
        <v>1</v>
      </c>
      <c r="T928" s="11">
        <v>0</v>
      </c>
      <c r="U928" s="11">
        <v>1</v>
      </c>
      <c r="V928" s="2">
        <v>0</v>
      </c>
      <c r="W928" s="2">
        <v>1</v>
      </c>
      <c r="X928" s="2">
        <v>4</v>
      </c>
      <c r="Y928" s="2">
        <v>1</v>
      </c>
      <c r="Z928" s="27">
        <v>1973.087</v>
      </c>
      <c r="AA928" s="31">
        <v>1974.05</v>
      </c>
    </row>
    <row r="929" spans="1:27" x14ac:dyDescent="0.2">
      <c r="A929" s="3" t="s">
        <v>2588</v>
      </c>
      <c r="B929" s="2" t="s">
        <v>2589</v>
      </c>
      <c r="C929" s="8">
        <v>27120</v>
      </c>
      <c r="D929" s="2">
        <v>1974</v>
      </c>
      <c r="E929" s="2">
        <v>1970</v>
      </c>
      <c r="F929" s="2">
        <v>0</v>
      </c>
      <c r="G929" s="2">
        <v>0</v>
      </c>
      <c r="H929" s="3" t="s">
        <v>27</v>
      </c>
      <c r="I929" s="3" t="s">
        <v>4986</v>
      </c>
      <c r="J929" s="3" t="s">
        <v>2590</v>
      </c>
      <c r="K929" s="21" t="s">
        <v>2591</v>
      </c>
      <c r="L929" s="10">
        <v>25867</v>
      </c>
      <c r="M929" s="4">
        <f>6+36</f>
        <v>42</v>
      </c>
      <c r="N929" s="2">
        <v>91</v>
      </c>
      <c r="O929" s="2">
        <v>1</v>
      </c>
      <c r="Q929" s="2">
        <v>0</v>
      </c>
      <c r="R929" s="2">
        <v>0</v>
      </c>
      <c r="S929" s="11">
        <v>1</v>
      </c>
      <c r="T929" s="11">
        <v>0</v>
      </c>
      <c r="U929" s="11">
        <v>1</v>
      </c>
      <c r="V929" s="2">
        <v>0</v>
      </c>
      <c r="W929" s="2">
        <v>1</v>
      </c>
      <c r="X929" s="2">
        <v>3</v>
      </c>
      <c r="Y929" s="2">
        <v>1</v>
      </c>
      <c r="Z929" s="27">
        <v>1973.085</v>
      </c>
      <c r="AA929" s="31">
        <v>1974.06</v>
      </c>
    </row>
    <row r="930" spans="1:27" x14ac:dyDescent="0.2">
      <c r="A930" s="3" t="s">
        <v>4133</v>
      </c>
      <c r="B930" s="2" t="s">
        <v>4134</v>
      </c>
      <c r="C930" s="8">
        <v>27143</v>
      </c>
      <c r="D930" s="2">
        <v>1974</v>
      </c>
      <c r="E930" s="2">
        <v>1970</v>
      </c>
      <c r="F930" s="2">
        <v>1</v>
      </c>
      <c r="G930" s="2">
        <v>1</v>
      </c>
      <c r="H930" s="3" t="s">
        <v>3442</v>
      </c>
      <c r="I930" s="3" t="s">
        <v>4981</v>
      </c>
      <c r="J930" s="3" t="s">
        <v>4135</v>
      </c>
      <c r="K930" s="21" t="s">
        <v>2571</v>
      </c>
      <c r="L930" s="10">
        <v>25778</v>
      </c>
      <c r="M930" s="4">
        <f>9+36</f>
        <v>45</v>
      </c>
      <c r="N930" s="2">
        <v>91</v>
      </c>
      <c r="O930" s="2">
        <v>1</v>
      </c>
      <c r="Q930" s="2">
        <v>1</v>
      </c>
      <c r="R930" s="2">
        <v>0</v>
      </c>
      <c r="S930" s="11">
        <v>0</v>
      </c>
      <c r="T930" s="11">
        <v>1</v>
      </c>
      <c r="U930" s="11">
        <v>1</v>
      </c>
      <c r="V930" s="2">
        <v>0</v>
      </c>
      <c r="W930" s="2">
        <v>0</v>
      </c>
      <c r="X930" s="2">
        <v>0</v>
      </c>
      <c r="Y930" s="2">
        <v>1</v>
      </c>
      <c r="Z930" s="27">
        <v>1973.0940000000001</v>
      </c>
      <c r="AA930" s="31">
        <v>1974.07</v>
      </c>
    </row>
    <row r="931" spans="1:27" x14ac:dyDescent="0.2">
      <c r="A931" s="3" t="s">
        <v>2602</v>
      </c>
      <c r="B931" s="2" t="s">
        <v>2603</v>
      </c>
      <c r="C931" s="8">
        <v>27197</v>
      </c>
      <c r="D931" s="2">
        <v>1974</v>
      </c>
      <c r="E931" s="2">
        <v>1970</v>
      </c>
      <c r="F931" s="2">
        <v>0</v>
      </c>
      <c r="G931" s="2">
        <v>0</v>
      </c>
      <c r="H931" s="3" t="s">
        <v>27</v>
      </c>
      <c r="I931" s="3" t="s">
        <v>2604</v>
      </c>
      <c r="J931" s="3" t="s">
        <v>2604</v>
      </c>
      <c r="K931" s="21" t="s">
        <v>2605</v>
      </c>
      <c r="L931" s="10">
        <v>12588</v>
      </c>
      <c r="M931" s="4">
        <f>12*40</f>
        <v>480</v>
      </c>
      <c r="N931" s="2">
        <v>73</v>
      </c>
      <c r="O931" s="2">
        <v>3</v>
      </c>
      <c r="Q931" s="2">
        <v>0</v>
      </c>
      <c r="R931" s="2">
        <v>0</v>
      </c>
      <c r="S931" s="11">
        <v>1</v>
      </c>
      <c r="T931" s="11">
        <v>0</v>
      </c>
      <c r="U931" s="11">
        <v>1</v>
      </c>
      <c r="V931" s="2">
        <v>0</v>
      </c>
      <c r="W931" s="2">
        <v>1</v>
      </c>
      <c r="X931" s="2">
        <v>0</v>
      </c>
      <c r="Y931" s="2">
        <v>1</v>
      </c>
      <c r="Z931" s="27">
        <v>1973.1389999999999</v>
      </c>
      <c r="AA931" s="31">
        <v>1974.08</v>
      </c>
    </row>
    <row r="932" spans="1:27" x14ac:dyDescent="0.2">
      <c r="A932" s="3" t="s">
        <v>4126</v>
      </c>
      <c r="B932" s="2" t="s">
        <v>4127</v>
      </c>
      <c r="C932" s="8">
        <v>27199</v>
      </c>
      <c r="D932" s="2">
        <v>1974</v>
      </c>
      <c r="E932" s="2">
        <v>1970</v>
      </c>
      <c r="F932" s="2">
        <v>2</v>
      </c>
      <c r="G932" s="2">
        <v>1</v>
      </c>
      <c r="H932" s="3" t="s">
        <v>3434</v>
      </c>
      <c r="I932" s="3" t="s">
        <v>4870</v>
      </c>
      <c r="J932" s="3" t="s">
        <v>4128</v>
      </c>
      <c r="K932" s="21" t="s">
        <v>2517</v>
      </c>
      <c r="L932" s="10">
        <v>23953</v>
      </c>
      <c r="M932" s="4">
        <f>11+(12*8)</f>
        <v>107</v>
      </c>
      <c r="N932" s="2">
        <v>89</v>
      </c>
      <c r="O932" s="2">
        <v>3</v>
      </c>
      <c r="Q932" s="2">
        <v>0</v>
      </c>
      <c r="R932" s="2">
        <v>0</v>
      </c>
      <c r="S932" s="11">
        <v>1</v>
      </c>
      <c r="T932" s="11">
        <v>0</v>
      </c>
      <c r="U932" s="11">
        <v>0</v>
      </c>
      <c r="V932" s="2">
        <v>1</v>
      </c>
      <c r="W932" s="2">
        <v>1</v>
      </c>
      <c r="X932" s="2">
        <v>1</v>
      </c>
      <c r="Y932" s="2">
        <v>1</v>
      </c>
      <c r="Z932" s="27">
        <v>1973.144</v>
      </c>
      <c r="AA932" s="31">
        <v>1974.09</v>
      </c>
    </row>
    <row r="933" spans="1:27" x14ac:dyDescent="0.2">
      <c r="A933" s="3" t="s">
        <v>2606</v>
      </c>
      <c r="B933" s="2" t="s">
        <v>2607</v>
      </c>
      <c r="C933" s="8">
        <v>27199</v>
      </c>
      <c r="D933" s="2">
        <v>1974</v>
      </c>
      <c r="E933" s="2">
        <v>1970</v>
      </c>
      <c r="F933" s="2">
        <v>0</v>
      </c>
      <c r="G933" s="2">
        <v>0</v>
      </c>
      <c r="H933" s="3" t="s">
        <v>27</v>
      </c>
      <c r="I933" s="3" t="s">
        <v>4953</v>
      </c>
      <c r="J933" s="3" t="s">
        <v>2513</v>
      </c>
      <c r="K933" s="21" t="s">
        <v>2250</v>
      </c>
      <c r="L933" s="10">
        <v>18388</v>
      </c>
      <c r="M933" s="4">
        <f>1+(12*24)</f>
        <v>289</v>
      </c>
      <c r="N933" s="2">
        <v>81</v>
      </c>
      <c r="O933" s="2">
        <v>1</v>
      </c>
      <c r="P933" s="2">
        <v>2</v>
      </c>
      <c r="Q933" s="2">
        <v>0</v>
      </c>
      <c r="R933" s="2">
        <v>0</v>
      </c>
      <c r="S933" s="11">
        <v>1</v>
      </c>
      <c r="T933" s="11">
        <v>0</v>
      </c>
      <c r="U933" s="11">
        <v>1</v>
      </c>
      <c r="V933" s="2">
        <v>0</v>
      </c>
      <c r="W933" s="2">
        <v>1</v>
      </c>
      <c r="X933" s="2">
        <v>3</v>
      </c>
      <c r="Y933" s="2">
        <v>1</v>
      </c>
      <c r="Z933" s="27">
        <v>1973.1489999999999</v>
      </c>
      <c r="AA933" s="31">
        <v>1974.1</v>
      </c>
    </row>
    <row r="934" spans="1:27" x14ac:dyDescent="0.2">
      <c r="A934" s="3" t="s">
        <v>2592</v>
      </c>
      <c r="B934" s="2" t="s">
        <v>2593</v>
      </c>
      <c r="C934" s="8">
        <v>27204</v>
      </c>
      <c r="D934" s="2">
        <v>1974</v>
      </c>
      <c r="E934" s="2">
        <v>1970</v>
      </c>
      <c r="F934" s="2">
        <v>0</v>
      </c>
      <c r="G934" s="2">
        <v>0</v>
      </c>
      <c r="H934" s="3" t="s">
        <v>27</v>
      </c>
      <c r="I934" s="3" t="s">
        <v>5083</v>
      </c>
      <c r="J934" s="3" t="s">
        <v>2275</v>
      </c>
      <c r="K934" s="21" t="s">
        <v>2276</v>
      </c>
      <c r="L934" s="10">
        <v>17709</v>
      </c>
      <c r="M934" s="4">
        <f>12*26</f>
        <v>312</v>
      </c>
      <c r="N934" s="2">
        <v>80</v>
      </c>
      <c r="O934" s="2">
        <v>2</v>
      </c>
      <c r="Q934" s="2">
        <v>0</v>
      </c>
      <c r="R934" s="2">
        <v>0</v>
      </c>
      <c r="S934" s="11">
        <v>1</v>
      </c>
      <c r="T934" s="11">
        <v>1</v>
      </c>
      <c r="U934" s="11">
        <v>0</v>
      </c>
      <c r="V934" s="2">
        <v>0</v>
      </c>
      <c r="W934" s="2">
        <v>1</v>
      </c>
      <c r="X934" s="2">
        <v>4</v>
      </c>
      <c r="Y934" s="2">
        <v>0</v>
      </c>
      <c r="Z934" s="27">
        <v>1973.155</v>
      </c>
      <c r="AA934" s="31">
        <v>1974.11</v>
      </c>
    </row>
    <row r="935" spans="1:27" x14ac:dyDescent="0.2">
      <c r="A935" s="3" t="s">
        <v>4136</v>
      </c>
      <c r="B935" s="2" t="s">
        <v>4137</v>
      </c>
      <c r="C935" s="8">
        <v>27379</v>
      </c>
      <c r="D935" s="2">
        <v>1974</v>
      </c>
      <c r="E935" s="2">
        <v>1970</v>
      </c>
      <c r="F935" s="2">
        <v>2</v>
      </c>
      <c r="G935" s="2">
        <v>1</v>
      </c>
      <c r="H935" s="3" t="s">
        <v>3434</v>
      </c>
      <c r="I935" s="3" t="s">
        <v>4987</v>
      </c>
      <c r="J935" s="3" t="s">
        <v>4138</v>
      </c>
      <c r="K935" s="21" t="s">
        <v>4139</v>
      </c>
      <c r="L935" s="10">
        <v>27031</v>
      </c>
      <c r="M935" s="4">
        <f>11</f>
        <v>11</v>
      </c>
      <c r="N935" s="2">
        <v>93</v>
      </c>
      <c r="O935" s="2">
        <v>4</v>
      </c>
      <c r="Q935" s="2">
        <v>1</v>
      </c>
      <c r="R935" s="2">
        <v>0</v>
      </c>
      <c r="S935" s="11">
        <v>1</v>
      </c>
      <c r="T935" s="11">
        <v>0</v>
      </c>
      <c r="U935" s="11">
        <v>1</v>
      </c>
      <c r="V935" s="2">
        <v>0</v>
      </c>
      <c r="W935" s="2">
        <v>1</v>
      </c>
      <c r="X935" s="2">
        <v>2</v>
      </c>
      <c r="Y935" s="2">
        <v>1</v>
      </c>
      <c r="Z935" s="27">
        <v>1974.009</v>
      </c>
      <c r="AA935" s="31">
        <v>1974.12</v>
      </c>
    </row>
    <row r="936" spans="1:27" x14ac:dyDescent="0.2">
      <c r="A936" s="3" t="s">
        <v>2615</v>
      </c>
      <c r="B936" s="2" t="s">
        <v>2616</v>
      </c>
      <c r="C936" s="8">
        <v>27409</v>
      </c>
      <c r="D936" s="2">
        <v>1975</v>
      </c>
      <c r="E936" s="2">
        <v>1970</v>
      </c>
      <c r="F936" s="2">
        <v>0</v>
      </c>
      <c r="G936" s="2">
        <v>0</v>
      </c>
      <c r="H936" s="3" t="s">
        <v>27</v>
      </c>
      <c r="I936" s="3" t="s">
        <v>2617</v>
      </c>
      <c r="J936" s="3" t="s">
        <v>2618</v>
      </c>
      <c r="K936" s="3" t="s">
        <v>2619</v>
      </c>
      <c r="L936" s="10">
        <v>20677</v>
      </c>
      <c r="M936" s="4">
        <f>5+(12*18)</f>
        <v>221</v>
      </c>
      <c r="N936" s="2">
        <v>84</v>
      </c>
      <c r="O936" s="2">
        <v>3</v>
      </c>
      <c r="Q936" s="2">
        <v>0</v>
      </c>
      <c r="R936" s="2">
        <v>0</v>
      </c>
      <c r="S936" s="11">
        <v>1</v>
      </c>
      <c r="T936" s="11">
        <v>0</v>
      </c>
      <c r="U936" s="11">
        <v>1</v>
      </c>
      <c r="V936" s="2">
        <v>0</v>
      </c>
      <c r="W936" s="2">
        <v>1</v>
      </c>
      <c r="X936" s="2">
        <v>4</v>
      </c>
      <c r="Y936" s="2">
        <v>1</v>
      </c>
      <c r="Z936" s="27">
        <v>1974.0239999999999</v>
      </c>
      <c r="AA936" s="31">
        <v>1975.01</v>
      </c>
    </row>
    <row r="937" spans="1:27" x14ac:dyDescent="0.2">
      <c r="A937" s="3" t="s">
        <v>2626</v>
      </c>
      <c r="B937" s="2" t="s">
        <v>2627</v>
      </c>
      <c r="C937" s="8">
        <v>27415</v>
      </c>
      <c r="D937" s="2">
        <v>1975</v>
      </c>
      <c r="E937" s="2">
        <v>1970</v>
      </c>
      <c r="F937" s="2">
        <v>0</v>
      </c>
      <c r="G937" s="2">
        <v>0</v>
      </c>
      <c r="H937" s="3" t="s">
        <v>27</v>
      </c>
      <c r="I937" s="3" t="s">
        <v>2628</v>
      </c>
      <c r="J937" s="3" t="s">
        <v>2628</v>
      </c>
      <c r="K937" s="21" t="s">
        <v>2629</v>
      </c>
      <c r="L937" s="10">
        <v>19586</v>
      </c>
      <c r="M937" s="4">
        <f>5+(12*21)</f>
        <v>257</v>
      </c>
      <c r="N937" s="2">
        <v>83</v>
      </c>
      <c r="O937" s="2">
        <v>1</v>
      </c>
      <c r="P937" s="2">
        <v>5</v>
      </c>
      <c r="Q937" s="2">
        <v>0</v>
      </c>
      <c r="R937" s="2">
        <v>0</v>
      </c>
      <c r="S937" s="11">
        <v>1</v>
      </c>
      <c r="T937" s="11">
        <v>1</v>
      </c>
      <c r="U937" s="11">
        <v>1</v>
      </c>
      <c r="V937" s="2">
        <v>0</v>
      </c>
      <c r="W937" s="2">
        <v>1</v>
      </c>
      <c r="X937" s="2">
        <v>0</v>
      </c>
      <c r="Y937" s="2">
        <v>0</v>
      </c>
      <c r="Z937" s="27">
        <v>1974.0260000000001</v>
      </c>
      <c r="AA937" s="31">
        <v>1975.02</v>
      </c>
    </row>
    <row r="938" spans="1:27" x14ac:dyDescent="0.2">
      <c r="A938" s="3" t="s">
        <v>2632</v>
      </c>
      <c r="B938" s="2" t="s">
        <v>2633</v>
      </c>
      <c r="C938" s="8">
        <v>27450</v>
      </c>
      <c r="D938" s="2">
        <v>1975</v>
      </c>
      <c r="E938" s="2">
        <v>1970</v>
      </c>
      <c r="F938" s="2">
        <v>0</v>
      </c>
      <c r="G938" s="2">
        <v>0</v>
      </c>
      <c r="H938" s="3" t="s">
        <v>27</v>
      </c>
      <c r="I938" s="3" t="s">
        <v>4988</v>
      </c>
      <c r="J938" s="3" t="s">
        <v>2634</v>
      </c>
      <c r="K938" s="21" t="s">
        <v>2635</v>
      </c>
      <c r="L938" s="10">
        <v>25935</v>
      </c>
      <c r="M938" s="4">
        <f>1+48</f>
        <v>49</v>
      </c>
      <c r="N938" s="2">
        <v>91</v>
      </c>
      <c r="O938" s="2">
        <v>1</v>
      </c>
      <c r="Q938" s="2">
        <v>0</v>
      </c>
      <c r="R938" s="2">
        <v>0</v>
      </c>
      <c r="S938" s="11">
        <v>1</v>
      </c>
      <c r="T938" s="11">
        <v>1</v>
      </c>
      <c r="U938" s="11">
        <v>1</v>
      </c>
      <c r="V938" s="2">
        <v>0</v>
      </c>
      <c r="W938" s="2">
        <v>1</v>
      </c>
      <c r="X938" s="2">
        <v>2</v>
      </c>
      <c r="Y938" s="2">
        <v>1</v>
      </c>
      <c r="Z938" s="27">
        <v>1974.0519999999999</v>
      </c>
      <c r="AA938" s="31">
        <v>1975.03</v>
      </c>
    </row>
    <row r="939" spans="1:27" x14ac:dyDescent="0.2">
      <c r="A939" s="3" t="s">
        <v>2620</v>
      </c>
      <c r="B939" s="2" t="s">
        <v>2621</v>
      </c>
      <c r="C939" s="8">
        <v>27456</v>
      </c>
      <c r="D939" s="2">
        <v>1975</v>
      </c>
      <c r="E939" s="2">
        <v>1970</v>
      </c>
      <c r="F939" s="2">
        <v>0</v>
      </c>
      <c r="G939" s="2">
        <v>0</v>
      </c>
      <c r="H939" s="3" t="s">
        <v>27</v>
      </c>
      <c r="I939" s="3" t="s">
        <v>5083</v>
      </c>
      <c r="J939" s="3" t="s">
        <v>2275</v>
      </c>
      <c r="K939" s="21" t="s">
        <v>2276</v>
      </c>
      <c r="L939" s="10">
        <v>17709</v>
      </c>
      <c r="M939" s="4">
        <f>9+(12*26)</f>
        <v>321</v>
      </c>
      <c r="N939" s="2">
        <v>80</v>
      </c>
      <c r="O939" s="2">
        <v>1</v>
      </c>
      <c r="Q939" s="2">
        <v>0</v>
      </c>
      <c r="R939" s="2">
        <v>0</v>
      </c>
      <c r="S939" s="11">
        <v>1</v>
      </c>
      <c r="T939" s="11">
        <v>1</v>
      </c>
      <c r="U939" s="11">
        <v>0</v>
      </c>
      <c r="V939" s="2">
        <v>0</v>
      </c>
      <c r="W939" s="2">
        <v>1</v>
      </c>
      <c r="X939" s="2">
        <v>1</v>
      </c>
      <c r="Y939" s="2">
        <v>0</v>
      </c>
      <c r="Z939" s="27">
        <v>1974.056</v>
      </c>
      <c r="AA939" s="31">
        <v>1975.04</v>
      </c>
    </row>
    <row r="940" spans="1:27" x14ac:dyDescent="0.2">
      <c r="A940" s="3" t="s">
        <v>2622</v>
      </c>
      <c r="B940" s="2" t="s">
        <v>2623</v>
      </c>
      <c r="C940" s="8">
        <v>27470</v>
      </c>
      <c r="D940" s="2">
        <v>1975</v>
      </c>
      <c r="E940" s="2">
        <v>1970</v>
      </c>
      <c r="F940" s="2">
        <v>0</v>
      </c>
      <c r="G940" s="2">
        <v>0</v>
      </c>
      <c r="H940" s="3" t="s">
        <v>27</v>
      </c>
      <c r="I940" s="3" t="s">
        <v>4989</v>
      </c>
      <c r="J940" s="3" t="s">
        <v>2624</v>
      </c>
      <c r="K940" s="21" t="s">
        <v>2625</v>
      </c>
      <c r="L940" s="10">
        <v>19501</v>
      </c>
      <c r="M940" s="4">
        <f>10+(12*21)</f>
        <v>262</v>
      </c>
      <c r="N940" s="2">
        <v>83</v>
      </c>
      <c r="O940" s="2">
        <v>5</v>
      </c>
      <c r="Q940" s="2">
        <v>1</v>
      </c>
      <c r="R940" s="2">
        <v>1</v>
      </c>
      <c r="S940" s="11">
        <v>1</v>
      </c>
      <c r="T940" s="11">
        <v>0</v>
      </c>
      <c r="U940" s="11">
        <v>0</v>
      </c>
      <c r="V940" s="2">
        <v>0</v>
      </c>
      <c r="W940" s="2">
        <v>1</v>
      </c>
      <c r="X940" s="2">
        <v>0</v>
      </c>
      <c r="Y940" s="2">
        <v>0</v>
      </c>
      <c r="Z940" s="27">
        <v>1974.0619999999999</v>
      </c>
      <c r="AA940" s="31">
        <v>1975.05</v>
      </c>
    </row>
    <row r="941" spans="1:27" x14ac:dyDescent="0.2">
      <c r="A941" s="3" t="s">
        <v>4144</v>
      </c>
      <c r="B941" s="2" t="s">
        <v>4145</v>
      </c>
      <c r="C941" s="8">
        <v>27472</v>
      </c>
      <c r="D941" s="2">
        <v>1975</v>
      </c>
      <c r="E941" s="2">
        <v>1970</v>
      </c>
      <c r="F941" s="2">
        <v>2</v>
      </c>
      <c r="G941" s="2">
        <v>1</v>
      </c>
      <c r="H941" s="3" t="s">
        <v>3434</v>
      </c>
      <c r="I941" t="s">
        <v>5066</v>
      </c>
      <c r="J941" s="3" t="s">
        <v>4146</v>
      </c>
      <c r="K941" s="21" t="s">
        <v>2894</v>
      </c>
      <c r="L941" s="10">
        <v>14467</v>
      </c>
      <c r="M941" s="4">
        <f>7+(12*35)</f>
        <v>427</v>
      </c>
      <c r="N941" s="2">
        <v>76</v>
      </c>
      <c r="O941" s="2">
        <v>3</v>
      </c>
      <c r="Q941" s="2">
        <v>1</v>
      </c>
      <c r="R941" s="2">
        <v>0</v>
      </c>
      <c r="S941" s="11">
        <v>1</v>
      </c>
      <c r="T941" s="11">
        <v>0</v>
      </c>
      <c r="U941" s="11">
        <v>0</v>
      </c>
      <c r="V941" s="2">
        <v>1</v>
      </c>
      <c r="W941" s="2">
        <v>1</v>
      </c>
      <c r="X941" s="2">
        <v>0</v>
      </c>
      <c r="Y941" s="2">
        <v>1</v>
      </c>
      <c r="Z941" s="27">
        <v>1974.07</v>
      </c>
      <c r="AA941" s="31">
        <v>1975.06</v>
      </c>
    </row>
    <row r="942" spans="1:27" x14ac:dyDescent="0.2">
      <c r="A942" s="3" t="s">
        <v>2608</v>
      </c>
      <c r="B942" s="2" t="s">
        <v>2609</v>
      </c>
      <c r="C942" s="8">
        <v>27541</v>
      </c>
      <c r="D942" s="2">
        <v>1975</v>
      </c>
      <c r="E942" s="2">
        <v>1970</v>
      </c>
      <c r="F942" s="2">
        <v>0</v>
      </c>
      <c r="G942" s="2">
        <v>0</v>
      </c>
      <c r="H942" s="3" t="s">
        <v>27</v>
      </c>
      <c r="I942" s="3" t="s">
        <v>4990</v>
      </c>
      <c r="J942" s="3" t="s">
        <v>2610</v>
      </c>
      <c r="K942" s="21" t="s">
        <v>2611</v>
      </c>
      <c r="L942" s="10">
        <v>25795</v>
      </c>
      <c r="M942" s="4">
        <f>9+48</f>
        <v>57</v>
      </c>
      <c r="N942" s="2">
        <v>91</v>
      </c>
      <c r="O942" s="2">
        <v>5</v>
      </c>
      <c r="Q942" s="2">
        <v>0</v>
      </c>
      <c r="R942" s="2">
        <v>0</v>
      </c>
      <c r="S942" s="11">
        <v>1</v>
      </c>
      <c r="T942" s="11">
        <v>1</v>
      </c>
      <c r="U942" s="11">
        <v>0</v>
      </c>
      <c r="V942" s="2">
        <v>0</v>
      </c>
      <c r="W942" s="2">
        <v>1</v>
      </c>
      <c r="X942" s="2">
        <v>1</v>
      </c>
      <c r="Y942" s="2">
        <v>1</v>
      </c>
      <c r="Z942" s="27">
        <v>1974.106</v>
      </c>
      <c r="AA942" s="31">
        <v>1975.07</v>
      </c>
    </row>
    <row r="943" spans="1:27" x14ac:dyDescent="0.2">
      <c r="A943" s="3" t="s">
        <v>2612</v>
      </c>
      <c r="B943" s="2" t="s">
        <v>2613</v>
      </c>
      <c r="C943" s="8">
        <v>27570</v>
      </c>
      <c r="D943" s="2">
        <v>1975</v>
      </c>
      <c r="E943" s="2">
        <v>1970</v>
      </c>
      <c r="F943" s="2">
        <v>0</v>
      </c>
      <c r="G943" s="2">
        <v>0</v>
      </c>
      <c r="H943" s="3" t="s">
        <v>27</v>
      </c>
      <c r="I943" s="3" t="s">
        <v>5068</v>
      </c>
      <c r="J943" s="3" t="s">
        <v>2614</v>
      </c>
      <c r="K943" s="21" t="s">
        <v>2133</v>
      </c>
      <c r="L943" s="10">
        <v>17341</v>
      </c>
      <c r="M943" s="4">
        <f>28*12</f>
        <v>336</v>
      </c>
      <c r="N943" s="2">
        <v>80</v>
      </c>
      <c r="O943" s="2">
        <v>1</v>
      </c>
      <c r="Q943" s="2">
        <v>1</v>
      </c>
      <c r="R943" s="2">
        <v>0</v>
      </c>
      <c r="S943" s="11">
        <v>1</v>
      </c>
      <c r="T943" s="11">
        <v>1</v>
      </c>
      <c r="U943" s="11">
        <v>0</v>
      </c>
      <c r="V943" s="2">
        <v>0</v>
      </c>
      <c r="W943" s="2">
        <v>1</v>
      </c>
      <c r="X943" s="2">
        <v>4</v>
      </c>
      <c r="Y943" s="2">
        <v>0</v>
      </c>
      <c r="Z943" s="27">
        <v>1974.1389999999999</v>
      </c>
      <c r="AA943" s="31">
        <v>1975.08</v>
      </c>
    </row>
    <row r="944" spans="1:27" x14ac:dyDescent="0.2">
      <c r="A944" s="3" t="s">
        <v>2636</v>
      </c>
      <c r="B944" s="2" t="s">
        <v>2637</v>
      </c>
      <c r="C944" s="8">
        <v>27571</v>
      </c>
      <c r="D944" s="2">
        <v>1975</v>
      </c>
      <c r="E944" s="2">
        <v>1970</v>
      </c>
      <c r="F944" s="2">
        <v>0</v>
      </c>
      <c r="G944" s="2">
        <v>0</v>
      </c>
      <c r="H944" s="3" t="s">
        <v>27</v>
      </c>
      <c r="I944" s="3" t="s">
        <v>4972</v>
      </c>
      <c r="J944" s="3" t="s">
        <v>2638</v>
      </c>
      <c r="K944" s="21" t="s">
        <v>2639</v>
      </c>
      <c r="L944" s="10">
        <v>18503</v>
      </c>
      <c r="M944" s="4">
        <f>10+(12*24)</f>
        <v>298</v>
      </c>
      <c r="N944" s="2">
        <v>81</v>
      </c>
      <c r="O944" s="2">
        <v>1</v>
      </c>
      <c r="Q944" s="2">
        <v>1</v>
      </c>
      <c r="R944" s="2">
        <v>0</v>
      </c>
      <c r="S944" s="11">
        <v>1</v>
      </c>
      <c r="T944" s="11">
        <v>0</v>
      </c>
      <c r="U944" s="11">
        <v>1</v>
      </c>
      <c r="V944" s="2">
        <v>0</v>
      </c>
      <c r="W944" s="2">
        <v>1</v>
      </c>
      <c r="X944" s="2">
        <v>3</v>
      </c>
      <c r="Y944" s="2">
        <v>1</v>
      </c>
      <c r="Z944" s="27">
        <v>1974.1469999999999</v>
      </c>
      <c r="AA944" s="31">
        <v>1975.09</v>
      </c>
    </row>
    <row r="945" spans="1:27" x14ac:dyDescent="0.2">
      <c r="A945" s="3" t="s">
        <v>4140</v>
      </c>
      <c r="B945" s="2" t="s">
        <v>4141</v>
      </c>
      <c r="C945" s="8">
        <v>27575</v>
      </c>
      <c r="D945" s="2">
        <v>1975</v>
      </c>
      <c r="E945" s="2">
        <v>1970</v>
      </c>
      <c r="F945" s="2">
        <v>1</v>
      </c>
      <c r="G945" s="2">
        <v>1</v>
      </c>
      <c r="H945" s="3" t="s">
        <v>3442</v>
      </c>
      <c r="I945" s="3" t="s">
        <v>4538</v>
      </c>
      <c r="J945" s="3" t="s">
        <v>2683</v>
      </c>
      <c r="K945" s="21" t="s">
        <v>2238</v>
      </c>
      <c r="L945" s="10">
        <v>19172</v>
      </c>
      <c r="M945" s="4">
        <f>12*23</f>
        <v>276</v>
      </c>
      <c r="N945" s="2">
        <v>82</v>
      </c>
      <c r="O945" s="2">
        <v>1</v>
      </c>
      <c r="Q945" s="2">
        <v>1</v>
      </c>
      <c r="R945" s="2">
        <v>0</v>
      </c>
      <c r="S945" s="11">
        <v>1</v>
      </c>
      <c r="T945" s="11">
        <v>1</v>
      </c>
      <c r="U945" s="11">
        <v>0</v>
      </c>
      <c r="V945" s="2">
        <v>0</v>
      </c>
      <c r="W945" s="2">
        <v>1</v>
      </c>
      <c r="X945" s="2">
        <v>0</v>
      </c>
      <c r="Y945" s="2">
        <v>1</v>
      </c>
      <c r="Z945" s="27">
        <v>1974.15</v>
      </c>
      <c r="AA945" s="31">
        <v>1975.1</v>
      </c>
    </row>
    <row r="946" spans="1:27" x14ac:dyDescent="0.2">
      <c r="A946" s="3" t="s">
        <v>4142</v>
      </c>
      <c r="B946" s="2" t="s">
        <v>4143</v>
      </c>
      <c r="C946" s="8">
        <v>27575</v>
      </c>
      <c r="D946" s="2">
        <v>1975</v>
      </c>
      <c r="E946" s="2">
        <v>1970</v>
      </c>
      <c r="F946" s="2">
        <v>1</v>
      </c>
      <c r="G946" s="2">
        <v>1</v>
      </c>
      <c r="H946" s="3" t="s">
        <v>3442</v>
      </c>
      <c r="I946" s="3" t="s">
        <v>4538</v>
      </c>
      <c r="J946" s="3" t="s">
        <v>2683</v>
      </c>
      <c r="K946" s="21" t="s">
        <v>2238</v>
      </c>
      <c r="L946" s="10">
        <v>19172</v>
      </c>
      <c r="M946" s="4">
        <f>12*23</f>
        <v>276</v>
      </c>
      <c r="N946" s="2">
        <v>82</v>
      </c>
      <c r="O946" s="2">
        <v>1</v>
      </c>
      <c r="Q946" s="2">
        <v>1</v>
      </c>
      <c r="R946" s="2">
        <v>0</v>
      </c>
      <c r="S946" s="11">
        <v>1</v>
      </c>
      <c r="T946" s="11">
        <v>1</v>
      </c>
      <c r="U946" s="11">
        <v>0</v>
      </c>
      <c r="V946" s="2">
        <v>0</v>
      </c>
      <c r="W946" s="2">
        <v>1</v>
      </c>
      <c r="X946" s="2">
        <v>0</v>
      </c>
      <c r="Y946" s="2">
        <v>1</v>
      </c>
      <c r="Z946" s="27">
        <v>1974.1510000000001</v>
      </c>
      <c r="AA946" s="31">
        <v>1975.11</v>
      </c>
    </row>
    <row r="947" spans="1:27" x14ac:dyDescent="0.2">
      <c r="A947" s="3" t="s">
        <v>2630</v>
      </c>
      <c r="B947" s="2" t="s">
        <v>2631</v>
      </c>
      <c r="C947" s="8">
        <v>27730</v>
      </c>
      <c r="D947" s="2">
        <v>1975</v>
      </c>
      <c r="E947" s="2">
        <v>1970</v>
      </c>
      <c r="F947" s="2">
        <v>0</v>
      </c>
      <c r="G947" s="2">
        <v>0</v>
      </c>
      <c r="H947" s="3" t="s">
        <v>27</v>
      </c>
      <c r="I947" s="3" t="s">
        <v>5083</v>
      </c>
      <c r="J947" s="3" t="s">
        <v>2275</v>
      </c>
      <c r="K947" s="21" t="s">
        <v>2276</v>
      </c>
      <c r="L947" s="10">
        <v>17709</v>
      </c>
      <c r="M947" s="4">
        <f>6+(12*27)</f>
        <v>330</v>
      </c>
      <c r="N947" s="2">
        <v>80</v>
      </c>
      <c r="O947" s="2">
        <v>1</v>
      </c>
      <c r="Q947" s="2">
        <v>0</v>
      </c>
      <c r="R947" s="2">
        <v>0</v>
      </c>
      <c r="S947" s="11">
        <v>1</v>
      </c>
      <c r="T947" s="11">
        <v>1</v>
      </c>
      <c r="U947" s="11">
        <v>1</v>
      </c>
      <c r="V947" s="2">
        <v>0</v>
      </c>
      <c r="W947" s="2">
        <v>1</v>
      </c>
      <c r="X947" s="2">
        <v>1</v>
      </c>
      <c r="Y947" s="2">
        <v>0</v>
      </c>
      <c r="Z947" s="27">
        <v>1975.0150000000001</v>
      </c>
      <c r="AA947" s="31">
        <v>1975.12</v>
      </c>
    </row>
    <row r="948" spans="1:27" x14ac:dyDescent="0.2">
      <c r="A948" s="3" t="s">
        <v>2685</v>
      </c>
      <c r="B948" s="2" t="s">
        <v>2686</v>
      </c>
      <c r="C948" s="8">
        <v>27785</v>
      </c>
      <c r="D948" s="2">
        <v>1976</v>
      </c>
      <c r="E948" s="2">
        <v>1970</v>
      </c>
      <c r="F948" s="2">
        <v>0</v>
      </c>
      <c r="G948" s="2">
        <v>0</v>
      </c>
      <c r="H948" s="3" t="s">
        <v>27</v>
      </c>
      <c r="I948" s="3" t="s">
        <v>2687</v>
      </c>
      <c r="J948" s="3" t="s">
        <v>2687</v>
      </c>
      <c r="K948" s="21" t="s">
        <v>2688</v>
      </c>
      <c r="L948" s="10">
        <v>25123</v>
      </c>
      <c r="M948" s="4">
        <f>3+(12*7)</f>
        <v>87</v>
      </c>
      <c r="N948" s="2">
        <v>90</v>
      </c>
      <c r="O948" s="2">
        <v>1</v>
      </c>
      <c r="Q948" s="2">
        <v>0</v>
      </c>
      <c r="R948" s="2">
        <v>0</v>
      </c>
      <c r="S948" s="11">
        <v>1</v>
      </c>
      <c r="T948" s="11">
        <v>1</v>
      </c>
      <c r="U948" s="11">
        <v>1</v>
      </c>
      <c r="V948" s="2">
        <v>0</v>
      </c>
      <c r="W948" s="2">
        <v>1</v>
      </c>
      <c r="X948" s="2">
        <v>2</v>
      </c>
      <c r="Y948" s="2">
        <v>1</v>
      </c>
      <c r="Z948" s="27">
        <v>1975.0319999999999</v>
      </c>
      <c r="AA948" s="31">
        <v>1976.01</v>
      </c>
    </row>
    <row r="949" spans="1:27" x14ac:dyDescent="0.2">
      <c r="A949" s="3" t="s">
        <v>4147</v>
      </c>
      <c r="B949" s="2" t="s">
        <v>4148</v>
      </c>
      <c r="C949" s="8">
        <v>27789</v>
      </c>
      <c r="D949" s="2">
        <v>1976</v>
      </c>
      <c r="E949" s="2">
        <v>1970</v>
      </c>
      <c r="F949" s="2">
        <v>2</v>
      </c>
      <c r="G949" s="2">
        <v>1</v>
      </c>
      <c r="H949" s="3" t="s">
        <v>3434</v>
      </c>
      <c r="I949" s="3" t="s">
        <v>4738</v>
      </c>
      <c r="J949" s="3" t="s">
        <v>4149</v>
      </c>
      <c r="K949" s="21" t="s">
        <v>2843</v>
      </c>
      <c r="L949" s="10">
        <v>26336</v>
      </c>
      <c r="M949" s="4">
        <f>11+36</f>
        <v>47</v>
      </c>
      <c r="N949" s="2">
        <v>92</v>
      </c>
      <c r="O949" s="2">
        <v>2</v>
      </c>
      <c r="P949" s="2">
        <v>6</v>
      </c>
      <c r="Q949" s="2">
        <v>1</v>
      </c>
      <c r="R949" s="2">
        <v>1</v>
      </c>
      <c r="S949" s="11">
        <v>1</v>
      </c>
      <c r="T949" s="11">
        <v>0</v>
      </c>
      <c r="U949" s="11">
        <v>1</v>
      </c>
      <c r="V949" s="2">
        <v>1</v>
      </c>
      <c r="W949" s="2">
        <v>0</v>
      </c>
      <c r="X949" s="2">
        <v>5</v>
      </c>
      <c r="Y949" s="2">
        <v>1</v>
      </c>
      <c r="Z949" s="27">
        <v>1975.0329999999999</v>
      </c>
      <c r="AA949" s="31">
        <v>1976.02</v>
      </c>
    </row>
    <row r="950" spans="1:27" x14ac:dyDescent="0.2">
      <c r="A950" s="3" t="s">
        <v>2661</v>
      </c>
      <c r="B950" s="2" t="s">
        <v>2662</v>
      </c>
      <c r="C950" s="8">
        <v>27814</v>
      </c>
      <c r="D950" s="2">
        <v>1976</v>
      </c>
      <c r="E950" s="2">
        <v>1970</v>
      </c>
      <c r="F950" s="2">
        <v>0</v>
      </c>
      <c r="G950" s="2">
        <v>0</v>
      </c>
      <c r="H950" s="3" t="s">
        <v>27</v>
      </c>
      <c r="I950" s="3" t="s">
        <v>2663</v>
      </c>
      <c r="J950" s="3" t="s">
        <v>2663</v>
      </c>
      <c r="K950" s="21" t="s">
        <v>2664</v>
      </c>
      <c r="L950" s="10">
        <v>20668</v>
      </c>
      <c r="M950" s="4">
        <f>6+(12*19)</f>
        <v>234</v>
      </c>
      <c r="N950" s="2">
        <v>85</v>
      </c>
      <c r="O950" s="2">
        <v>1</v>
      </c>
      <c r="Q950" s="2">
        <v>1</v>
      </c>
      <c r="R950" s="2">
        <v>0</v>
      </c>
      <c r="S950" s="11">
        <v>1</v>
      </c>
      <c r="T950" s="11">
        <v>1</v>
      </c>
      <c r="U950" s="11">
        <v>1</v>
      </c>
      <c r="V950" s="2">
        <v>0</v>
      </c>
      <c r="W950" s="2">
        <v>1</v>
      </c>
      <c r="X950" s="2">
        <v>2</v>
      </c>
      <c r="Y950" s="2">
        <v>1</v>
      </c>
      <c r="Z950" s="27">
        <v>1975.0350000000001</v>
      </c>
      <c r="AA950" s="31">
        <v>1976.03</v>
      </c>
    </row>
    <row r="951" spans="1:27" x14ac:dyDescent="0.2">
      <c r="A951" s="3" t="s">
        <v>2667</v>
      </c>
      <c r="B951" s="2" t="s">
        <v>2668</v>
      </c>
      <c r="C951" s="8">
        <v>27843</v>
      </c>
      <c r="D951" s="2">
        <v>1976</v>
      </c>
      <c r="E951" s="2">
        <v>1970</v>
      </c>
      <c r="F951" s="2">
        <v>0</v>
      </c>
      <c r="G951" s="2">
        <v>0</v>
      </c>
      <c r="H951" s="3" t="s">
        <v>27</v>
      </c>
      <c r="I951" s="3" t="s">
        <v>4953</v>
      </c>
      <c r="J951" s="3" t="s">
        <v>2669</v>
      </c>
      <c r="K951" s="21" t="s">
        <v>2250</v>
      </c>
      <c r="L951" s="10">
        <v>18388</v>
      </c>
      <c r="M951" s="4">
        <f>10+(12*25)</f>
        <v>310</v>
      </c>
      <c r="N951" s="2">
        <v>81</v>
      </c>
      <c r="O951" s="2">
        <v>1</v>
      </c>
      <c r="Q951" s="2">
        <v>0</v>
      </c>
      <c r="R951" s="2">
        <v>0</v>
      </c>
      <c r="S951" s="11">
        <v>1</v>
      </c>
      <c r="T951" s="11">
        <v>1</v>
      </c>
      <c r="U951" s="11">
        <v>1</v>
      </c>
      <c r="V951" s="2">
        <v>0</v>
      </c>
      <c r="W951" s="2">
        <v>1</v>
      </c>
      <c r="X951" s="2">
        <v>3</v>
      </c>
      <c r="Y951" s="2">
        <v>1</v>
      </c>
      <c r="Z951" s="27">
        <v>1975.0619999999999</v>
      </c>
      <c r="AA951" s="31">
        <v>1976.04</v>
      </c>
    </row>
    <row r="952" spans="1:27" x14ac:dyDescent="0.2">
      <c r="A952" s="3" t="s">
        <v>1817</v>
      </c>
      <c r="B952" s="2" t="s">
        <v>2684</v>
      </c>
      <c r="C952" s="8">
        <v>27871</v>
      </c>
      <c r="D952" s="2">
        <v>1976</v>
      </c>
      <c r="E952" s="2">
        <v>1970</v>
      </c>
      <c r="F952" s="2">
        <v>0</v>
      </c>
      <c r="G952" s="2">
        <v>0</v>
      </c>
      <c r="H952" s="3" t="s">
        <v>27</v>
      </c>
      <c r="I952" s="3" t="s">
        <v>4986</v>
      </c>
      <c r="J952" s="3" t="s">
        <v>2590</v>
      </c>
      <c r="K952" s="21" t="s">
        <v>2591</v>
      </c>
      <c r="L952" s="10">
        <v>25867</v>
      </c>
      <c r="M952" s="4">
        <f>6+(12*5)</f>
        <v>66</v>
      </c>
      <c r="N952" s="2">
        <v>91</v>
      </c>
      <c r="O952" s="2">
        <v>1</v>
      </c>
      <c r="Q952" s="2">
        <v>1</v>
      </c>
      <c r="R952" s="2">
        <v>0</v>
      </c>
      <c r="S952" s="11">
        <v>1</v>
      </c>
      <c r="T952" s="11">
        <v>1</v>
      </c>
      <c r="U952" s="11">
        <v>1</v>
      </c>
      <c r="V952" s="2">
        <v>0</v>
      </c>
      <c r="W952" s="2">
        <v>1</v>
      </c>
      <c r="X952" s="2">
        <v>2</v>
      </c>
      <c r="Y952" s="2">
        <v>1</v>
      </c>
      <c r="Z952" s="27">
        <v>1975.0809999999999</v>
      </c>
      <c r="AA952" s="31">
        <v>1976.05</v>
      </c>
    </row>
    <row r="953" spans="1:27" x14ac:dyDescent="0.2">
      <c r="A953" s="3" t="s">
        <v>2678</v>
      </c>
      <c r="B953" s="2" t="s">
        <v>2679</v>
      </c>
      <c r="C953" s="8">
        <v>27921</v>
      </c>
      <c r="D953" s="2">
        <v>1976</v>
      </c>
      <c r="E953" s="2">
        <v>1970</v>
      </c>
      <c r="F953" s="2">
        <v>0</v>
      </c>
      <c r="G953" s="2">
        <v>0</v>
      </c>
      <c r="H953" s="3" t="s">
        <v>27</v>
      </c>
      <c r="I953" s="3" t="s">
        <v>5084</v>
      </c>
      <c r="J953" s="3" t="s">
        <v>2680</v>
      </c>
      <c r="K953" s="21" t="s">
        <v>2403</v>
      </c>
      <c r="L953" s="10">
        <v>17709</v>
      </c>
      <c r="M953" s="4">
        <f>28*12</f>
        <v>336</v>
      </c>
      <c r="N953" s="2">
        <v>80</v>
      </c>
      <c r="O953" s="2">
        <v>1</v>
      </c>
      <c r="Q953" s="2">
        <v>0</v>
      </c>
      <c r="R953" s="2">
        <v>0</v>
      </c>
      <c r="S953" s="11">
        <v>1</v>
      </c>
      <c r="T953" s="11">
        <v>1</v>
      </c>
      <c r="U953" s="11">
        <v>1</v>
      </c>
      <c r="V953" s="2">
        <v>0</v>
      </c>
      <c r="W953" s="2">
        <v>1</v>
      </c>
      <c r="X953" s="2">
        <v>4</v>
      </c>
      <c r="Y953" s="2">
        <v>0</v>
      </c>
      <c r="Z953" s="27">
        <v>1975.1189999999999</v>
      </c>
      <c r="AA953" s="31">
        <v>1976.06</v>
      </c>
    </row>
    <row r="954" spans="1:27" x14ac:dyDescent="0.2">
      <c r="A954" s="3" t="s">
        <v>2651</v>
      </c>
      <c r="B954" s="2" t="s">
        <v>2652</v>
      </c>
      <c r="C954" s="8">
        <v>27928</v>
      </c>
      <c r="D954" s="2">
        <v>1976</v>
      </c>
      <c r="E954" s="2">
        <v>1970</v>
      </c>
      <c r="F954" s="2">
        <v>0</v>
      </c>
      <c r="G954" s="2">
        <v>0</v>
      </c>
      <c r="H954" s="3" t="s">
        <v>27</v>
      </c>
      <c r="I954" s="3" t="s">
        <v>2653</v>
      </c>
      <c r="J954" s="3" t="s">
        <v>2653</v>
      </c>
      <c r="K954" s="21" t="s">
        <v>2654</v>
      </c>
      <c r="L954" s="10">
        <v>26282</v>
      </c>
      <c r="M954" s="4">
        <f>6+48</f>
        <v>54</v>
      </c>
      <c r="N954" s="2">
        <v>92</v>
      </c>
      <c r="O954" s="2">
        <v>5</v>
      </c>
      <c r="Q954" s="2">
        <v>0</v>
      </c>
      <c r="R954" s="2">
        <v>0</v>
      </c>
      <c r="S954" s="11">
        <v>1</v>
      </c>
      <c r="T954" s="11">
        <v>1</v>
      </c>
      <c r="U954" s="11">
        <v>1</v>
      </c>
      <c r="V954" s="2">
        <v>0</v>
      </c>
      <c r="W954" s="2">
        <v>1</v>
      </c>
      <c r="X954" s="2">
        <v>0</v>
      </c>
      <c r="Y954" s="2">
        <v>1</v>
      </c>
      <c r="Z954" s="27">
        <v>1975.1320000000001</v>
      </c>
      <c r="AA954" s="31">
        <v>1976.07</v>
      </c>
    </row>
    <row r="955" spans="1:27" x14ac:dyDescent="0.2">
      <c r="A955" s="3" t="s">
        <v>2640</v>
      </c>
      <c r="B955" s="2" t="s">
        <v>2641</v>
      </c>
      <c r="C955" s="8">
        <v>27928</v>
      </c>
      <c r="D955" s="2">
        <v>1976</v>
      </c>
      <c r="E955" s="2">
        <v>1970</v>
      </c>
      <c r="F955" s="2">
        <v>0</v>
      </c>
      <c r="G955" s="2">
        <v>0</v>
      </c>
      <c r="H955" s="3" t="s">
        <v>27</v>
      </c>
      <c r="I955" s="3" t="s">
        <v>4991</v>
      </c>
      <c r="J955" s="3" t="s">
        <v>2642</v>
      </c>
      <c r="K955" s="21" t="s">
        <v>2643</v>
      </c>
      <c r="L955" s="10">
        <v>27397</v>
      </c>
      <c r="M955" s="4">
        <f>5+12</f>
        <v>17</v>
      </c>
      <c r="N955" s="2">
        <v>93</v>
      </c>
      <c r="O955" s="2">
        <v>6</v>
      </c>
      <c r="Q955" s="2">
        <v>1</v>
      </c>
      <c r="R955" s="2">
        <v>1</v>
      </c>
      <c r="S955" s="11">
        <v>1</v>
      </c>
      <c r="T955" s="11">
        <v>0</v>
      </c>
      <c r="U955" s="11">
        <v>1</v>
      </c>
      <c r="V955" s="2">
        <v>0</v>
      </c>
      <c r="W955" s="2">
        <v>1</v>
      </c>
      <c r="X955" s="2">
        <v>0</v>
      </c>
      <c r="Y955" s="2">
        <v>1</v>
      </c>
      <c r="Z955" s="27">
        <v>1975.133</v>
      </c>
      <c r="AA955" s="31">
        <v>1976.08</v>
      </c>
    </row>
    <row r="956" spans="1:27" x14ac:dyDescent="0.2">
      <c r="A956" s="3" t="s">
        <v>2658</v>
      </c>
      <c r="B956" s="2" t="s">
        <v>2659</v>
      </c>
      <c r="C956" s="8">
        <v>27912</v>
      </c>
      <c r="D956" s="2">
        <v>1976</v>
      </c>
      <c r="E956" s="2">
        <v>1970</v>
      </c>
      <c r="F956" s="2">
        <v>0</v>
      </c>
      <c r="G956" s="2">
        <v>0</v>
      </c>
      <c r="H956" s="3" t="s">
        <v>27</v>
      </c>
      <c r="I956" s="3" t="s">
        <v>4870</v>
      </c>
      <c r="J956" s="3" t="s">
        <v>2660</v>
      </c>
      <c r="K956" s="21" t="s">
        <v>2517</v>
      </c>
      <c r="L956" s="10">
        <v>23953</v>
      </c>
      <c r="M956" s="4">
        <f>11+(12*10)</f>
        <v>131</v>
      </c>
      <c r="N956" s="2">
        <v>89</v>
      </c>
      <c r="O956" s="2">
        <v>2</v>
      </c>
      <c r="P956" s="2">
        <v>3</v>
      </c>
      <c r="Q956" s="2">
        <v>1</v>
      </c>
      <c r="R956" s="2">
        <v>0</v>
      </c>
      <c r="S956" s="11">
        <v>1</v>
      </c>
      <c r="T956" s="11">
        <v>0</v>
      </c>
      <c r="U956" s="11">
        <v>1</v>
      </c>
      <c r="V956" s="2">
        <v>0</v>
      </c>
      <c r="W956" s="2">
        <v>1</v>
      </c>
      <c r="X956" s="2">
        <v>0</v>
      </c>
      <c r="Y956" s="2">
        <v>1</v>
      </c>
      <c r="Z956" s="27">
        <v>1975.107</v>
      </c>
      <c r="AA956" s="31">
        <v>1976.09</v>
      </c>
    </row>
    <row r="957" spans="1:27" x14ac:dyDescent="0.2">
      <c r="A957" s="3" t="s">
        <v>4150</v>
      </c>
      <c r="B957" s="2" t="s">
        <v>4151</v>
      </c>
      <c r="C957" s="8">
        <v>27935</v>
      </c>
      <c r="D957" s="2">
        <v>1976</v>
      </c>
      <c r="E957" s="2">
        <v>1970</v>
      </c>
      <c r="F957" s="2">
        <v>2</v>
      </c>
      <c r="G957" s="2">
        <v>1</v>
      </c>
      <c r="H957" s="3" t="s">
        <v>3434</v>
      </c>
      <c r="I957" s="3" t="s">
        <v>4728</v>
      </c>
      <c r="J957" s="3" t="s">
        <v>4152</v>
      </c>
      <c r="K957" s="21" t="s">
        <v>2956</v>
      </c>
      <c r="L957" s="10">
        <v>27127</v>
      </c>
      <c r="M957" s="4">
        <f>2+24</f>
        <v>26</v>
      </c>
      <c r="N957" s="2">
        <v>93</v>
      </c>
      <c r="O957" s="2">
        <v>5</v>
      </c>
      <c r="Q957" s="2">
        <v>0</v>
      </c>
      <c r="R957" s="2">
        <v>0</v>
      </c>
      <c r="S957" s="11">
        <v>1</v>
      </c>
      <c r="T957" s="11">
        <v>0</v>
      </c>
      <c r="U957" s="11">
        <v>1</v>
      </c>
      <c r="V957" s="2">
        <v>1</v>
      </c>
      <c r="W957" s="2">
        <v>1</v>
      </c>
      <c r="X957" s="2">
        <v>4</v>
      </c>
      <c r="Y957" s="2">
        <v>1</v>
      </c>
      <c r="Z957" s="27">
        <v>1975.143</v>
      </c>
      <c r="AA957" s="31">
        <v>1976.1</v>
      </c>
    </row>
    <row r="958" spans="1:27" x14ac:dyDescent="0.2">
      <c r="A958" s="3" t="s">
        <v>2674</v>
      </c>
      <c r="B958" s="2" t="s">
        <v>2675</v>
      </c>
      <c r="C958" s="8">
        <v>27936</v>
      </c>
      <c r="D958" s="2">
        <v>1976</v>
      </c>
      <c r="E958" s="2">
        <v>1970</v>
      </c>
      <c r="F958" s="2">
        <v>0</v>
      </c>
      <c r="G958" s="2">
        <v>0</v>
      </c>
      <c r="H958" s="3" t="s">
        <v>27</v>
      </c>
      <c r="I958" s="3" t="s">
        <v>2676</v>
      </c>
      <c r="J958" s="3" t="s">
        <v>2676</v>
      </c>
      <c r="K958" s="15"/>
      <c r="L958" s="4" t="s">
        <v>2677</v>
      </c>
      <c r="M958" s="4">
        <f>2+(12*110)</f>
        <v>1322</v>
      </c>
      <c r="N958" s="2">
        <v>39</v>
      </c>
      <c r="O958" s="2">
        <v>2</v>
      </c>
      <c r="Q958" s="2">
        <v>1</v>
      </c>
      <c r="R958" s="2">
        <v>1</v>
      </c>
      <c r="S958" s="11">
        <v>1</v>
      </c>
      <c r="T958" s="11">
        <v>1</v>
      </c>
      <c r="U958" s="11">
        <v>0</v>
      </c>
      <c r="V958" s="2">
        <v>0</v>
      </c>
      <c r="W958" s="2">
        <v>0</v>
      </c>
      <c r="X958" s="2">
        <v>2</v>
      </c>
      <c r="Y958" s="2">
        <v>0</v>
      </c>
      <c r="Z958" s="27">
        <v>1975.15</v>
      </c>
      <c r="AA958" s="31">
        <v>1976.11</v>
      </c>
    </row>
    <row r="959" spans="1:27" x14ac:dyDescent="0.2">
      <c r="A959" s="3" t="s">
        <v>2644</v>
      </c>
      <c r="B959" s="2" t="s">
        <v>2645</v>
      </c>
      <c r="C959" s="8">
        <v>27939</v>
      </c>
      <c r="D959" s="2">
        <v>1976</v>
      </c>
      <c r="E959" s="2">
        <v>1970</v>
      </c>
      <c r="F959" s="2">
        <v>0</v>
      </c>
      <c r="G959" s="2">
        <v>0</v>
      </c>
      <c r="H959" s="3" t="s">
        <v>27</v>
      </c>
      <c r="I959" s="3" t="s">
        <v>4992</v>
      </c>
      <c r="J959" s="3" t="s">
        <v>2646</v>
      </c>
      <c r="K959" s="21" t="s">
        <v>2647</v>
      </c>
      <c r="L959" s="10">
        <v>26382</v>
      </c>
      <c r="M959" s="4">
        <f>3+48</f>
        <v>51</v>
      </c>
      <c r="N959" s="2">
        <v>92</v>
      </c>
      <c r="O959" s="2">
        <v>5</v>
      </c>
      <c r="Q959" s="2">
        <v>0</v>
      </c>
      <c r="R959" s="2">
        <v>0</v>
      </c>
      <c r="S959" s="11">
        <v>1</v>
      </c>
      <c r="T959" s="11">
        <v>1</v>
      </c>
      <c r="U959" s="11">
        <v>1</v>
      </c>
      <c r="V959" s="2">
        <v>0</v>
      </c>
      <c r="W959" s="2">
        <v>0</v>
      </c>
      <c r="X959" s="2">
        <v>0</v>
      </c>
      <c r="Y959" s="2">
        <v>1</v>
      </c>
      <c r="Z959" s="27">
        <v>1975.1610000000001</v>
      </c>
      <c r="AA959" s="31">
        <v>1976.12</v>
      </c>
    </row>
    <row r="960" spans="1:27" x14ac:dyDescent="0.2">
      <c r="A960" s="3" t="s">
        <v>2665</v>
      </c>
      <c r="B960" s="2" t="s">
        <v>2666</v>
      </c>
      <c r="C960" s="8">
        <v>27940</v>
      </c>
      <c r="D960" s="2">
        <v>1976</v>
      </c>
      <c r="E960" s="2">
        <v>1970</v>
      </c>
      <c r="F960" s="2">
        <v>0</v>
      </c>
      <c r="G960" s="2">
        <v>0</v>
      </c>
      <c r="H960" s="3" t="s">
        <v>27</v>
      </c>
      <c r="I960" s="3" t="s">
        <v>4884</v>
      </c>
      <c r="J960" s="3" t="s">
        <v>1684</v>
      </c>
      <c r="K960" s="21" t="s">
        <v>1685</v>
      </c>
      <c r="L960" s="10">
        <v>13010</v>
      </c>
      <c r="M960" s="4">
        <f>10+(12*40)</f>
        <v>490</v>
      </c>
      <c r="N960" s="2">
        <v>74</v>
      </c>
      <c r="O960" s="2">
        <v>3</v>
      </c>
      <c r="Q960" s="2">
        <v>1</v>
      </c>
      <c r="R960" s="2">
        <v>0</v>
      </c>
      <c r="S960" s="11">
        <v>1</v>
      </c>
      <c r="T960" s="11">
        <v>0</v>
      </c>
      <c r="U960" s="11">
        <v>1</v>
      </c>
      <c r="V960" s="2">
        <v>0</v>
      </c>
      <c r="W960" s="2">
        <v>1</v>
      </c>
      <c r="X960" s="2">
        <v>3</v>
      </c>
      <c r="Y960" s="2">
        <v>1</v>
      </c>
      <c r="Z960" s="27">
        <v>1975.164</v>
      </c>
      <c r="AA960" s="31">
        <v>1976.13</v>
      </c>
    </row>
    <row r="961" spans="1:27" x14ac:dyDescent="0.2">
      <c r="A961" s="3" t="s">
        <v>2689</v>
      </c>
      <c r="B961" s="2" t="s">
        <v>2690</v>
      </c>
      <c r="C961" s="8">
        <v>27942</v>
      </c>
      <c r="D961" s="2">
        <v>1976</v>
      </c>
      <c r="E961" s="2">
        <v>1970</v>
      </c>
      <c r="F961" s="2">
        <v>0</v>
      </c>
      <c r="G961" s="2">
        <v>0</v>
      </c>
      <c r="H961" s="3" t="s">
        <v>27</v>
      </c>
      <c r="I961" s="3" t="s">
        <v>4993</v>
      </c>
      <c r="J961" s="3" t="s">
        <v>2691</v>
      </c>
      <c r="K961" s="21" t="s">
        <v>2692</v>
      </c>
      <c r="L961" s="10">
        <v>26438</v>
      </c>
      <c r="M961" s="4">
        <f>2+48</f>
        <v>50</v>
      </c>
      <c r="N961" s="2">
        <v>92</v>
      </c>
      <c r="O961" s="2">
        <v>1</v>
      </c>
      <c r="P961" s="2">
        <v>4</v>
      </c>
      <c r="Q961" s="2">
        <v>0</v>
      </c>
      <c r="R961" s="2">
        <v>0</v>
      </c>
      <c r="S961" s="11">
        <v>1</v>
      </c>
      <c r="T961" s="11">
        <v>0</v>
      </c>
      <c r="U961" s="11">
        <v>1</v>
      </c>
      <c r="V961" s="2">
        <v>0</v>
      </c>
      <c r="W961" s="2">
        <v>1</v>
      </c>
      <c r="X961" s="2">
        <v>2</v>
      </c>
      <c r="Y961" s="2">
        <v>1</v>
      </c>
      <c r="Z961" s="27">
        <v>1975.1690000000001</v>
      </c>
      <c r="AA961" s="31">
        <v>1976.14</v>
      </c>
    </row>
    <row r="962" spans="1:27" x14ac:dyDescent="0.2">
      <c r="A962" s="3" t="s">
        <v>2681</v>
      </c>
      <c r="B962" s="2" t="s">
        <v>2682</v>
      </c>
      <c r="C962" s="8">
        <v>27947</v>
      </c>
      <c r="D962" s="2">
        <v>1976</v>
      </c>
      <c r="E962" s="2">
        <v>1970</v>
      </c>
      <c r="F962" s="2">
        <v>0</v>
      </c>
      <c r="G962" s="2">
        <v>0</v>
      </c>
      <c r="H962" s="3" t="s">
        <v>27</v>
      </c>
      <c r="I962" s="3" t="s">
        <v>4538</v>
      </c>
      <c r="J962" s="3" t="s">
        <v>2683</v>
      </c>
      <c r="K962" s="21" t="s">
        <v>2238</v>
      </c>
      <c r="L962" s="10">
        <v>19172</v>
      </c>
      <c r="M962" s="4">
        <f>1+(12*24)</f>
        <v>289</v>
      </c>
      <c r="N962" s="2">
        <v>82</v>
      </c>
      <c r="O962" s="2">
        <v>1</v>
      </c>
      <c r="Q962" s="2">
        <v>1</v>
      </c>
      <c r="R962" s="2">
        <v>0</v>
      </c>
      <c r="S962" s="11">
        <v>1</v>
      </c>
      <c r="T962" s="11">
        <v>1</v>
      </c>
      <c r="U962" s="11">
        <v>1</v>
      </c>
      <c r="V962" s="2">
        <v>0</v>
      </c>
      <c r="W962" s="2">
        <v>1</v>
      </c>
      <c r="X962" s="2">
        <v>2</v>
      </c>
      <c r="Y962" s="2">
        <v>1</v>
      </c>
      <c r="Z962" s="27">
        <v>1975.182</v>
      </c>
      <c r="AA962" s="31">
        <v>1976.15</v>
      </c>
    </row>
    <row r="963" spans="1:27" x14ac:dyDescent="0.2">
      <c r="A963" s="3" t="s">
        <v>2655</v>
      </c>
      <c r="B963" s="2" t="s">
        <v>2656</v>
      </c>
      <c r="C963" s="8">
        <v>28107</v>
      </c>
      <c r="D963" s="2">
        <v>1976</v>
      </c>
      <c r="E963" s="2">
        <v>1970</v>
      </c>
      <c r="F963" s="2">
        <v>0</v>
      </c>
      <c r="G963" s="2">
        <v>0</v>
      </c>
      <c r="H963" s="3" t="s">
        <v>27</v>
      </c>
      <c r="I963" s="3" t="s">
        <v>4884</v>
      </c>
      <c r="J963" s="3" t="s">
        <v>2657</v>
      </c>
      <c r="K963" s="21" t="s">
        <v>1685</v>
      </c>
      <c r="L963" s="10">
        <v>13010</v>
      </c>
      <c r="M963" s="4">
        <f>4+(12*41)</f>
        <v>496</v>
      </c>
      <c r="N963" s="2">
        <v>74</v>
      </c>
      <c r="O963" s="2">
        <v>3</v>
      </c>
      <c r="Q963" s="2">
        <v>1</v>
      </c>
      <c r="R963" s="2">
        <v>0</v>
      </c>
      <c r="S963" s="11">
        <v>1</v>
      </c>
      <c r="T963" s="11">
        <v>0</v>
      </c>
      <c r="U963" s="11">
        <v>1</v>
      </c>
      <c r="V963" s="2">
        <v>0</v>
      </c>
      <c r="W963" s="2">
        <v>1</v>
      </c>
      <c r="X963" s="2">
        <v>0</v>
      </c>
      <c r="Y963" s="2">
        <v>1</v>
      </c>
      <c r="Z963" s="27">
        <v>1976.0239999999999</v>
      </c>
      <c r="AA963" s="31">
        <v>1976.16</v>
      </c>
    </row>
    <row r="964" spans="1:27" x14ac:dyDescent="0.2">
      <c r="A964" s="3" t="s">
        <v>2648</v>
      </c>
      <c r="B964" s="2" t="s">
        <v>2649</v>
      </c>
      <c r="C964" s="8">
        <v>28114</v>
      </c>
      <c r="D964" s="2">
        <v>1976</v>
      </c>
      <c r="E964" s="2">
        <v>1970</v>
      </c>
      <c r="F964" s="2">
        <v>0</v>
      </c>
      <c r="G964" s="2">
        <v>0</v>
      </c>
      <c r="H964" s="3" t="s">
        <v>27</v>
      </c>
      <c r="I964" s="3" t="s">
        <v>4992</v>
      </c>
      <c r="J964" s="3" t="s">
        <v>2650</v>
      </c>
      <c r="K964" s="21" t="s">
        <v>2647</v>
      </c>
      <c r="L964" s="10">
        <v>26382</v>
      </c>
      <c r="M964" s="4">
        <f>9+48</f>
        <v>57</v>
      </c>
      <c r="N964" s="2">
        <v>92</v>
      </c>
      <c r="O964" s="2">
        <v>1</v>
      </c>
      <c r="Q964" s="2">
        <v>0</v>
      </c>
      <c r="R964" s="2">
        <v>0</v>
      </c>
      <c r="S964" s="11">
        <v>1</v>
      </c>
      <c r="T964" s="11">
        <v>1</v>
      </c>
      <c r="U964" s="11">
        <v>1</v>
      </c>
      <c r="V964" s="2">
        <v>0</v>
      </c>
      <c r="W964" s="2">
        <v>0</v>
      </c>
      <c r="X964" s="2">
        <v>0</v>
      </c>
      <c r="Y964" s="2">
        <v>1</v>
      </c>
      <c r="Z964" s="27">
        <v>1976.0260000000001</v>
      </c>
      <c r="AA964" s="31">
        <v>1976.17</v>
      </c>
    </row>
    <row r="965" spans="1:27" x14ac:dyDescent="0.2">
      <c r="A965" s="3" t="s">
        <v>2670</v>
      </c>
      <c r="B965" s="2" t="s">
        <v>2671</v>
      </c>
      <c r="C965" s="8">
        <v>28079</v>
      </c>
      <c r="D965" s="2">
        <v>1976</v>
      </c>
      <c r="E965" s="2">
        <v>1970</v>
      </c>
      <c r="F965" s="2">
        <v>0</v>
      </c>
      <c r="G965" s="2">
        <v>0</v>
      </c>
      <c r="H965" s="3" t="s">
        <v>27</v>
      </c>
      <c r="I965" s="3" t="s">
        <v>4994</v>
      </c>
      <c r="J965" s="3" t="s">
        <v>2672</v>
      </c>
      <c r="K965" s="21" t="s">
        <v>2673</v>
      </c>
      <c r="L965" s="10">
        <v>27834</v>
      </c>
      <c r="M965" s="4">
        <f>8</f>
        <v>8</v>
      </c>
      <c r="N965" s="2">
        <v>94</v>
      </c>
      <c r="O965" s="2">
        <v>1</v>
      </c>
      <c r="Q965" s="2">
        <v>0</v>
      </c>
      <c r="R965" s="2">
        <v>0</v>
      </c>
      <c r="S965" s="11">
        <v>1</v>
      </c>
      <c r="T965" s="11">
        <v>1</v>
      </c>
      <c r="U965" s="11">
        <v>0</v>
      </c>
      <c r="V965" s="2">
        <v>0</v>
      </c>
      <c r="W965" s="2">
        <v>1</v>
      </c>
      <c r="X965" s="2">
        <v>2</v>
      </c>
      <c r="Y965" s="2">
        <v>1</v>
      </c>
      <c r="Z965" s="27">
        <v>1976.0150000000001</v>
      </c>
      <c r="AA965" s="31">
        <v>1976.18</v>
      </c>
    </row>
    <row r="966" spans="1:27" x14ac:dyDescent="0.2">
      <c r="A966" s="3" t="s">
        <v>2716</v>
      </c>
      <c r="B966" s="2" t="s">
        <v>2717</v>
      </c>
      <c r="C966" s="8">
        <v>28136</v>
      </c>
      <c r="D966" s="2">
        <v>1977</v>
      </c>
      <c r="E966" s="2">
        <v>1970</v>
      </c>
      <c r="F966" s="2">
        <v>0</v>
      </c>
      <c r="G966" s="2">
        <v>0</v>
      </c>
      <c r="H966" s="3" t="s">
        <v>27</v>
      </c>
      <c r="I966" s="3" t="s">
        <v>4995</v>
      </c>
      <c r="J966" s="3" t="s">
        <v>2718</v>
      </c>
      <c r="K966" s="21" t="s">
        <v>2719</v>
      </c>
      <c r="L966" s="10">
        <v>23620</v>
      </c>
      <c r="M966" s="4">
        <f>5+(12*12)</f>
        <v>149</v>
      </c>
      <c r="N966" s="2">
        <v>88</v>
      </c>
      <c r="O966" s="2">
        <v>1</v>
      </c>
      <c r="Q966" s="2">
        <v>1</v>
      </c>
      <c r="R966" s="2">
        <v>1</v>
      </c>
      <c r="S966" s="11">
        <v>1</v>
      </c>
      <c r="T966" s="11">
        <v>0</v>
      </c>
      <c r="U966" s="11">
        <v>1</v>
      </c>
      <c r="V966" s="2">
        <v>0</v>
      </c>
      <c r="W966" s="2">
        <v>1</v>
      </c>
      <c r="X966" s="2">
        <v>0</v>
      </c>
      <c r="Y966" s="2">
        <v>1</v>
      </c>
      <c r="Z966" s="27">
        <v>1976.03</v>
      </c>
      <c r="AA966" s="31">
        <v>1977.01</v>
      </c>
    </row>
    <row r="967" spans="1:27" x14ac:dyDescent="0.2">
      <c r="A967" s="3" t="s">
        <v>4159</v>
      </c>
      <c r="B967" s="2" t="s">
        <v>4160</v>
      </c>
      <c r="C967" s="8">
        <v>28137</v>
      </c>
      <c r="D967" s="2">
        <v>1977</v>
      </c>
      <c r="E967" s="2">
        <v>1970</v>
      </c>
      <c r="F967" s="2">
        <v>1</v>
      </c>
      <c r="G967" s="2">
        <v>1</v>
      </c>
      <c r="H967" s="3" t="s">
        <v>3442</v>
      </c>
      <c r="I967" s="3" t="s">
        <v>5096</v>
      </c>
      <c r="J967" s="3" t="s">
        <v>4161</v>
      </c>
      <c r="K967" s="19" t="s">
        <v>2395</v>
      </c>
      <c r="L967" s="10">
        <v>19952</v>
      </c>
      <c r="M967" s="4">
        <f>5+(12*22)</f>
        <v>269</v>
      </c>
      <c r="N967" s="2">
        <v>83</v>
      </c>
      <c r="O967" s="2">
        <v>1</v>
      </c>
      <c r="Q967" s="2">
        <v>1</v>
      </c>
      <c r="R967" s="2">
        <v>0</v>
      </c>
      <c r="S967" s="11">
        <v>1</v>
      </c>
      <c r="T967" s="11">
        <v>1</v>
      </c>
      <c r="U967" s="11">
        <v>1</v>
      </c>
      <c r="V967" s="2">
        <v>0</v>
      </c>
      <c r="W967" s="2">
        <v>1</v>
      </c>
      <c r="X967" s="2">
        <v>0</v>
      </c>
      <c r="Y967" s="2">
        <v>0</v>
      </c>
      <c r="Z967" s="27">
        <v>1976.0340000000001</v>
      </c>
      <c r="AA967" s="31">
        <v>1977.02</v>
      </c>
    </row>
    <row r="968" spans="1:27" x14ac:dyDescent="0.2">
      <c r="A968" s="3" t="s">
        <v>2729</v>
      </c>
      <c r="B968" s="2" t="s">
        <v>2730</v>
      </c>
      <c r="C968" s="8">
        <v>28185</v>
      </c>
      <c r="D968" s="2">
        <v>1977</v>
      </c>
      <c r="E968" s="2">
        <v>1970</v>
      </c>
      <c r="F968" s="2">
        <v>0</v>
      </c>
      <c r="G968" s="2">
        <v>0</v>
      </c>
      <c r="H968" s="3" t="s">
        <v>27</v>
      </c>
      <c r="I968" s="3" t="s">
        <v>4885</v>
      </c>
      <c r="J968" s="3" t="s">
        <v>2439</v>
      </c>
      <c r="K968" s="21" t="s">
        <v>2440</v>
      </c>
      <c r="L968" s="10">
        <v>23960</v>
      </c>
      <c r="M968" s="4">
        <f>7+(12*11)</f>
        <v>139</v>
      </c>
      <c r="N968" s="2">
        <v>89</v>
      </c>
      <c r="O968" s="2">
        <v>3</v>
      </c>
      <c r="Q968" s="2">
        <v>1</v>
      </c>
      <c r="R968" s="2">
        <v>1</v>
      </c>
      <c r="S968" s="11">
        <v>1</v>
      </c>
      <c r="T968" s="11">
        <v>1</v>
      </c>
      <c r="U968" s="11">
        <v>0</v>
      </c>
      <c r="V968" s="2">
        <v>0</v>
      </c>
      <c r="W968" s="2">
        <v>0</v>
      </c>
      <c r="X968" s="2">
        <v>1</v>
      </c>
      <c r="Y968" s="2">
        <v>1</v>
      </c>
      <c r="Z968" s="27">
        <v>1976.059</v>
      </c>
      <c r="AA968" s="31">
        <v>1977.03</v>
      </c>
    </row>
    <row r="969" spans="1:27" x14ac:dyDescent="0.2">
      <c r="A969" s="3" t="s">
        <v>4153</v>
      </c>
      <c r="B969" s="2" t="s">
        <v>4154</v>
      </c>
      <c r="C969" s="8">
        <v>28186</v>
      </c>
      <c r="D969" s="2">
        <v>1977</v>
      </c>
      <c r="E969" s="2">
        <v>1970</v>
      </c>
      <c r="F969" s="2">
        <v>2</v>
      </c>
      <c r="G969" s="2">
        <v>1</v>
      </c>
      <c r="H969" s="3" t="s">
        <v>3434</v>
      </c>
      <c r="I969" s="3" t="s">
        <v>4972</v>
      </c>
      <c r="J969" s="3" t="s">
        <v>4155</v>
      </c>
      <c r="K969" s="21" t="s">
        <v>2639</v>
      </c>
      <c r="L969" s="10">
        <v>18503</v>
      </c>
      <c r="M969" s="4">
        <f>7+(12*26)</f>
        <v>319</v>
      </c>
      <c r="N969" s="2">
        <v>81</v>
      </c>
      <c r="O969" s="2">
        <v>3</v>
      </c>
      <c r="Q969" s="2">
        <v>1</v>
      </c>
      <c r="R969" s="2">
        <v>0</v>
      </c>
      <c r="S969" s="11">
        <v>1</v>
      </c>
      <c r="T969" s="11">
        <v>0</v>
      </c>
      <c r="U969" s="11">
        <v>0</v>
      </c>
      <c r="V969" s="2">
        <v>1</v>
      </c>
      <c r="W969" s="2">
        <v>1</v>
      </c>
      <c r="X969" s="2">
        <v>4</v>
      </c>
      <c r="Y969" s="2">
        <v>1</v>
      </c>
      <c r="Z969" s="27">
        <v>1976.0609999999999</v>
      </c>
      <c r="AA969" s="31">
        <v>1977.04</v>
      </c>
    </row>
    <row r="970" spans="1:27" x14ac:dyDescent="0.2">
      <c r="A970" s="3" t="s">
        <v>2707</v>
      </c>
      <c r="B970" s="2" t="s">
        <v>2708</v>
      </c>
      <c r="C970" s="8">
        <v>28205</v>
      </c>
      <c r="D970" s="2">
        <v>1977</v>
      </c>
      <c r="E970" s="2">
        <v>1970</v>
      </c>
      <c r="F970" s="2">
        <v>0</v>
      </c>
      <c r="G970" s="2">
        <v>0</v>
      </c>
      <c r="H970" s="3" t="s">
        <v>27</v>
      </c>
      <c r="I970" s="3" t="s">
        <v>4972</v>
      </c>
      <c r="J970" s="3" t="s">
        <v>2709</v>
      </c>
      <c r="K970" s="21" t="s">
        <v>2639</v>
      </c>
      <c r="L970" s="10">
        <v>18503</v>
      </c>
      <c r="M970" s="4">
        <v>139</v>
      </c>
      <c r="N970" s="2">
        <v>81</v>
      </c>
      <c r="O970" s="2">
        <v>3</v>
      </c>
      <c r="Q970" s="2">
        <v>1</v>
      </c>
      <c r="R970" s="2">
        <v>0</v>
      </c>
      <c r="S970" s="11">
        <v>0</v>
      </c>
      <c r="T970" s="11">
        <v>0</v>
      </c>
      <c r="U970" s="11">
        <v>1</v>
      </c>
      <c r="V970" s="2">
        <v>0</v>
      </c>
      <c r="W970" s="2">
        <v>1</v>
      </c>
      <c r="X970" s="2">
        <v>0</v>
      </c>
      <c r="Y970" s="2">
        <v>1</v>
      </c>
      <c r="Z970" s="27">
        <v>1976.067</v>
      </c>
      <c r="AA970" s="31">
        <v>1977.05</v>
      </c>
    </row>
    <row r="971" spans="1:27" x14ac:dyDescent="0.2">
      <c r="A971" s="3" t="s">
        <v>2726</v>
      </c>
      <c r="B971" s="2" t="s">
        <v>2727</v>
      </c>
      <c r="C971" s="8">
        <v>28206</v>
      </c>
      <c r="D971" s="2">
        <v>1977</v>
      </c>
      <c r="E971" s="2">
        <v>1970</v>
      </c>
      <c r="F971" s="2">
        <v>0</v>
      </c>
      <c r="G971" s="2">
        <v>0</v>
      </c>
      <c r="H971" s="3" t="s">
        <v>27</v>
      </c>
      <c r="I971" s="3" t="s">
        <v>4981</v>
      </c>
      <c r="J971" s="3" t="s">
        <v>2728</v>
      </c>
      <c r="K971" s="21" t="s">
        <v>2571</v>
      </c>
      <c r="L971" s="10">
        <v>18473</v>
      </c>
      <c r="M971" s="4">
        <f>8+(12*26)</f>
        <v>320</v>
      </c>
      <c r="N971" s="2">
        <v>91</v>
      </c>
      <c r="O971" s="2">
        <v>1</v>
      </c>
      <c r="Q971" s="2">
        <v>1</v>
      </c>
      <c r="R971" s="2">
        <v>0</v>
      </c>
      <c r="S971" s="11">
        <v>1</v>
      </c>
      <c r="T971" s="11">
        <v>1</v>
      </c>
      <c r="U971" s="11">
        <v>1</v>
      </c>
      <c r="V971" s="2">
        <v>0</v>
      </c>
      <c r="W971" s="2">
        <v>1</v>
      </c>
      <c r="X971" s="2">
        <v>0</v>
      </c>
      <c r="Y971" s="2">
        <v>1</v>
      </c>
      <c r="Z971" s="27">
        <v>1976.0730000000001</v>
      </c>
      <c r="AA971" s="31">
        <v>1977.06</v>
      </c>
    </row>
    <row r="972" spans="1:27" x14ac:dyDescent="0.2">
      <c r="A972" s="3" t="s">
        <v>2697</v>
      </c>
      <c r="B972" s="2" t="s">
        <v>2698</v>
      </c>
      <c r="C972" s="8">
        <v>28207</v>
      </c>
      <c r="D972" s="2">
        <v>1977</v>
      </c>
      <c r="E972" s="2">
        <v>1970</v>
      </c>
      <c r="F972" s="2">
        <v>0</v>
      </c>
      <c r="G972" s="2">
        <v>0</v>
      </c>
      <c r="H972" s="3" t="s">
        <v>27</v>
      </c>
      <c r="I972" s="3" t="s">
        <v>4879</v>
      </c>
      <c r="J972" s="3" t="s">
        <v>2699</v>
      </c>
      <c r="K972" s="21" t="s">
        <v>2700</v>
      </c>
      <c r="L972" s="10">
        <v>25931</v>
      </c>
      <c r="M972" s="4">
        <f>3+(6*12)</f>
        <v>75</v>
      </c>
      <c r="N972" s="2">
        <v>91</v>
      </c>
      <c r="O972" s="2">
        <v>1</v>
      </c>
      <c r="Q972" s="2">
        <v>1</v>
      </c>
      <c r="R972" s="2">
        <v>1</v>
      </c>
      <c r="S972" s="11">
        <v>1</v>
      </c>
      <c r="T972" s="11">
        <v>1</v>
      </c>
      <c r="U972" s="11">
        <v>0</v>
      </c>
      <c r="V972" s="2">
        <v>0</v>
      </c>
      <c r="W972" s="2">
        <v>1</v>
      </c>
      <c r="X972" s="2">
        <v>0</v>
      </c>
      <c r="Y972" s="2">
        <v>1</v>
      </c>
      <c r="Z972" s="27">
        <v>1976.075</v>
      </c>
      <c r="AA972" s="31">
        <v>1977.07</v>
      </c>
    </row>
    <row r="973" spans="1:27" x14ac:dyDescent="0.2">
      <c r="A973" s="3" t="s">
        <v>2693</v>
      </c>
      <c r="B973" s="2" t="s">
        <v>2694</v>
      </c>
      <c r="C973" s="8">
        <v>28219</v>
      </c>
      <c r="D973" s="2">
        <v>1977</v>
      </c>
      <c r="E973" s="2">
        <v>1970</v>
      </c>
      <c r="F973" s="2">
        <v>0</v>
      </c>
      <c r="G973" s="2">
        <v>0</v>
      </c>
      <c r="H973" s="3" t="s">
        <v>27</v>
      </c>
      <c r="I973" s="3" t="s">
        <v>4996</v>
      </c>
      <c r="J973" s="3" t="s">
        <v>2695</v>
      </c>
      <c r="K973" s="3" t="s">
        <v>2696</v>
      </c>
      <c r="L973" s="10">
        <v>17713</v>
      </c>
      <c r="M973" s="4">
        <f>10+(12*28)</f>
        <v>346</v>
      </c>
      <c r="N973" s="2">
        <v>80</v>
      </c>
      <c r="O973" s="2">
        <v>3</v>
      </c>
      <c r="Q973" s="2">
        <v>0</v>
      </c>
      <c r="R973" s="2">
        <v>0</v>
      </c>
      <c r="S973" s="11">
        <v>1</v>
      </c>
      <c r="T973" s="11">
        <v>0</v>
      </c>
      <c r="U973" s="11">
        <v>1</v>
      </c>
      <c r="V973" s="2">
        <v>0</v>
      </c>
      <c r="W973" s="2">
        <v>1</v>
      </c>
      <c r="X973" s="2">
        <v>0</v>
      </c>
      <c r="Y973" s="2">
        <v>0</v>
      </c>
      <c r="Z973" s="27">
        <v>1976.0830000000001</v>
      </c>
      <c r="AA973" s="31">
        <v>1977.08</v>
      </c>
    </row>
    <row r="974" spans="1:27" x14ac:dyDescent="0.2">
      <c r="A974" s="3" t="s">
        <v>2731</v>
      </c>
      <c r="B974" s="2" t="s">
        <v>2732</v>
      </c>
      <c r="C974" s="8">
        <v>28234</v>
      </c>
      <c r="D974" s="2">
        <v>1977</v>
      </c>
      <c r="E974" s="2">
        <v>1970</v>
      </c>
      <c r="F974" s="2">
        <v>0</v>
      </c>
      <c r="G974" s="2">
        <v>0</v>
      </c>
      <c r="H974" s="3" t="s">
        <v>27</v>
      </c>
      <c r="I974" s="3" t="s">
        <v>5092</v>
      </c>
      <c r="J974" s="3" t="s">
        <v>2733</v>
      </c>
      <c r="K974" s="15"/>
      <c r="L974" s="4" t="s">
        <v>568</v>
      </c>
      <c r="M974" s="4">
        <f>1+(12*92)</f>
        <v>1105</v>
      </c>
      <c r="N974" s="2">
        <v>48</v>
      </c>
      <c r="O974" s="2">
        <v>3</v>
      </c>
      <c r="Q974" s="2">
        <v>0</v>
      </c>
      <c r="R974" s="2">
        <v>0</v>
      </c>
      <c r="S974" s="11">
        <v>1</v>
      </c>
      <c r="T974" s="11">
        <v>1</v>
      </c>
      <c r="U974" s="11">
        <v>1</v>
      </c>
      <c r="V974" s="2">
        <v>0</v>
      </c>
      <c r="W974" s="2">
        <v>1</v>
      </c>
      <c r="X974" s="2">
        <v>0</v>
      </c>
      <c r="Y974" s="2">
        <v>1</v>
      </c>
      <c r="Z974" s="27">
        <v>1976.0840000000001</v>
      </c>
      <c r="AA974" s="31">
        <v>1977.09</v>
      </c>
    </row>
    <row r="975" spans="1:27" x14ac:dyDescent="0.2">
      <c r="A975" s="3" t="s">
        <v>2710</v>
      </c>
      <c r="B975" s="2" t="s">
        <v>2711</v>
      </c>
      <c r="C975" s="8">
        <v>28179</v>
      </c>
      <c r="D975" s="2">
        <v>1977</v>
      </c>
      <c r="E975" s="2">
        <v>1970</v>
      </c>
      <c r="F975" s="2">
        <v>0</v>
      </c>
      <c r="G975" s="2">
        <v>0</v>
      </c>
      <c r="H975" s="3" t="s">
        <v>27</v>
      </c>
      <c r="I975" s="3" t="s">
        <v>2712</v>
      </c>
      <c r="J975" s="3" t="s">
        <v>2712</v>
      </c>
      <c r="K975" s="21" t="s">
        <v>2713</v>
      </c>
      <c r="L975" s="10">
        <v>26575</v>
      </c>
      <c r="M975" s="4">
        <f>4+(12*4)</f>
        <v>52</v>
      </c>
      <c r="N975" s="2">
        <v>92</v>
      </c>
      <c r="O975" s="2">
        <v>4</v>
      </c>
      <c r="P975" s="2">
        <v>3</v>
      </c>
      <c r="Q975" s="2">
        <v>0</v>
      </c>
      <c r="R975" s="2">
        <v>0</v>
      </c>
      <c r="S975" s="11">
        <v>1</v>
      </c>
      <c r="T975" s="11">
        <v>0</v>
      </c>
      <c r="U975" s="11">
        <v>1</v>
      </c>
      <c r="V975" s="2">
        <v>0</v>
      </c>
      <c r="W975" s="2">
        <v>1</v>
      </c>
      <c r="X975" s="2">
        <v>1</v>
      </c>
      <c r="Y975" s="2">
        <v>1</v>
      </c>
      <c r="Z975" s="27">
        <v>1976.0540000000001</v>
      </c>
      <c r="AA975" s="31">
        <v>1977.1</v>
      </c>
    </row>
    <row r="976" spans="1:27" x14ac:dyDescent="0.2">
      <c r="A976" s="3" t="s">
        <v>2714</v>
      </c>
      <c r="B976" s="2" t="s">
        <v>2715</v>
      </c>
      <c r="C976" s="8">
        <v>28241</v>
      </c>
      <c r="D976" s="2">
        <v>1977</v>
      </c>
      <c r="E976" s="2">
        <v>1970</v>
      </c>
      <c r="F976" s="2">
        <v>0</v>
      </c>
      <c r="G976" s="2">
        <v>0</v>
      </c>
      <c r="H976" s="3" t="s">
        <v>27</v>
      </c>
      <c r="I976" s="3" t="s">
        <v>4538</v>
      </c>
      <c r="J976" s="3" t="s">
        <v>2448</v>
      </c>
      <c r="K976" s="21" t="s">
        <v>2238</v>
      </c>
      <c r="L976" s="10">
        <v>19172</v>
      </c>
      <c r="M976" s="4">
        <f>10+(12*24)</f>
        <v>298</v>
      </c>
      <c r="N976" s="2">
        <v>82</v>
      </c>
      <c r="O976" s="2">
        <v>3</v>
      </c>
      <c r="Q976" s="2">
        <v>1</v>
      </c>
      <c r="R976" s="2">
        <v>0</v>
      </c>
      <c r="S976" s="11">
        <v>1</v>
      </c>
      <c r="T976" s="11">
        <v>0</v>
      </c>
      <c r="U976" s="11">
        <v>0</v>
      </c>
      <c r="V976" s="2">
        <v>0</v>
      </c>
      <c r="W976" s="2">
        <v>1</v>
      </c>
      <c r="X976" s="2">
        <v>3</v>
      </c>
      <c r="Y976" s="2">
        <v>1</v>
      </c>
      <c r="Z976" s="27">
        <v>1976.0920000000001</v>
      </c>
      <c r="AA976" s="31">
        <v>1977.11</v>
      </c>
    </row>
    <row r="977" spans="1:27" x14ac:dyDescent="0.2">
      <c r="A977" s="3" t="s">
        <v>4156</v>
      </c>
      <c r="B977" s="2" t="s">
        <v>4157</v>
      </c>
      <c r="C977" s="8">
        <v>28205</v>
      </c>
      <c r="D977" s="2">
        <v>1977</v>
      </c>
      <c r="E977" s="2">
        <v>1970</v>
      </c>
      <c r="F977" s="2">
        <v>2</v>
      </c>
      <c r="G977" s="2">
        <v>1</v>
      </c>
      <c r="H977" s="3" t="s">
        <v>3434</v>
      </c>
      <c r="I977" s="3" t="s">
        <v>4972</v>
      </c>
      <c r="J977" s="3" t="s">
        <v>4158</v>
      </c>
      <c r="K977" s="21" t="s">
        <v>2639</v>
      </c>
      <c r="L977" s="10">
        <v>18503</v>
      </c>
      <c r="M977" s="4">
        <f>7+(12*26)</f>
        <v>319</v>
      </c>
      <c r="N977" s="2">
        <v>81</v>
      </c>
      <c r="O977" s="2">
        <v>3</v>
      </c>
      <c r="Q977" s="2">
        <v>1</v>
      </c>
      <c r="R977" s="2">
        <v>0</v>
      </c>
      <c r="S977" s="11">
        <v>0</v>
      </c>
      <c r="T977" s="11">
        <v>1</v>
      </c>
      <c r="U977" s="11">
        <v>0</v>
      </c>
      <c r="V977" s="2">
        <v>1</v>
      </c>
      <c r="W977" s="2">
        <v>1</v>
      </c>
      <c r="X977" s="2">
        <v>0</v>
      </c>
      <c r="Y977" s="2">
        <v>1</v>
      </c>
      <c r="Z977" s="27" t="s">
        <v>5167</v>
      </c>
      <c r="AA977" s="31">
        <v>1977.12</v>
      </c>
    </row>
    <row r="978" spans="1:27" x14ac:dyDescent="0.2">
      <c r="A978" s="3" t="s">
        <v>4162</v>
      </c>
      <c r="B978" s="2" t="s">
        <v>4163</v>
      </c>
      <c r="C978" s="8">
        <v>28268</v>
      </c>
      <c r="D978" s="2">
        <v>1977</v>
      </c>
      <c r="E978" s="2">
        <v>1970</v>
      </c>
      <c r="F978" s="2">
        <v>1</v>
      </c>
      <c r="G978" s="2">
        <v>1</v>
      </c>
      <c r="H978" s="3" t="s">
        <v>3442</v>
      </c>
      <c r="I978" s="3" t="s">
        <v>4997</v>
      </c>
      <c r="J978" s="3" t="s">
        <v>4164</v>
      </c>
      <c r="K978" s="21" t="s">
        <v>4165</v>
      </c>
      <c r="L978" s="10">
        <v>18477</v>
      </c>
      <c r="M978" s="4">
        <f>9+(12*26)</f>
        <v>321</v>
      </c>
      <c r="N978" s="2">
        <v>81</v>
      </c>
      <c r="O978" s="2">
        <v>1</v>
      </c>
      <c r="Q978" s="2">
        <v>1</v>
      </c>
      <c r="R978" s="2">
        <v>0</v>
      </c>
      <c r="S978" s="11">
        <v>0</v>
      </c>
      <c r="T978" s="11">
        <v>1</v>
      </c>
      <c r="U978" s="11">
        <v>0</v>
      </c>
      <c r="V978" s="2">
        <v>0</v>
      </c>
      <c r="W978" s="2">
        <v>1</v>
      </c>
      <c r="X978" s="2">
        <v>4</v>
      </c>
      <c r="Y978" s="2">
        <v>1</v>
      </c>
      <c r="Z978" s="27">
        <v>1976.107</v>
      </c>
      <c r="AA978" s="31">
        <v>1977.13</v>
      </c>
    </row>
    <row r="979" spans="1:27" x14ac:dyDescent="0.2">
      <c r="A979" s="3" t="s">
        <v>2724</v>
      </c>
      <c r="B979" s="2" t="s">
        <v>2725</v>
      </c>
      <c r="C979" s="8">
        <v>28268</v>
      </c>
      <c r="D979" s="2">
        <v>1977</v>
      </c>
      <c r="E979" s="2">
        <v>1970</v>
      </c>
      <c r="F979" s="2">
        <v>0</v>
      </c>
      <c r="G979" s="2">
        <v>0</v>
      </c>
      <c r="H979" s="3" t="s">
        <v>27</v>
      </c>
      <c r="I979" s="3" t="s">
        <v>5083</v>
      </c>
      <c r="J979" s="3" t="s">
        <v>2275</v>
      </c>
      <c r="K979" s="3" t="s">
        <v>2276</v>
      </c>
      <c r="L979" s="10">
        <v>17709</v>
      </c>
      <c r="M979" s="4">
        <f>11+(12*28)</f>
        <v>347</v>
      </c>
      <c r="N979" s="2">
        <v>80</v>
      </c>
      <c r="O979" s="2">
        <v>5</v>
      </c>
      <c r="P979" s="2">
        <v>1</v>
      </c>
      <c r="Q979" s="2">
        <v>0</v>
      </c>
      <c r="R979" s="2">
        <v>0</v>
      </c>
      <c r="S979" s="11">
        <v>1</v>
      </c>
      <c r="T979" s="11">
        <v>1</v>
      </c>
      <c r="U979" s="11">
        <v>0</v>
      </c>
      <c r="V979" s="2">
        <v>0</v>
      </c>
      <c r="W979" s="2">
        <v>1</v>
      </c>
      <c r="X979" s="2">
        <v>4</v>
      </c>
      <c r="Y979" s="2">
        <v>0</v>
      </c>
      <c r="Z979" s="27">
        <v>1976.11</v>
      </c>
      <c r="AA979" s="31">
        <v>1977.14</v>
      </c>
    </row>
    <row r="980" spans="1:27" x14ac:dyDescent="0.2">
      <c r="A980" s="3" t="s">
        <v>2734</v>
      </c>
      <c r="B980" s="2" t="s">
        <v>2735</v>
      </c>
      <c r="C980" s="8">
        <v>28282</v>
      </c>
      <c r="D980" s="2">
        <v>1977</v>
      </c>
      <c r="E980" s="2">
        <v>1970</v>
      </c>
      <c r="F980" s="2">
        <v>0</v>
      </c>
      <c r="G980" s="2">
        <v>0</v>
      </c>
      <c r="H980" s="3" t="s">
        <v>27</v>
      </c>
      <c r="I980" s="3" t="s">
        <v>2736</v>
      </c>
      <c r="J980" s="3" t="s">
        <v>2736</v>
      </c>
      <c r="K980" s="15"/>
      <c r="L980" s="4" t="s">
        <v>2737</v>
      </c>
      <c r="M980" s="4">
        <f>11+(110*12)</f>
        <v>1331</v>
      </c>
      <c r="N980" s="2">
        <v>39</v>
      </c>
      <c r="O980" s="2">
        <v>1</v>
      </c>
      <c r="Q980" s="2">
        <v>0</v>
      </c>
      <c r="R980" s="2">
        <v>0</v>
      </c>
      <c r="S980" s="11">
        <v>1</v>
      </c>
      <c r="T980" s="11">
        <v>1</v>
      </c>
      <c r="U980" s="11">
        <v>1</v>
      </c>
      <c r="V980" s="2">
        <v>0</v>
      </c>
      <c r="W980" s="2">
        <v>1</v>
      </c>
      <c r="X980" s="2">
        <v>3</v>
      </c>
      <c r="Y980" s="2">
        <v>0</v>
      </c>
      <c r="Z980" s="27">
        <v>1976.1220000000001</v>
      </c>
      <c r="AA980" s="31">
        <v>1977.15</v>
      </c>
    </row>
    <row r="981" spans="1:27" x14ac:dyDescent="0.2">
      <c r="A981" s="3" t="s">
        <v>4166</v>
      </c>
      <c r="B981" s="2" t="s">
        <v>4167</v>
      </c>
      <c r="C981" s="8">
        <v>28261</v>
      </c>
      <c r="D981" s="2">
        <v>1977</v>
      </c>
      <c r="E981" s="2">
        <v>1970</v>
      </c>
      <c r="F981" s="2">
        <v>2</v>
      </c>
      <c r="G981" s="2">
        <v>1</v>
      </c>
      <c r="H981" s="3" t="s">
        <v>3434</v>
      </c>
      <c r="I981" s="3" t="s">
        <v>4998</v>
      </c>
      <c r="J981" s="3" t="s">
        <v>2817</v>
      </c>
      <c r="K981" s="21" t="s">
        <v>2818</v>
      </c>
      <c r="L981" s="10">
        <v>27318</v>
      </c>
      <c r="M981" s="4">
        <f>7+24</f>
        <v>31</v>
      </c>
      <c r="N981" s="2">
        <v>93</v>
      </c>
      <c r="O981" s="2">
        <v>3</v>
      </c>
      <c r="Q981" s="2">
        <v>0</v>
      </c>
      <c r="R981" s="2">
        <v>0</v>
      </c>
      <c r="S981" s="11">
        <v>0</v>
      </c>
      <c r="T981" s="11">
        <v>0</v>
      </c>
      <c r="U981" s="11">
        <v>0</v>
      </c>
      <c r="V981" s="2">
        <v>1</v>
      </c>
      <c r="W981" s="2">
        <v>1</v>
      </c>
      <c r="X981" s="2">
        <v>0</v>
      </c>
      <c r="Y981" s="2">
        <v>1</v>
      </c>
      <c r="Z981" s="27" t="s">
        <v>5167</v>
      </c>
      <c r="AA981" s="31">
        <v>1977.16</v>
      </c>
    </row>
    <row r="982" spans="1:27" x14ac:dyDescent="0.2">
      <c r="A982" s="3" t="s">
        <v>2701</v>
      </c>
      <c r="B982" s="2" t="s">
        <v>2702</v>
      </c>
      <c r="C982" s="8">
        <v>28296</v>
      </c>
      <c r="D982" s="2">
        <v>1977</v>
      </c>
      <c r="E982" s="2">
        <v>1970</v>
      </c>
      <c r="F982" s="2">
        <v>0</v>
      </c>
      <c r="G982" s="2">
        <v>0</v>
      </c>
      <c r="H982" s="3" t="s">
        <v>27</v>
      </c>
      <c r="I982" s="3" t="s">
        <v>4885</v>
      </c>
      <c r="J982" s="3" t="s">
        <v>2443</v>
      </c>
      <c r="K982" s="21" t="s">
        <v>2440</v>
      </c>
      <c r="L982" s="10">
        <v>23960</v>
      </c>
      <c r="M982" s="4">
        <f>10+(12*11)</f>
        <v>142</v>
      </c>
      <c r="N982" s="2">
        <v>89</v>
      </c>
      <c r="O982" s="2">
        <v>5</v>
      </c>
      <c r="Q982" s="2">
        <v>1</v>
      </c>
      <c r="R982" s="2">
        <v>0</v>
      </c>
      <c r="S982" s="11">
        <v>1</v>
      </c>
      <c r="T982" s="11">
        <v>1</v>
      </c>
      <c r="U982" s="11">
        <v>0</v>
      </c>
      <c r="V982" s="2">
        <v>0</v>
      </c>
      <c r="W982" s="2">
        <v>1</v>
      </c>
      <c r="X982" s="2">
        <v>0</v>
      </c>
      <c r="Y982" s="2">
        <v>1</v>
      </c>
      <c r="Z982" s="27">
        <v>1976.152</v>
      </c>
      <c r="AA982" s="31">
        <v>1977.17</v>
      </c>
    </row>
    <row r="983" spans="1:27" x14ac:dyDescent="0.2">
      <c r="A983" s="3" t="s">
        <v>2720</v>
      </c>
      <c r="B983" s="2" t="s">
        <v>2721</v>
      </c>
      <c r="C983" s="8">
        <v>28304</v>
      </c>
      <c r="D983" s="2">
        <v>1977</v>
      </c>
      <c r="E983" s="2">
        <v>1970</v>
      </c>
      <c r="F983" s="2">
        <v>0</v>
      </c>
      <c r="G983" s="2">
        <v>0</v>
      </c>
      <c r="H983" s="3" t="s">
        <v>27</v>
      </c>
      <c r="I983" s="3" t="s">
        <v>4999</v>
      </c>
      <c r="J983" s="3" t="s">
        <v>2722</v>
      </c>
      <c r="K983" s="21" t="s">
        <v>2723</v>
      </c>
      <c r="L983" s="10">
        <v>27382</v>
      </c>
      <c r="M983" s="4">
        <f>6+24</f>
        <v>30</v>
      </c>
      <c r="N983" s="2">
        <v>93</v>
      </c>
      <c r="O983" s="2">
        <v>6</v>
      </c>
      <c r="P983" s="2">
        <v>1</v>
      </c>
      <c r="Q983" s="2">
        <v>0</v>
      </c>
      <c r="R983" s="2">
        <v>0</v>
      </c>
      <c r="S983" s="11">
        <v>1</v>
      </c>
      <c r="T983" s="11">
        <v>0</v>
      </c>
      <c r="U983" s="11">
        <v>0</v>
      </c>
      <c r="V983" s="2">
        <v>0</v>
      </c>
      <c r="W983" s="2">
        <v>1</v>
      </c>
      <c r="X983" s="2">
        <v>2</v>
      </c>
      <c r="Y983" s="2">
        <v>1</v>
      </c>
      <c r="Z983" s="27">
        <v>1976.1759999999999</v>
      </c>
      <c r="AA983" s="31">
        <v>1977.18</v>
      </c>
    </row>
    <row r="984" spans="1:27" x14ac:dyDescent="0.2">
      <c r="A984" s="3" t="s">
        <v>2703</v>
      </c>
      <c r="B984" s="8" t="s">
        <v>2704</v>
      </c>
      <c r="C984" s="8">
        <v>28437</v>
      </c>
      <c r="D984" s="2">
        <v>1977</v>
      </c>
      <c r="E984" s="2">
        <v>1970</v>
      </c>
      <c r="F984" s="2">
        <v>0</v>
      </c>
      <c r="G984" s="2">
        <v>0</v>
      </c>
      <c r="H984" s="3" t="s">
        <v>27</v>
      </c>
      <c r="I984" s="3" t="s">
        <v>5000</v>
      </c>
      <c r="J984" s="3" t="s">
        <v>2705</v>
      </c>
      <c r="K984" s="21" t="s">
        <v>2706</v>
      </c>
      <c r="L984" s="10">
        <v>21425</v>
      </c>
      <c r="M984" s="4">
        <f>3+(19*12)</f>
        <v>231</v>
      </c>
      <c r="N984" s="2">
        <v>85</v>
      </c>
      <c r="O984" s="2">
        <v>1</v>
      </c>
      <c r="Q984" s="2">
        <v>0</v>
      </c>
      <c r="R984" s="2">
        <v>0</v>
      </c>
      <c r="S984" s="11">
        <v>1</v>
      </c>
      <c r="T984" s="11">
        <v>0</v>
      </c>
      <c r="U984" s="11">
        <v>1</v>
      </c>
      <c r="V984" s="2">
        <v>0</v>
      </c>
      <c r="W984" s="2">
        <v>1</v>
      </c>
      <c r="X984" s="2">
        <v>0</v>
      </c>
      <c r="Y984" s="2">
        <v>1</v>
      </c>
      <c r="Z984" s="27">
        <v>1977.0070000000001</v>
      </c>
      <c r="AA984" s="31">
        <v>1977.19</v>
      </c>
    </row>
    <row r="985" spans="1:27" x14ac:dyDescent="0.2">
      <c r="A985" s="3" t="s">
        <v>2742</v>
      </c>
      <c r="B985" s="2" t="s">
        <v>2743</v>
      </c>
      <c r="C985" s="8">
        <v>28548</v>
      </c>
      <c r="D985" s="2">
        <v>1978</v>
      </c>
      <c r="E985" s="2">
        <v>1970</v>
      </c>
      <c r="F985" s="2">
        <v>0</v>
      </c>
      <c r="G985" s="2">
        <v>0</v>
      </c>
      <c r="H985" s="3" t="s">
        <v>27</v>
      </c>
      <c r="I985" s="3" t="s">
        <v>4876</v>
      </c>
      <c r="J985" s="3" t="s">
        <v>2744</v>
      </c>
      <c r="K985" s="21" t="s">
        <v>2741</v>
      </c>
      <c r="L985" s="10">
        <v>26602</v>
      </c>
      <c r="M985" s="4">
        <f>4+(12*5)</f>
        <v>64</v>
      </c>
      <c r="N985" s="2">
        <v>92</v>
      </c>
      <c r="O985" s="2">
        <v>2</v>
      </c>
      <c r="Q985" s="2">
        <v>0</v>
      </c>
      <c r="R985" s="2">
        <v>0</v>
      </c>
      <c r="S985" s="11">
        <v>0</v>
      </c>
      <c r="T985" s="11">
        <v>0</v>
      </c>
      <c r="U985" s="11">
        <v>1</v>
      </c>
      <c r="V985" s="2">
        <v>0</v>
      </c>
      <c r="W985" s="2">
        <v>1</v>
      </c>
      <c r="X985" s="2">
        <v>0</v>
      </c>
      <c r="Y985" s="2">
        <v>1</v>
      </c>
      <c r="Z985" s="27">
        <v>1977.04</v>
      </c>
      <c r="AA985" s="31">
        <v>1978.01</v>
      </c>
    </row>
    <row r="986" spans="1:27" x14ac:dyDescent="0.2">
      <c r="A986" s="3" t="s">
        <v>2745</v>
      </c>
      <c r="B986" s="2" t="s">
        <v>2746</v>
      </c>
      <c r="C986" s="8">
        <v>28569</v>
      </c>
      <c r="D986" s="2">
        <v>1978</v>
      </c>
      <c r="E986" s="2">
        <v>1970</v>
      </c>
      <c r="F986" s="2">
        <v>0</v>
      </c>
      <c r="G986" s="2">
        <v>0</v>
      </c>
      <c r="H986" s="3" t="s">
        <v>27</v>
      </c>
      <c r="I986" s="3" t="s">
        <v>5001</v>
      </c>
      <c r="J986" s="3" t="s">
        <v>2747</v>
      </c>
      <c r="K986" s="21" t="s">
        <v>2748</v>
      </c>
      <c r="L986" s="10">
        <v>28048</v>
      </c>
      <c r="M986" s="4">
        <f>5+12</f>
        <v>17</v>
      </c>
      <c r="N986" s="2">
        <v>94</v>
      </c>
      <c r="O986" s="2">
        <v>4</v>
      </c>
      <c r="Q986" s="2">
        <v>0</v>
      </c>
      <c r="R986" s="2">
        <v>0</v>
      </c>
      <c r="S986" s="11">
        <v>0</v>
      </c>
      <c r="T986" s="11">
        <v>0</v>
      </c>
      <c r="U986" s="11">
        <v>1</v>
      </c>
      <c r="V986" s="2">
        <v>0</v>
      </c>
      <c r="W986" s="2">
        <v>1</v>
      </c>
      <c r="X986" s="2">
        <v>0</v>
      </c>
      <c r="Y986" s="2">
        <v>1</v>
      </c>
      <c r="Z986" s="27">
        <v>1977.049</v>
      </c>
      <c r="AA986" s="31">
        <v>1978.02</v>
      </c>
    </row>
    <row r="987" spans="1:27" x14ac:dyDescent="0.2">
      <c r="A987" s="3" t="s">
        <v>2758</v>
      </c>
      <c r="B987" s="2" t="s">
        <v>2759</v>
      </c>
      <c r="C987" s="8">
        <v>28578</v>
      </c>
      <c r="D987" s="2">
        <v>1978</v>
      </c>
      <c r="E987" s="2">
        <v>1970</v>
      </c>
      <c r="F987" s="2">
        <v>0</v>
      </c>
      <c r="G987" s="2">
        <v>0</v>
      </c>
      <c r="H987" s="3" t="s">
        <v>27</v>
      </c>
      <c r="I987" s="3" t="s">
        <v>2760</v>
      </c>
      <c r="J987" s="3" t="s">
        <v>2760</v>
      </c>
      <c r="K987" s="21" t="s">
        <v>2761</v>
      </c>
      <c r="L987" s="10">
        <v>25709</v>
      </c>
      <c r="M987" s="4">
        <f>10+(7*12)</f>
        <v>94</v>
      </c>
      <c r="N987" s="2">
        <v>91</v>
      </c>
      <c r="O987" s="2">
        <v>5</v>
      </c>
      <c r="Q987" s="2">
        <v>1</v>
      </c>
      <c r="R987" s="2">
        <v>1</v>
      </c>
      <c r="S987" s="11">
        <v>1</v>
      </c>
      <c r="T987" s="11">
        <v>1</v>
      </c>
      <c r="U987" s="11">
        <v>0</v>
      </c>
      <c r="V987" s="2">
        <v>0</v>
      </c>
      <c r="W987" s="2">
        <v>1</v>
      </c>
      <c r="X987" s="2">
        <v>2</v>
      </c>
      <c r="Y987" s="2">
        <v>1</v>
      </c>
      <c r="Z987" s="27">
        <v>1977.06</v>
      </c>
      <c r="AA987" s="31">
        <v>1978.03</v>
      </c>
    </row>
    <row r="988" spans="1:27" x14ac:dyDescent="0.2">
      <c r="A988" s="3" t="s">
        <v>4168</v>
      </c>
      <c r="B988" s="2" t="s">
        <v>4169</v>
      </c>
      <c r="C988" s="8">
        <v>28633</v>
      </c>
      <c r="D988" s="2">
        <v>1978</v>
      </c>
      <c r="E988" s="2">
        <v>1970</v>
      </c>
      <c r="F988" s="2">
        <v>2</v>
      </c>
      <c r="G988" s="2">
        <v>1</v>
      </c>
      <c r="H988" s="3" t="s">
        <v>3434</v>
      </c>
      <c r="I988" s="3" t="s">
        <v>4879</v>
      </c>
      <c r="J988" s="3" t="s">
        <v>4170</v>
      </c>
      <c r="K988" s="21" t="s">
        <v>2700</v>
      </c>
      <c r="L988" s="10">
        <v>25931</v>
      </c>
      <c r="M988" s="4">
        <f>5+(12*7)</f>
        <v>89</v>
      </c>
      <c r="N988" s="2">
        <v>91</v>
      </c>
      <c r="O988" s="2">
        <v>1</v>
      </c>
      <c r="Q988" s="2">
        <v>1</v>
      </c>
      <c r="R988" s="2">
        <v>1</v>
      </c>
      <c r="S988" s="11">
        <v>1</v>
      </c>
      <c r="T988" s="11">
        <v>0</v>
      </c>
      <c r="U988" s="11">
        <v>0</v>
      </c>
      <c r="V988" s="2">
        <v>1</v>
      </c>
      <c r="W988" s="2">
        <v>1</v>
      </c>
      <c r="X988" s="2">
        <v>3</v>
      </c>
      <c r="Y988" s="2">
        <v>1</v>
      </c>
      <c r="Z988" s="27">
        <v>1977.088</v>
      </c>
      <c r="AA988" s="31">
        <v>1978.04</v>
      </c>
    </row>
    <row r="989" spans="1:27" x14ac:dyDescent="0.2">
      <c r="A989" s="3" t="s">
        <v>2753</v>
      </c>
      <c r="B989" s="2" t="s">
        <v>2754</v>
      </c>
      <c r="C989" s="8">
        <v>28653</v>
      </c>
      <c r="D989" s="2">
        <v>1978</v>
      </c>
      <c r="E989" s="2">
        <v>1970</v>
      </c>
      <c r="F989" s="2">
        <v>0</v>
      </c>
      <c r="G989" s="2">
        <v>0</v>
      </c>
      <c r="H989" s="3" t="s">
        <v>27</v>
      </c>
      <c r="I989" s="3" t="s">
        <v>4920</v>
      </c>
      <c r="J989" s="3" t="s">
        <v>1835</v>
      </c>
      <c r="K989" s="21" t="s">
        <v>1836</v>
      </c>
      <c r="L989" s="10">
        <v>12589</v>
      </c>
      <c r="M989" s="4">
        <f>12*44</f>
        <v>528</v>
      </c>
      <c r="N989" s="2">
        <v>73</v>
      </c>
      <c r="O989" s="2">
        <v>2</v>
      </c>
      <c r="Q989" s="2">
        <v>1</v>
      </c>
      <c r="R989" s="2">
        <v>0</v>
      </c>
      <c r="S989" s="11">
        <v>1</v>
      </c>
      <c r="T989" s="11">
        <v>1</v>
      </c>
      <c r="U989" s="11">
        <v>1</v>
      </c>
      <c r="V989" s="2">
        <v>0</v>
      </c>
      <c r="W989" s="2">
        <v>1</v>
      </c>
      <c r="X989" s="2">
        <v>0</v>
      </c>
      <c r="Y989" s="2">
        <v>1</v>
      </c>
      <c r="Z989" s="27">
        <v>1977.106</v>
      </c>
      <c r="AA989" s="31">
        <v>1978.05</v>
      </c>
    </row>
    <row r="990" spans="1:27" x14ac:dyDescent="0.2">
      <c r="A990" s="3" t="s">
        <v>2749</v>
      </c>
      <c r="B990" s="2" t="s">
        <v>2750</v>
      </c>
      <c r="C990" s="8">
        <v>28667</v>
      </c>
      <c r="D990" s="2">
        <v>1978</v>
      </c>
      <c r="E990" s="2">
        <v>1970</v>
      </c>
      <c r="F990" s="2">
        <v>0</v>
      </c>
      <c r="G990" s="2">
        <v>0</v>
      </c>
      <c r="H990" s="3" t="s">
        <v>27</v>
      </c>
      <c r="I990" s="3" t="s">
        <v>2751</v>
      </c>
      <c r="J990" s="3" t="s">
        <v>2751</v>
      </c>
      <c r="K990" s="21" t="s">
        <v>2752</v>
      </c>
      <c r="L990" s="10">
        <v>21065</v>
      </c>
      <c r="M990" s="4">
        <f>9+(12*20)</f>
        <v>249</v>
      </c>
      <c r="N990" s="2">
        <v>85</v>
      </c>
      <c r="O990" s="2">
        <v>1</v>
      </c>
      <c r="Q990" s="2">
        <v>0</v>
      </c>
      <c r="R990" s="2">
        <v>0</v>
      </c>
      <c r="S990" s="11">
        <v>1</v>
      </c>
      <c r="T990" s="11">
        <v>0</v>
      </c>
      <c r="U990" s="11">
        <v>1</v>
      </c>
      <c r="V990" s="2">
        <v>0</v>
      </c>
      <c r="W990" s="2">
        <v>0</v>
      </c>
      <c r="X990" s="2">
        <v>0</v>
      </c>
      <c r="Y990" s="2">
        <v>1</v>
      </c>
      <c r="Z990" s="27">
        <v>1977.14</v>
      </c>
      <c r="AA990" s="31">
        <v>1978.06</v>
      </c>
    </row>
    <row r="991" spans="1:27" x14ac:dyDescent="0.2">
      <c r="A991" s="3" t="s">
        <v>2755</v>
      </c>
      <c r="B991" s="2" t="s">
        <v>2756</v>
      </c>
      <c r="C991" s="8">
        <v>28674</v>
      </c>
      <c r="D991" s="2">
        <v>1978</v>
      </c>
      <c r="E991" s="2">
        <v>1970</v>
      </c>
      <c r="F991" s="2">
        <v>0</v>
      </c>
      <c r="G991" s="2">
        <v>0</v>
      </c>
      <c r="H991" s="3" t="s">
        <v>27</v>
      </c>
      <c r="I991" s="3" t="s">
        <v>5083</v>
      </c>
      <c r="J991" s="3" t="s">
        <v>2757</v>
      </c>
      <c r="K991" s="3" t="s">
        <v>2276</v>
      </c>
      <c r="L991" s="10">
        <v>17709</v>
      </c>
      <c r="M991" s="4">
        <f>1+(12*30)</f>
        <v>361</v>
      </c>
      <c r="N991" s="2">
        <v>80</v>
      </c>
      <c r="O991" s="2">
        <v>2</v>
      </c>
      <c r="Q991" s="2">
        <v>0</v>
      </c>
      <c r="R991" s="2">
        <v>0</v>
      </c>
      <c r="S991" s="11">
        <v>1</v>
      </c>
      <c r="T991" s="11">
        <v>1</v>
      </c>
      <c r="U991" s="11">
        <v>1</v>
      </c>
      <c r="V991" s="2">
        <v>0</v>
      </c>
      <c r="W991" s="2">
        <v>1</v>
      </c>
      <c r="X991" s="2">
        <v>4</v>
      </c>
      <c r="Y991" s="2">
        <v>0</v>
      </c>
      <c r="Z991" s="27">
        <v>1977.1569999999999</v>
      </c>
      <c r="AA991" s="31">
        <v>1978.07</v>
      </c>
    </row>
    <row r="992" spans="1:27" x14ac:dyDescent="0.2">
      <c r="A992" s="3" t="s">
        <v>2738</v>
      </c>
      <c r="B992" s="2" t="s">
        <v>2739</v>
      </c>
      <c r="C992" s="8">
        <v>28835</v>
      </c>
      <c r="D992" s="2">
        <v>1978</v>
      </c>
      <c r="E992" s="2">
        <v>1970</v>
      </c>
      <c r="F992" s="2">
        <v>0</v>
      </c>
      <c r="G992" s="2">
        <v>0</v>
      </c>
      <c r="H992" s="3" t="s">
        <v>27</v>
      </c>
      <c r="I992" s="3" t="s">
        <v>4876</v>
      </c>
      <c r="J992" s="3" t="s">
        <v>2740</v>
      </c>
      <c r="K992" s="21" t="s">
        <v>2741</v>
      </c>
      <c r="L992" s="10">
        <v>26602</v>
      </c>
      <c r="M992" s="4">
        <f>2+(12*6)</f>
        <v>74</v>
      </c>
      <c r="N992" s="2">
        <v>92</v>
      </c>
      <c r="O992" s="2">
        <v>2</v>
      </c>
      <c r="P992" s="2">
        <v>1</v>
      </c>
      <c r="Q992" s="2">
        <v>0</v>
      </c>
      <c r="R992" s="2">
        <v>0</v>
      </c>
      <c r="S992" s="11">
        <v>1</v>
      </c>
      <c r="T992" s="11">
        <v>0</v>
      </c>
      <c r="U992" s="11">
        <v>1</v>
      </c>
      <c r="V992" s="2">
        <v>0</v>
      </c>
      <c r="W992" s="2">
        <v>1</v>
      </c>
      <c r="X992" s="2">
        <v>0</v>
      </c>
      <c r="Y992" s="2">
        <v>1</v>
      </c>
      <c r="Z992" s="27">
        <v>1978.0119999999999</v>
      </c>
      <c r="AA992" s="31">
        <v>1978.08</v>
      </c>
    </row>
    <row r="993" spans="1:27" x14ac:dyDescent="0.2">
      <c r="A993" s="3" t="s">
        <v>4176</v>
      </c>
      <c r="B993" s="2" t="s">
        <v>4177</v>
      </c>
      <c r="C993" s="8">
        <v>28935</v>
      </c>
      <c r="D993" s="2">
        <v>1979</v>
      </c>
      <c r="E993" s="2">
        <v>1970</v>
      </c>
      <c r="F993" s="2">
        <v>1</v>
      </c>
      <c r="G993" s="2">
        <v>1</v>
      </c>
      <c r="H993" s="3" t="s">
        <v>3442</v>
      </c>
      <c r="I993" s="3" t="s">
        <v>5002</v>
      </c>
      <c r="J993" s="3" t="s">
        <v>4178</v>
      </c>
      <c r="K993" s="21" t="s">
        <v>4179</v>
      </c>
      <c r="L993" s="10">
        <v>27236</v>
      </c>
      <c r="M993" s="4">
        <f>8+48</f>
        <v>56</v>
      </c>
      <c r="N993" s="2">
        <v>93</v>
      </c>
      <c r="O993" s="2">
        <v>2</v>
      </c>
      <c r="Q993" s="2">
        <v>0</v>
      </c>
      <c r="R993" s="2">
        <v>0</v>
      </c>
      <c r="S993" s="11">
        <v>1</v>
      </c>
      <c r="T993" s="11">
        <v>1</v>
      </c>
      <c r="U993" s="11">
        <v>0</v>
      </c>
      <c r="V993" s="2">
        <v>0</v>
      </c>
      <c r="W993" s="2">
        <v>1</v>
      </c>
      <c r="X993" s="2">
        <v>4</v>
      </c>
      <c r="Y993" s="2">
        <v>1</v>
      </c>
      <c r="Z993" s="27">
        <v>1978.06</v>
      </c>
      <c r="AA993" s="31">
        <v>1979.01</v>
      </c>
    </row>
    <row r="994" spans="1:27" x14ac:dyDescent="0.2">
      <c r="A994" s="3" t="s">
        <v>2780</v>
      </c>
      <c r="B994" s="2" t="s">
        <v>2781</v>
      </c>
      <c r="C994" s="8">
        <v>28908</v>
      </c>
      <c r="D994" s="2">
        <v>1979</v>
      </c>
      <c r="E994" s="2">
        <v>1970</v>
      </c>
      <c r="F994" s="2">
        <v>0</v>
      </c>
      <c r="G994" s="2">
        <v>0</v>
      </c>
      <c r="H994" s="3" t="s">
        <v>27</v>
      </c>
      <c r="I994" s="3" t="s">
        <v>5003</v>
      </c>
      <c r="J994" s="3" t="s">
        <v>2782</v>
      </c>
      <c r="K994" s="21" t="s">
        <v>2783</v>
      </c>
      <c r="L994" s="10">
        <v>17027</v>
      </c>
      <c r="M994" s="4">
        <f>6+(12*37)</f>
        <v>450</v>
      </c>
      <c r="N994" s="2">
        <v>79</v>
      </c>
      <c r="O994" s="2">
        <v>3</v>
      </c>
      <c r="Q994" s="2">
        <v>0</v>
      </c>
      <c r="R994" s="2">
        <v>0</v>
      </c>
      <c r="S994" s="11">
        <v>1</v>
      </c>
      <c r="T994" s="11">
        <v>0</v>
      </c>
      <c r="U994" s="11">
        <v>1</v>
      </c>
      <c r="V994" s="2">
        <v>0</v>
      </c>
      <c r="W994" s="2">
        <v>1</v>
      </c>
      <c r="X994" s="2">
        <v>1</v>
      </c>
      <c r="Y994" s="2">
        <v>1</v>
      </c>
      <c r="Z994" s="27">
        <v>1978.04</v>
      </c>
      <c r="AA994" s="31">
        <v>1979.02</v>
      </c>
    </row>
    <row r="995" spans="1:27" x14ac:dyDescent="0.2">
      <c r="A995" s="3" t="s">
        <v>2766</v>
      </c>
      <c r="B995" s="2" t="s">
        <v>2767</v>
      </c>
      <c r="C995" s="8">
        <v>28963</v>
      </c>
      <c r="D995" s="2">
        <v>1979</v>
      </c>
      <c r="E995" s="2">
        <v>1970</v>
      </c>
      <c r="F995" s="2">
        <v>0</v>
      </c>
      <c r="G995" s="2">
        <v>0</v>
      </c>
      <c r="H995" s="3" t="s">
        <v>27</v>
      </c>
      <c r="I995" s="3" t="s">
        <v>4851</v>
      </c>
      <c r="J995" s="3" t="s">
        <v>2768</v>
      </c>
      <c r="K995" s="21" t="s">
        <v>2769</v>
      </c>
      <c r="L995" s="10">
        <v>28037</v>
      </c>
      <c r="M995" s="4">
        <f>6+24</f>
        <v>30</v>
      </c>
      <c r="N995" s="2">
        <v>94</v>
      </c>
      <c r="O995" s="2">
        <v>5</v>
      </c>
      <c r="Q995" s="2">
        <v>1</v>
      </c>
      <c r="R995" s="2">
        <v>0</v>
      </c>
      <c r="S995" s="11">
        <v>1</v>
      </c>
      <c r="T995" s="11">
        <v>1</v>
      </c>
      <c r="U995" s="11">
        <v>0</v>
      </c>
      <c r="V995" s="2">
        <v>0</v>
      </c>
      <c r="W995" s="2">
        <v>0</v>
      </c>
      <c r="X995" s="2">
        <v>0</v>
      </c>
      <c r="Y995" s="2">
        <v>1</v>
      </c>
      <c r="Z995" s="27">
        <v>1978.075</v>
      </c>
      <c r="AA995" s="31">
        <v>1979.03</v>
      </c>
    </row>
    <row r="996" spans="1:27" x14ac:dyDescent="0.2">
      <c r="A996" s="3" t="s">
        <v>2772</v>
      </c>
      <c r="B996" s="2" t="s">
        <v>2773</v>
      </c>
      <c r="C996" s="8">
        <v>28963</v>
      </c>
      <c r="D996" s="2">
        <v>1979</v>
      </c>
      <c r="E996" s="2">
        <v>1970</v>
      </c>
      <c r="F996" s="2">
        <v>0</v>
      </c>
      <c r="G996" s="2">
        <v>0</v>
      </c>
      <c r="H996" s="3" t="s">
        <v>27</v>
      </c>
      <c r="I996" s="3" t="s">
        <v>2774</v>
      </c>
      <c r="J996" s="3" t="s">
        <v>2774</v>
      </c>
      <c r="K996" s="21" t="s">
        <v>2775</v>
      </c>
      <c r="L996" s="10">
        <v>25008</v>
      </c>
      <c r="M996" s="4">
        <f>10+(12*10)</f>
        <v>130</v>
      </c>
      <c r="N996" s="2">
        <v>90</v>
      </c>
      <c r="O996" s="2">
        <v>1</v>
      </c>
      <c r="Q996" s="2">
        <v>1</v>
      </c>
      <c r="R996" s="2">
        <v>1</v>
      </c>
      <c r="S996" s="11">
        <v>0</v>
      </c>
      <c r="T996" s="11">
        <v>0</v>
      </c>
      <c r="U996" s="11">
        <v>1</v>
      </c>
      <c r="V996" s="2">
        <v>0</v>
      </c>
      <c r="W996" s="2">
        <v>1</v>
      </c>
      <c r="X996" s="2">
        <v>4</v>
      </c>
      <c r="Y996" s="2">
        <v>1</v>
      </c>
      <c r="Z996" s="27">
        <v>1978.078</v>
      </c>
      <c r="AA996" s="31">
        <v>1979.04</v>
      </c>
    </row>
    <row r="997" spans="1:27" x14ac:dyDescent="0.2">
      <c r="A997" s="3" t="s">
        <v>2776</v>
      </c>
      <c r="B997" s="8" t="s">
        <v>2777</v>
      </c>
      <c r="C997" s="8">
        <v>29010</v>
      </c>
      <c r="D997" s="2">
        <v>1979</v>
      </c>
      <c r="E997" s="2">
        <v>1970</v>
      </c>
      <c r="F997" s="2">
        <v>0</v>
      </c>
      <c r="G997" s="2">
        <v>0</v>
      </c>
      <c r="H997" s="3" t="s">
        <v>27</v>
      </c>
      <c r="I997" s="3" t="s">
        <v>4720</v>
      </c>
      <c r="J997" s="3" t="s">
        <v>2778</v>
      </c>
      <c r="K997" s="21" t="s">
        <v>2779</v>
      </c>
      <c r="L997" s="10">
        <v>25008</v>
      </c>
      <c r="M997" s="4">
        <f>12*11</f>
        <v>132</v>
      </c>
      <c r="N997" s="2">
        <v>90</v>
      </c>
      <c r="O997" s="2">
        <v>1</v>
      </c>
      <c r="P997" s="2">
        <v>6</v>
      </c>
      <c r="Q997" s="2">
        <v>1</v>
      </c>
      <c r="R997" s="2">
        <v>0</v>
      </c>
      <c r="S997" s="11">
        <v>1</v>
      </c>
      <c r="T997" s="11">
        <v>1</v>
      </c>
      <c r="U997" s="11">
        <v>1</v>
      </c>
      <c r="V997" s="2">
        <v>0</v>
      </c>
      <c r="W997" s="2">
        <v>1</v>
      </c>
      <c r="X997" s="2">
        <v>0</v>
      </c>
      <c r="Y997" s="2">
        <v>1</v>
      </c>
      <c r="Z997" s="27">
        <v>1978.106</v>
      </c>
      <c r="AA997" s="31">
        <v>1979.05</v>
      </c>
    </row>
    <row r="998" spans="1:27" x14ac:dyDescent="0.2">
      <c r="A998" s="3" t="s">
        <v>2770</v>
      </c>
      <c r="B998" s="2" t="s">
        <v>2771</v>
      </c>
      <c r="C998" s="8">
        <v>29033</v>
      </c>
      <c r="D998" s="2">
        <v>1979</v>
      </c>
      <c r="E998" s="2">
        <v>1970</v>
      </c>
      <c r="F998" s="2">
        <v>0</v>
      </c>
      <c r="G998" s="2">
        <v>0</v>
      </c>
      <c r="H998" s="3" t="s">
        <v>27</v>
      </c>
      <c r="I998" s="3" t="s">
        <v>4884</v>
      </c>
      <c r="J998" s="3" t="s">
        <v>1684</v>
      </c>
      <c r="K998" s="21" t="s">
        <v>1685</v>
      </c>
      <c r="L998" s="10">
        <v>13010</v>
      </c>
      <c r="M998" s="4">
        <f>10+(12*43)</f>
        <v>526</v>
      </c>
      <c r="N998" s="2">
        <v>74</v>
      </c>
      <c r="O998" s="2">
        <v>2</v>
      </c>
      <c r="Q998" s="2">
        <v>1</v>
      </c>
      <c r="R998" s="2">
        <v>0</v>
      </c>
      <c r="S998" s="11">
        <v>1</v>
      </c>
      <c r="T998" s="11">
        <v>0</v>
      </c>
      <c r="U998" s="11">
        <v>1</v>
      </c>
      <c r="V998" s="2">
        <v>0</v>
      </c>
      <c r="W998" s="2">
        <v>1</v>
      </c>
      <c r="X998" s="2">
        <v>4</v>
      </c>
      <c r="Y998" s="2">
        <v>1</v>
      </c>
      <c r="Z998" s="27">
        <v>1978.1489999999999</v>
      </c>
      <c r="AA998" s="31">
        <v>1979.06</v>
      </c>
    </row>
    <row r="999" spans="1:27" x14ac:dyDescent="0.2">
      <c r="A999" s="3" t="s">
        <v>4171</v>
      </c>
      <c r="B999" s="2" t="s">
        <v>4172</v>
      </c>
      <c r="C999" s="8">
        <v>29031</v>
      </c>
      <c r="D999" s="2">
        <v>1979</v>
      </c>
      <c r="E999" s="2">
        <v>1970</v>
      </c>
      <c r="F999" s="2">
        <v>2</v>
      </c>
      <c r="G999" s="2">
        <v>1</v>
      </c>
      <c r="H999" s="3" t="s">
        <v>3434</v>
      </c>
      <c r="I999" s="3" t="s">
        <v>4868</v>
      </c>
      <c r="J999" s="3" t="s">
        <v>4108</v>
      </c>
      <c r="K999" s="21" t="s">
        <v>2887</v>
      </c>
      <c r="L999" s="10">
        <v>24839</v>
      </c>
      <c r="M999" s="4">
        <f>5+(12*11)</f>
        <v>137</v>
      </c>
      <c r="N999" s="2">
        <v>90</v>
      </c>
      <c r="O999" s="2">
        <v>2</v>
      </c>
      <c r="Q999" s="2">
        <v>0</v>
      </c>
      <c r="R999" s="2">
        <v>0</v>
      </c>
      <c r="S999" s="11">
        <v>1</v>
      </c>
      <c r="T999" s="11">
        <v>0</v>
      </c>
      <c r="U999" s="11">
        <v>0</v>
      </c>
      <c r="V999" s="2">
        <v>1</v>
      </c>
      <c r="W999" s="2">
        <v>1</v>
      </c>
      <c r="X999" s="2">
        <v>4</v>
      </c>
      <c r="Y999" s="2">
        <v>1</v>
      </c>
      <c r="Z999" s="27">
        <v>1978.1410000000001</v>
      </c>
      <c r="AA999" s="31">
        <v>1979.07</v>
      </c>
    </row>
    <row r="1000" spans="1:27" x14ac:dyDescent="0.2">
      <c r="A1000" s="3" t="s">
        <v>4173</v>
      </c>
      <c r="B1000" s="2" t="s">
        <v>4174</v>
      </c>
      <c r="C1000" s="8">
        <v>29193</v>
      </c>
      <c r="D1000" s="2">
        <v>1979</v>
      </c>
      <c r="E1000" s="2">
        <v>1970</v>
      </c>
      <c r="F1000" s="2">
        <v>1</v>
      </c>
      <c r="G1000" s="2">
        <v>1</v>
      </c>
      <c r="H1000" s="3" t="s">
        <v>3442</v>
      </c>
      <c r="I1000" s="3" t="s">
        <v>5067</v>
      </c>
      <c r="J1000" s="3" t="s">
        <v>4175</v>
      </c>
      <c r="K1000" s="15"/>
      <c r="L1000" s="4" t="s">
        <v>830</v>
      </c>
      <c r="M1000" s="4">
        <f>9+(12*80)</f>
        <v>969</v>
      </c>
      <c r="N1000" s="2">
        <v>55</v>
      </c>
      <c r="O1000" s="2">
        <v>4</v>
      </c>
      <c r="Q1000" s="2">
        <v>0</v>
      </c>
      <c r="R1000" s="2">
        <v>0</v>
      </c>
      <c r="S1000" s="11">
        <v>1</v>
      </c>
      <c r="T1000" s="11">
        <v>1</v>
      </c>
      <c r="U1000" s="11">
        <v>1</v>
      </c>
      <c r="V1000" s="2">
        <v>0</v>
      </c>
      <c r="W1000" s="2">
        <v>1</v>
      </c>
      <c r="X1000" s="2">
        <v>3</v>
      </c>
      <c r="Y1000" s="2">
        <v>0</v>
      </c>
      <c r="Z1000" s="27">
        <v>1979.01</v>
      </c>
      <c r="AA1000" s="31">
        <v>1979.08</v>
      </c>
    </row>
    <row r="1001" spans="1:27" x14ac:dyDescent="0.2">
      <c r="A1001" s="3" t="s">
        <v>2762</v>
      </c>
      <c r="B1001" s="2" t="s">
        <v>2763</v>
      </c>
      <c r="C1001" s="8">
        <v>29186</v>
      </c>
      <c r="D1001" s="2">
        <v>1979</v>
      </c>
      <c r="E1001" s="2">
        <v>1970</v>
      </c>
      <c r="F1001" s="2">
        <v>0</v>
      </c>
      <c r="G1001" s="2">
        <v>0</v>
      </c>
      <c r="H1001" s="3" t="s">
        <v>27</v>
      </c>
      <c r="I1001" s="3" t="s">
        <v>2764</v>
      </c>
      <c r="J1001" s="3" t="s">
        <v>2764</v>
      </c>
      <c r="K1001" s="21" t="s">
        <v>2765</v>
      </c>
      <c r="L1001" s="10">
        <v>14770</v>
      </c>
      <c r="M1001" s="4">
        <f>5+(12*39)</f>
        <v>473</v>
      </c>
      <c r="N1001" s="2">
        <v>76</v>
      </c>
      <c r="O1001" s="2">
        <v>4</v>
      </c>
      <c r="Q1001" s="2">
        <v>0</v>
      </c>
      <c r="R1001" s="2">
        <v>0</v>
      </c>
      <c r="S1001" s="11">
        <v>1</v>
      </c>
      <c r="T1001" s="11">
        <v>0</v>
      </c>
      <c r="U1001" s="11">
        <v>1</v>
      </c>
      <c r="V1001" s="2">
        <v>0</v>
      </c>
      <c r="W1001" s="2">
        <v>1</v>
      </c>
      <c r="X1001" s="2">
        <v>0</v>
      </c>
      <c r="Y1001" s="2">
        <v>1</v>
      </c>
      <c r="Z1001" s="27">
        <v>1979.0050000000001</v>
      </c>
      <c r="AA1001" s="31">
        <v>1979.09</v>
      </c>
    </row>
    <row r="1002" spans="1:27" x14ac:dyDescent="0.2">
      <c r="A1002" s="3" t="s">
        <v>2833</v>
      </c>
      <c r="B1002" s="2" t="s">
        <v>2834</v>
      </c>
      <c r="C1002" s="8">
        <v>29235</v>
      </c>
      <c r="D1002" s="2">
        <v>1980</v>
      </c>
      <c r="E1002" s="2">
        <v>1980</v>
      </c>
      <c r="F1002" s="2">
        <v>0</v>
      </c>
      <c r="G1002" s="2">
        <v>0</v>
      </c>
      <c r="H1002" s="3" t="s">
        <v>27</v>
      </c>
      <c r="I1002" s="3" t="s">
        <v>4538</v>
      </c>
      <c r="J1002" s="3" t="s">
        <v>2835</v>
      </c>
      <c r="K1002" s="21" t="s">
        <v>2238</v>
      </c>
      <c r="L1002" s="10">
        <v>19172</v>
      </c>
      <c r="M1002" s="4">
        <f>6+(12*27)</f>
        <v>330</v>
      </c>
      <c r="N1002" s="2">
        <v>82</v>
      </c>
      <c r="O1002" s="2">
        <v>1</v>
      </c>
      <c r="Q1002" s="2">
        <v>1</v>
      </c>
      <c r="R1002" s="2">
        <v>0</v>
      </c>
      <c r="S1002" s="11">
        <v>1</v>
      </c>
      <c r="T1002" s="11">
        <v>0</v>
      </c>
      <c r="U1002" s="11">
        <v>1</v>
      </c>
      <c r="V1002" s="2">
        <v>0</v>
      </c>
      <c r="W1002" s="2">
        <v>1</v>
      </c>
      <c r="X1002" s="2">
        <v>4</v>
      </c>
      <c r="Y1002" s="2">
        <v>1</v>
      </c>
      <c r="Z1002" s="27">
        <v>1979.0170000000001</v>
      </c>
      <c r="AA1002" s="31">
        <v>1980.01</v>
      </c>
    </row>
    <row r="1003" spans="1:27" x14ac:dyDescent="0.2">
      <c r="A1003" s="3" t="s">
        <v>4182</v>
      </c>
      <c r="B1003" s="2" t="s">
        <v>4183</v>
      </c>
      <c r="C1003" s="8">
        <v>29277</v>
      </c>
      <c r="D1003" s="2">
        <v>1980</v>
      </c>
      <c r="E1003" s="2">
        <v>1980</v>
      </c>
      <c r="F1003" s="2">
        <v>1</v>
      </c>
      <c r="G1003" s="2">
        <v>1</v>
      </c>
      <c r="H1003" s="3" t="s">
        <v>3442</v>
      </c>
      <c r="I1003" s="3" t="s">
        <v>4887</v>
      </c>
      <c r="J1003" s="3" t="s">
        <v>4184</v>
      </c>
      <c r="K1003" s="21" t="s">
        <v>4185</v>
      </c>
      <c r="L1003" s="10">
        <v>24306</v>
      </c>
      <c r="M1003" s="4">
        <f>7+(12*12)</f>
        <v>151</v>
      </c>
      <c r="N1003" s="2">
        <v>89</v>
      </c>
      <c r="O1003" s="2">
        <v>3</v>
      </c>
      <c r="Q1003" s="2">
        <v>0</v>
      </c>
      <c r="R1003" s="2">
        <v>0</v>
      </c>
      <c r="S1003" s="11">
        <v>1</v>
      </c>
      <c r="T1003" s="11">
        <v>0</v>
      </c>
      <c r="U1003" s="11">
        <v>0</v>
      </c>
      <c r="V1003" s="2">
        <v>0</v>
      </c>
      <c r="W1003" s="2">
        <v>1</v>
      </c>
      <c r="X1003" s="2">
        <v>2</v>
      </c>
      <c r="Y1003" s="2">
        <v>1</v>
      </c>
      <c r="Z1003" s="27">
        <v>1979.0419999999999</v>
      </c>
      <c r="AA1003" s="31">
        <v>1980.02</v>
      </c>
    </row>
    <row r="1004" spans="1:27" x14ac:dyDescent="0.2">
      <c r="A1004" s="3" t="s">
        <v>2233</v>
      </c>
      <c r="B1004" s="2" t="s">
        <v>2801</v>
      </c>
      <c r="C1004" s="8">
        <v>29278</v>
      </c>
      <c r="D1004" s="2">
        <v>1980</v>
      </c>
      <c r="E1004" s="2">
        <v>1980</v>
      </c>
      <c r="F1004" s="2">
        <v>0</v>
      </c>
      <c r="G1004" s="2">
        <v>0</v>
      </c>
      <c r="H1004" s="3" t="s">
        <v>27</v>
      </c>
      <c r="I1004" s="3" t="s">
        <v>4720</v>
      </c>
      <c r="J1004" s="3" t="s">
        <v>2778</v>
      </c>
      <c r="K1004" s="21" t="s">
        <v>2779</v>
      </c>
      <c r="L1004" s="10">
        <v>25008</v>
      </c>
      <c r="M1004" s="4">
        <f>8+(12*11)</f>
        <v>140</v>
      </c>
      <c r="N1004" s="2">
        <v>90</v>
      </c>
      <c r="O1004" s="2">
        <v>1</v>
      </c>
      <c r="Q1004" s="2">
        <v>1</v>
      </c>
      <c r="R1004" s="2">
        <v>0</v>
      </c>
      <c r="S1004" s="11">
        <v>1</v>
      </c>
      <c r="T1004" s="11">
        <v>1</v>
      </c>
      <c r="U1004" s="11">
        <v>0</v>
      </c>
      <c r="V1004" s="2">
        <v>0</v>
      </c>
      <c r="W1004" s="2">
        <v>1</v>
      </c>
      <c r="X1004" s="2">
        <v>3</v>
      </c>
      <c r="Y1004" s="2">
        <v>1</v>
      </c>
      <c r="Z1004" s="27">
        <v>1979.0450000000001</v>
      </c>
      <c r="AA1004" s="31">
        <v>1980.03</v>
      </c>
    </row>
    <row r="1005" spans="1:27" x14ac:dyDescent="0.2">
      <c r="A1005" s="3" t="s">
        <v>2784</v>
      </c>
      <c r="B1005" s="2" t="s">
        <v>2785</v>
      </c>
      <c r="C1005" s="8">
        <v>29283</v>
      </c>
      <c r="D1005" s="2">
        <v>1980</v>
      </c>
      <c r="E1005" s="2">
        <v>1980</v>
      </c>
      <c r="F1005" s="2">
        <v>0</v>
      </c>
      <c r="G1005" s="2">
        <v>0</v>
      </c>
      <c r="H1005" s="3" t="s">
        <v>27</v>
      </c>
      <c r="I1005" s="3" t="s">
        <v>4886</v>
      </c>
      <c r="J1005" s="3" t="s">
        <v>2786</v>
      </c>
      <c r="K1005" s="21" t="s">
        <v>2787</v>
      </c>
      <c r="L1005" s="10">
        <v>27740</v>
      </c>
      <c r="M1005" s="4">
        <f>3+48</f>
        <v>51</v>
      </c>
      <c r="N1005" s="2">
        <v>94</v>
      </c>
      <c r="O1005" s="2">
        <v>5</v>
      </c>
      <c r="Q1005" s="2">
        <v>0</v>
      </c>
      <c r="R1005" s="2">
        <v>0</v>
      </c>
      <c r="S1005" s="11">
        <v>1</v>
      </c>
      <c r="T1005" s="11">
        <v>1</v>
      </c>
      <c r="U1005" s="11">
        <v>0</v>
      </c>
      <c r="V1005" s="2">
        <v>0</v>
      </c>
      <c r="W1005" s="2">
        <v>0</v>
      </c>
      <c r="X1005" s="2">
        <v>0</v>
      </c>
      <c r="Y1005" s="2">
        <v>1</v>
      </c>
      <c r="Z1005" s="27">
        <v>1979.047</v>
      </c>
      <c r="AA1005" s="31">
        <v>1980.04</v>
      </c>
    </row>
    <row r="1006" spans="1:27" x14ac:dyDescent="0.2">
      <c r="A1006" s="3" t="s">
        <v>2788</v>
      </c>
      <c r="B1006" s="2" t="s">
        <v>2789</v>
      </c>
      <c r="C1006" s="8">
        <v>29333</v>
      </c>
      <c r="D1006" s="2">
        <v>1980</v>
      </c>
      <c r="E1006" s="2">
        <v>1980</v>
      </c>
      <c r="F1006" s="2">
        <v>0</v>
      </c>
      <c r="G1006" s="2">
        <v>0</v>
      </c>
      <c r="H1006" s="3" t="s">
        <v>27</v>
      </c>
      <c r="I1006" s="3" t="s">
        <v>4885</v>
      </c>
      <c r="J1006" s="3" t="s">
        <v>2443</v>
      </c>
      <c r="K1006" s="21" t="s">
        <v>2440</v>
      </c>
      <c r="L1006" s="10">
        <v>23960</v>
      </c>
      <c r="M1006" s="4">
        <f>10+(12*14)</f>
        <v>178</v>
      </c>
      <c r="N1006" s="2">
        <v>89</v>
      </c>
      <c r="O1006" s="2">
        <v>5</v>
      </c>
      <c r="Q1006" s="2">
        <v>1</v>
      </c>
      <c r="R1006" s="2">
        <v>1</v>
      </c>
      <c r="S1006" s="11">
        <v>1</v>
      </c>
      <c r="T1006" s="11">
        <v>0</v>
      </c>
      <c r="U1006" s="11">
        <v>0</v>
      </c>
      <c r="V1006" s="2">
        <v>0</v>
      </c>
      <c r="W1006" s="2">
        <v>1</v>
      </c>
      <c r="X1006" s="2">
        <v>3</v>
      </c>
      <c r="Y1006" s="2">
        <v>1</v>
      </c>
      <c r="Z1006" s="27">
        <v>1979.075</v>
      </c>
      <c r="AA1006" s="31">
        <v>1980.05</v>
      </c>
    </row>
    <row r="1007" spans="1:27" x14ac:dyDescent="0.2">
      <c r="A1007" s="3" t="s">
        <v>2806</v>
      </c>
      <c r="B1007" s="2" t="s">
        <v>2807</v>
      </c>
      <c r="C1007" s="8">
        <v>29339</v>
      </c>
      <c r="D1007" s="2">
        <v>1980</v>
      </c>
      <c r="E1007" s="2">
        <v>1980</v>
      </c>
      <c r="F1007" s="2">
        <v>0</v>
      </c>
      <c r="G1007" s="2">
        <v>0</v>
      </c>
      <c r="H1007" s="3" t="s">
        <v>27</v>
      </c>
      <c r="I1007" s="3" t="s">
        <v>4856</v>
      </c>
      <c r="J1007" s="3" t="s">
        <v>2808</v>
      </c>
      <c r="K1007" s="3" t="s">
        <v>1885</v>
      </c>
      <c r="L1007" s="10">
        <v>14056</v>
      </c>
      <c r="M1007" s="4">
        <f>10+(12*41)</f>
        <v>502</v>
      </c>
      <c r="N1007" s="2">
        <v>75</v>
      </c>
      <c r="O1007" s="2">
        <v>1</v>
      </c>
      <c r="Q1007" s="2">
        <v>1</v>
      </c>
      <c r="R1007" s="2">
        <v>0</v>
      </c>
      <c r="S1007" s="11">
        <v>1</v>
      </c>
      <c r="T1007" s="11">
        <v>0</v>
      </c>
      <c r="U1007" s="11">
        <v>1</v>
      </c>
      <c r="V1007" s="2">
        <v>0</v>
      </c>
      <c r="W1007" s="2">
        <v>1</v>
      </c>
      <c r="X1007" s="2">
        <v>0</v>
      </c>
      <c r="Y1007" s="2">
        <v>1</v>
      </c>
      <c r="Z1007" s="27">
        <v>1979.078</v>
      </c>
      <c r="AA1007" s="31">
        <v>1980.06</v>
      </c>
    </row>
    <row r="1008" spans="1:27" x14ac:dyDescent="0.2">
      <c r="A1008" s="3" t="s">
        <v>2798</v>
      </c>
      <c r="B1008" s="2" t="s">
        <v>2799</v>
      </c>
      <c r="C1008" s="8">
        <v>29368</v>
      </c>
      <c r="D1008" s="2">
        <v>1980</v>
      </c>
      <c r="E1008" s="2">
        <v>1980</v>
      </c>
      <c r="F1008" s="2">
        <v>0</v>
      </c>
      <c r="G1008" s="2">
        <v>0</v>
      </c>
      <c r="H1008" s="3" t="s">
        <v>27</v>
      </c>
      <c r="I1008" s="3" t="s">
        <v>4884</v>
      </c>
      <c r="J1008" s="3" t="s">
        <v>2800</v>
      </c>
      <c r="K1008" s="21" t="s">
        <v>1685</v>
      </c>
      <c r="L1008" s="10">
        <v>13010</v>
      </c>
      <c r="M1008" s="4">
        <f>9+(12*44)</f>
        <v>537</v>
      </c>
      <c r="N1008" s="2">
        <v>74</v>
      </c>
      <c r="O1008" s="2">
        <v>4</v>
      </c>
      <c r="P1008" s="2">
        <v>3</v>
      </c>
      <c r="Q1008" s="2">
        <v>1</v>
      </c>
      <c r="R1008" s="2">
        <v>0</v>
      </c>
      <c r="S1008" s="11">
        <v>0</v>
      </c>
      <c r="T1008" s="11">
        <v>0</v>
      </c>
      <c r="U1008" s="11">
        <v>1</v>
      </c>
      <c r="V1008" s="2">
        <v>0</v>
      </c>
      <c r="W1008" s="2">
        <v>1</v>
      </c>
      <c r="X1008" s="2">
        <v>1</v>
      </c>
      <c r="Y1008" s="2">
        <v>1</v>
      </c>
      <c r="Z1008" s="27">
        <v>1979.097</v>
      </c>
      <c r="AA1008" s="31">
        <v>1980.07</v>
      </c>
    </row>
    <row r="1009" spans="1:27" x14ac:dyDescent="0.2">
      <c r="A1009" s="3" t="s">
        <v>2809</v>
      </c>
      <c r="B1009" s="2" t="s">
        <v>2810</v>
      </c>
      <c r="C1009" s="8">
        <v>29392</v>
      </c>
      <c r="D1009" s="2">
        <v>1980</v>
      </c>
      <c r="E1009" s="2">
        <v>1980</v>
      </c>
      <c r="F1009" s="2">
        <v>0</v>
      </c>
      <c r="G1009" s="2">
        <v>0</v>
      </c>
      <c r="H1009" s="3" t="s">
        <v>27</v>
      </c>
      <c r="I1009" s="3" t="s">
        <v>2811</v>
      </c>
      <c r="J1009" s="3" t="s">
        <v>2811</v>
      </c>
      <c r="K1009" s="21" t="s">
        <v>2812</v>
      </c>
      <c r="L1009" s="10">
        <v>21807</v>
      </c>
      <c r="M1009" s="4">
        <f>9+(12*20)</f>
        <v>249</v>
      </c>
      <c r="N1009" s="2">
        <v>86</v>
      </c>
      <c r="O1009" s="2">
        <v>2</v>
      </c>
      <c r="Q1009" s="2">
        <v>1</v>
      </c>
      <c r="R1009" s="2">
        <v>0</v>
      </c>
      <c r="S1009" s="11">
        <v>1</v>
      </c>
      <c r="T1009" s="11">
        <v>1</v>
      </c>
      <c r="U1009" s="11">
        <v>1</v>
      </c>
      <c r="V1009" s="2">
        <v>0</v>
      </c>
      <c r="W1009" s="2">
        <v>1</v>
      </c>
      <c r="X1009" s="2">
        <v>3</v>
      </c>
      <c r="Y1009" s="2">
        <v>1</v>
      </c>
      <c r="Z1009" s="27">
        <v>1979.1279999999999</v>
      </c>
      <c r="AA1009" s="31">
        <v>1980.08</v>
      </c>
    </row>
    <row r="1010" spans="1:27" x14ac:dyDescent="0.2">
      <c r="A1010" s="3" t="s">
        <v>2821</v>
      </c>
      <c r="B1010" s="2" t="s">
        <v>2822</v>
      </c>
      <c r="C1010" s="8">
        <v>29395</v>
      </c>
      <c r="D1010" s="2">
        <v>1980</v>
      </c>
      <c r="E1010" s="2">
        <v>1980</v>
      </c>
      <c r="F1010" s="2">
        <v>0</v>
      </c>
      <c r="G1010" s="2">
        <v>0</v>
      </c>
      <c r="H1010" s="3" t="s">
        <v>27</v>
      </c>
      <c r="I1010" s="3" t="s">
        <v>2823</v>
      </c>
      <c r="J1010" s="3" t="s">
        <v>2823</v>
      </c>
      <c r="K1010" s="21" t="s">
        <v>2824</v>
      </c>
      <c r="L1010" s="10">
        <v>27953</v>
      </c>
      <c r="M1010" s="4">
        <f>11+36</f>
        <v>47</v>
      </c>
      <c r="N1010" s="2">
        <v>94</v>
      </c>
      <c r="O1010" s="2">
        <v>6</v>
      </c>
      <c r="P1010" s="2">
        <v>1</v>
      </c>
      <c r="Q1010" s="2">
        <v>0</v>
      </c>
      <c r="R1010" s="2">
        <v>0</v>
      </c>
      <c r="S1010" s="11">
        <v>1</v>
      </c>
      <c r="T1010" s="11">
        <v>1</v>
      </c>
      <c r="U1010" s="11">
        <v>1</v>
      </c>
      <c r="V1010" s="2">
        <v>0</v>
      </c>
      <c r="W1010" s="2">
        <v>1</v>
      </c>
      <c r="X1010" s="2">
        <v>4</v>
      </c>
      <c r="Y1010" s="2">
        <v>1</v>
      </c>
      <c r="Z1010" s="27">
        <v>1979.1310000000001</v>
      </c>
      <c r="AA1010" s="31">
        <v>1980.09</v>
      </c>
    </row>
    <row r="1011" spans="1:27" x14ac:dyDescent="0.2">
      <c r="A1011" s="3" t="s">
        <v>2813</v>
      </c>
      <c r="B1011" s="2" t="s">
        <v>2814</v>
      </c>
      <c r="C1011" s="8">
        <v>29395</v>
      </c>
      <c r="D1011" s="2">
        <v>1980</v>
      </c>
      <c r="E1011" s="2">
        <v>1980</v>
      </c>
      <c r="F1011" s="2">
        <v>0</v>
      </c>
      <c r="G1011" s="2">
        <v>0</v>
      </c>
      <c r="H1011" s="3" t="s">
        <v>27</v>
      </c>
      <c r="I1011" s="3" t="s">
        <v>4884</v>
      </c>
      <c r="J1011" s="3" t="s">
        <v>1684</v>
      </c>
      <c r="K1011" s="21" t="s">
        <v>1685</v>
      </c>
      <c r="L1011" s="10">
        <v>13010</v>
      </c>
      <c r="M1011" s="4">
        <f>10+(12*44)</f>
        <v>538</v>
      </c>
      <c r="N1011" s="2">
        <v>74</v>
      </c>
      <c r="O1011" s="2">
        <v>1</v>
      </c>
      <c r="Q1011" s="2">
        <v>1</v>
      </c>
      <c r="R1011" s="2">
        <v>0</v>
      </c>
      <c r="S1011" s="11">
        <v>1</v>
      </c>
      <c r="T1011" s="11">
        <v>1</v>
      </c>
      <c r="U1011" s="11">
        <v>1</v>
      </c>
      <c r="V1011" s="2">
        <v>0</v>
      </c>
      <c r="W1011" s="2">
        <v>0</v>
      </c>
      <c r="X1011" s="2">
        <v>1</v>
      </c>
      <c r="Y1011" s="2">
        <v>1</v>
      </c>
      <c r="Z1011" s="27">
        <v>1979.135</v>
      </c>
      <c r="AA1011" s="31">
        <v>1980.1</v>
      </c>
    </row>
    <row r="1012" spans="1:27" x14ac:dyDescent="0.2">
      <c r="A1012" s="3" t="s">
        <v>2802</v>
      </c>
      <c r="B1012" s="2" t="s">
        <v>2803</v>
      </c>
      <c r="C1012" s="8">
        <v>29397</v>
      </c>
      <c r="D1012" s="2">
        <v>1980</v>
      </c>
      <c r="E1012" s="2">
        <v>1980</v>
      </c>
      <c r="F1012" s="2">
        <v>0</v>
      </c>
      <c r="G1012" s="2">
        <v>0</v>
      </c>
      <c r="H1012" s="3" t="s">
        <v>27</v>
      </c>
      <c r="I1012" s="3" t="s">
        <v>4834</v>
      </c>
      <c r="J1012" s="3" t="s">
        <v>2804</v>
      </c>
      <c r="K1012" s="21" t="s">
        <v>2805</v>
      </c>
      <c r="L1012" s="10">
        <v>28052</v>
      </c>
      <c r="M1012" s="4">
        <f>8+(12*3)</f>
        <v>44</v>
      </c>
      <c r="N1012" s="2">
        <v>94</v>
      </c>
      <c r="O1012" s="2">
        <v>5</v>
      </c>
      <c r="Q1012" s="2">
        <v>0</v>
      </c>
      <c r="R1012" s="2">
        <v>0</v>
      </c>
      <c r="S1012" s="11">
        <v>0</v>
      </c>
      <c r="T1012" s="11">
        <v>1</v>
      </c>
      <c r="U1012" s="11">
        <v>0</v>
      </c>
      <c r="V1012" s="2">
        <v>0</v>
      </c>
      <c r="W1012" s="2">
        <v>0</v>
      </c>
      <c r="X1012" s="2">
        <v>0</v>
      </c>
      <c r="Y1012" s="2">
        <v>1</v>
      </c>
      <c r="Z1012" s="27">
        <v>1979.1420000000001</v>
      </c>
      <c r="AA1012" s="31">
        <v>1980.11</v>
      </c>
    </row>
    <row r="1013" spans="1:27" x14ac:dyDescent="0.2">
      <c r="A1013" s="3" t="s">
        <v>2829</v>
      </c>
      <c r="B1013" s="2" t="s">
        <v>2830</v>
      </c>
      <c r="C1013" s="8">
        <v>29399</v>
      </c>
      <c r="D1013" s="2">
        <v>1980</v>
      </c>
      <c r="E1013" s="2">
        <v>1980</v>
      </c>
      <c r="F1013" s="2">
        <v>0</v>
      </c>
      <c r="G1013" s="2">
        <v>0</v>
      </c>
      <c r="H1013" s="3" t="s">
        <v>27</v>
      </c>
      <c r="I1013" s="3" t="s">
        <v>4883</v>
      </c>
      <c r="J1013" s="3" t="s">
        <v>2831</v>
      </c>
      <c r="K1013" s="21" t="s">
        <v>2832</v>
      </c>
      <c r="L1013" s="10">
        <v>17714</v>
      </c>
      <c r="M1013" s="4">
        <f>12*32</f>
        <v>384</v>
      </c>
      <c r="N1013" s="2">
        <v>80</v>
      </c>
      <c r="O1013" s="2">
        <v>1</v>
      </c>
      <c r="Q1013" s="2">
        <v>0</v>
      </c>
      <c r="R1013" s="2">
        <v>0</v>
      </c>
      <c r="S1013" s="11">
        <v>1</v>
      </c>
      <c r="T1013" s="11">
        <v>1</v>
      </c>
      <c r="U1013" s="11">
        <v>1</v>
      </c>
      <c r="V1013" s="2">
        <v>0</v>
      </c>
      <c r="W1013" s="2">
        <v>1</v>
      </c>
      <c r="X1013" s="2">
        <v>1</v>
      </c>
      <c r="Y1013" s="2">
        <v>0</v>
      </c>
      <c r="Z1013" s="27">
        <v>1979.146</v>
      </c>
      <c r="AA1013" s="31">
        <v>1980.12</v>
      </c>
    </row>
    <row r="1014" spans="1:27" x14ac:dyDescent="0.2">
      <c r="A1014" s="3" t="s">
        <v>2794</v>
      </c>
      <c r="B1014" s="2" t="s">
        <v>2795</v>
      </c>
      <c r="C1014" s="8">
        <v>29402</v>
      </c>
      <c r="D1014" s="2">
        <v>1980</v>
      </c>
      <c r="E1014" s="2">
        <v>1980</v>
      </c>
      <c r="F1014" s="2">
        <v>0</v>
      </c>
      <c r="G1014" s="2">
        <v>0</v>
      </c>
      <c r="H1014" s="3" t="s">
        <v>27</v>
      </c>
      <c r="I1014" s="3" t="s">
        <v>4882</v>
      </c>
      <c r="J1014" s="3" t="s">
        <v>2796</v>
      </c>
      <c r="K1014" s="21" t="s">
        <v>2797</v>
      </c>
      <c r="L1014" s="10">
        <v>28033</v>
      </c>
      <c r="M1014" s="4">
        <f>9+36</f>
        <v>45</v>
      </c>
      <c r="N1014" s="2">
        <v>94</v>
      </c>
      <c r="O1014" s="2">
        <v>2</v>
      </c>
      <c r="P1014" s="2">
        <v>3</v>
      </c>
      <c r="Q1014" s="2">
        <v>0</v>
      </c>
      <c r="R1014" s="2">
        <v>0</v>
      </c>
      <c r="S1014" s="11">
        <v>1</v>
      </c>
      <c r="T1014" s="11">
        <v>1</v>
      </c>
      <c r="U1014" s="11">
        <v>0</v>
      </c>
      <c r="V1014" s="2">
        <v>0</v>
      </c>
      <c r="W1014" s="2">
        <v>1</v>
      </c>
      <c r="X1014" s="2">
        <v>4</v>
      </c>
      <c r="Y1014" s="2">
        <v>1</v>
      </c>
      <c r="Z1014" s="27">
        <v>1979.1479999999999</v>
      </c>
      <c r="AA1014" s="31">
        <v>1980.13</v>
      </c>
    </row>
    <row r="1015" spans="1:27" x14ac:dyDescent="0.2">
      <c r="A1015" s="3" t="s">
        <v>2825</v>
      </c>
      <c r="B1015" s="2" t="s">
        <v>2826</v>
      </c>
      <c r="C1015" s="8">
        <v>29402</v>
      </c>
      <c r="D1015" s="2">
        <v>1980</v>
      </c>
      <c r="E1015" s="2">
        <v>1980</v>
      </c>
      <c r="F1015" s="2">
        <v>0</v>
      </c>
      <c r="G1015" s="2">
        <v>0</v>
      </c>
      <c r="H1015" s="3" t="s">
        <v>27</v>
      </c>
      <c r="I1015" s="3" t="s">
        <v>4881</v>
      </c>
      <c r="J1015" s="3" t="s">
        <v>2827</v>
      </c>
      <c r="K1015" s="21" t="s">
        <v>2828</v>
      </c>
      <c r="L1015" s="10">
        <v>28562</v>
      </c>
      <c r="M1015" s="4">
        <f>3+24</f>
        <v>27</v>
      </c>
      <c r="N1015" s="2">
        <v>95</v>
      </c>
      <c r="O1015" s="2">
        <v>6</v>
      </c>
      <c r="Q1015" s="2">
        <v>0</v>
      </c>
      <c r="R1015" s="2">
        <v>0</v>
      </c>
      <c r="S1015" s="11">
        <v>1</v>
      </c>
      <c r="T1015" s="11">
        <v>0</v>
      </c>
      <c r="U1015" s="11">
        <v>1</v>
      </c>
      <c r="V1015" s="2">
        <v>0</v>
      </c>
      <c r="W1015" s="2">
        <v>1</v>
      </c>
      <c r="X1015" s="2">
        <v>1</v>
      </c>
      <c r="Y1015" s="2">
        <v>1</v>
      </c>
      <c r="Z1015" s="27">
        <v>1979.15</v>
      </c>
      <c r="AA1015" s="31">
        <v>1980.14</v>
      </c>
    </row>
    <row r="1016" spans="1:27" x14ac:dyDescent="0.2">
      <c r="A1016" s="3" t="s">
        <v>2790</v>
      </c>
      <c r="B1016" s="2" t="s">
        <v>2791</v>
      </c>
      <c r="C1016" s="8">
        <v>29404</v>
      </c>
      <c r="D1016" s="2">
        <v>1980</v>
      </c>
      <c r="E1016" s="2">
        <v>1980</v>
      </c>
      <c r="F1016" s="2">
        <v>0</v>
      </c>
      <c r="G1016" s="2">
        <v>0</v>
      </c>
      <c r="H1016" s="3" t="s">
        <v>27</v>
      </c>
      <c r="I1016" s="3" t="s">
        <v>4880</v>
      </c>
      <c r="J1016" s="3" t="s">
        <v>2792</v>
      </c>
      <c r="K1016" s="21" t="s">
        <v>2793</v>
      </c>
      <c r="L1016" s="10">
        <v>28258</v>
      </c>
      <c r="M1016" s="4">
        <f>2+36</f>
        <v>38</v>
      </c>
      <c r="N1016" s="2">
        <v>95</v>
      </c>
      <c r="O1016" s="2">
        <v>3</v>
      </c>
      <c r="Q1016" s="2">
        <v>0</v>
      </c>
      <c r="R1016" s="2">
        <v>0</v>
      </c>
      <c r="S1016" s="11">
        <v>1</v>
      </c>
      <c r="T1016" s="11">
        <v>1</v>
      </c>
      <c r="U1016" s="11">
        <v>0</v>
      </c>
      <c r="V1016" s="2">
        <v>0</v>
      </c>
      <c r="W1016" s="2">
        <v>1</v>
      </c>
      <c r="X1016" s="2">
        <v>3</v>
      </c>
      <c r="Y1016" s="2">
        <v>1</v>
      </c>
      <c r="Z1016" s="27">
        <v>1979.153</v>
      </c>
      <c r="AA1016" s="31">
        <v>1980.15</v>
      </c>
    </row>
    <row r="1017" spans="1:27" x14ac:dyDescent="0.2">
      <c r="A1017" s="3" t="s">
        <v>4180</v>
      </c>
      <c r="B1017" s="2" t="s">
        <v>4181</v>
      </c>
      <c r="C1017" s="8">
        <v>29404</v>
      </c>
      <c r="D1017" s="2">
        <v>1980</v>
      </c>
      <c r="E1017" s="2">
        <v>1980</v>
      </c>
      <c r="F1017" s="2">
        <v>1</v>
      </c>
      <c r="G1017" s="2">
        <v>1</v>
      </c>
      <c r="H1017" s="3" t="s">
        <v>3442</v>
      </c>
      <c r="I1017" s="3" t="s">
        <v>4879</v>
      </c>
      <c r="J1017" s="3" t="s">
        <v>2699</v>
      </c>
      <c r="K1017" s="21" t="s">
        <v>2700</v>
      </c>
      <c r="L1017" s="10">
        <v>25931</v>
      </c>
      <c r="M1017" s="4">
        <f>7+(9*12)</f>
        <v>115</v>
      </c>
      <c r="N1017" s="2">
        <v>91</v>
      </c>
      <c r="O1017" s="2">
        <v>6</v>
      </c>
      <c r="Q1017" s="2">
        <v>1</v>
      </c>
      <c r="R1017" s="2">
        <v>1</v>
      </c>
      <c r="S1017" s="11">
        <v>1</v>
      </c>
      <c r="T1017" s="11">
        <v>1</v>
      </c>
      <c r="U1017" s="11">
        <v>0</v>
      </c>
      <c r="V1017" s="2">
        <v>0</v>
      </c>
      <c r="W1017" s="2">
        <v>0</v>
      </c>
      <c r="X1017" s="2">
        <v>4</v>
      </c>
      <c r="Y1017" s="2">
        <v>1</v>
      </c>
      <c r="Z1017" s="27">
        <v>1979.155</v>
      </c>
      <c r="AA1017" s="31">
        <v>1980.16</v>
      </c>
    </row>
    <row r="1018" spans="1:27" x14ac:dyDescent="0.2">
      <c r="A1018" s="3" t="s">
        <v>2819</v>
      </c>
      <c r="B1018" s="2" t="s">
        <v>2820</v>
      </c>
      <c r="C1018" s="8">
        <v>29564</v>
      </c>
      <c r="D1018" s="2">
        <v>1980</v>
      </c>
      <c r="E1018" s="2">
        <v>1980</v>
      </c>
      <c r="F1018" s="2">
        <v>0</v>
      </c>
      <c r="G1018" s="2">
        <v>0</v>
      </c>
      <c r="H1018" s="3" t="s">
        <v>27</v>
      </c>
      <c r="I1018" s="3" t="s">
        <v>4742</v>
      </c>
      <c r="J1018" s="3" t="s">
        <v>2540</v>
      </c>
      <c r="K1018" s="21" t="s">
        <v>2541</v>
      </c>
      <c r="L1018" s="10">
        <v>25856</v>
      </c>
      <c r="M1018" s="4">
        <f>2+120</f>
        <v>122</v>
      </c>
      <c r="N1018" s="2">
        <v>91</v>
      </c>
      <c r="O1018" s="2">
        <v>1</v>
      </c>
      <c r="Q1018" s="2">
        <v>1</v>
      </c>
      <c r="R1018" s="2">
        <v>0</v>
      </c>
      <c r="S1018" s="11">
        <v>1</v>
      </c>
      <c r="T1018" s="11">
        <v>0</v>
      </c>
      <c r="U1018" s="11">
        <v>1</v>
      </c>
      <c r="V1018" s="2">
        <v>0</v>
      </c>
      <c r="W1018" s="2">
        <v>1</v>
      </c>
      <c r="X1018" s="2">
        <v>4</v>
      </c>
      <c r="Y1018" s="2">
        <v>1</v>
      </c>
      <c r="Z1018" s="27">
        <v>1980.011</v>
      </c>
      <c r="AA1018" s="31">
        <v>1980.17</v>
      </c>
    </row>
    <row r="1019" spans="1:27" x14ac:dyDescent="0.2">
      <c r="A1019" s="3" t="s">
        <v>2815</v>
      </c>
      <c r="B1019" s="2" t="s">
        <v>2816</v>
      </c>
      <c r="C1019" s="8">
        <v>29564</v>
      </c>
      <c r="D1019" s="2">
        <v>1980</v>
      </c>
      <c r="E1019" s="2">
        <v>1980</v>
      </c>
      <c r="F1019" s="2">
        <v>0</v>
      </c>
      <c r="G1019" s="2">
        <v>0</v>
      </c>
      <c r="H1019" s="3" t="s">
        <v>27</v>
      </c>
      <c r="I1019" s="3" t="s">
        <v>4878</v>
      </c>
      <c r="J1019" s="3" t="s">
        <v>2817</v>
      </c>
      <c r="K1019" s="21" t="s">
        <v>2818</v>
      </c>
      <c r="L1019" s="10">
        <v>27318</v>
      </c>
      <c r="M1019" s="4">
        <f>2+(6*12)</f>
        <v>74</v>
      </c>
      <c r="N1019" s="2">
        <v>93</v>
      </c>
      <c r="O1019" s="2">
        <v>4</v>
      </c>
      <c r="Q1019" s="2">
        <v>0</v>
      </c>
      <c r="R1019" s="2">
        <v>0</v>
      </c>
      <c r="S1019" s="11">
        <v>1</v>
      </c>
      <c r="T1019" s="11">
        <v>1</v>
      </c>
      <c r="U1019" s="11">
        <v>1</v>
      </c>
      <c r="V1019" s="2">
        <v>0</v>
      </c>
      <c r="W1019" s="2">
        <v>1</v>
      </c>
      <c r="X1019" s="2">
        <v>2</v>
      </c>
      <c r="Y1019" s="2">
        <v>1</v>
      </c>
      <c r="Z1019" s="27">
        <v>1980.0129999999999</v>
      </c>
      <c r="AA1019" s="31">
        <v>1980.18</v>
      </c>
    </row>
    <row r="1020" spans="1:27" x14ac:dyDescent="0.2">
      <c r="A1020" s="3" t="s">
        <v>4186</v>
      </c>
      <c r="B1020" s="2" t="s">
        <v>4187</v>
      </c>
      <c r="C1020" s="8">
        <v>29570</v>
      </c>
      <c r="D1020" s="2">
        <v>1980</v>
      </c>
      <c r="E1020" s="2">
        <v>1980</v>
      </c>
      <c r="F1020" s="2">
        <v>2</v>
      </c>
      <c r="G1020" s="2">
        <v>1</v>
      </c>
      <c r="H1020" s="3" t="s">
        <v>3434</v>
      </c>
      <c r="I1020" s="3" t="s">
        <v>4877</v>
      </c>
      <c r="J1020" s="3" t="s">
        <v>4188</v>
      </c>
      <c r="K1020" s="21" t="s">
        <v>4189</v>
      </c>
      <c r="L1020" s="10">
        <v>29140</v>
      </c>
      <c r="M1020" s="4">
        <f>2+12</f>
        <v>14</v>
      </c>
      <c r="N1020" s="2">
        <v>96</v>
      </c>
      <c r="O1020" s="2">
        <v>6</v>
      </c>
      <c r="Q1020" s="2">
        <v>0</v>
      </c>
      <c r="R1020" s="2">
        <v>0</v>
      </c>
      <c r="S1020" s="11">
        <v>1</v>
      </c>
      <c r="T1020" s="11">
        <v>0</v>
      </c>
      <c r="U1020" s="11">
        <v>1</v>
      </c>
      <c r="V1020" s="2">
        <v>1</v>
      </c>
      <c r="W1020" s="2">
        <v>1</v>
      </c>
      <c r="X1020" s="2">
        <v>0</v>
      </c>
      <c r="Y1020" s="2">
        <v>1</v>
      </c>
      <c r="Z1020" s="27">
        <v>1980.0150000000001</v>
      </c>
      <c r="AA1020" s="31">
        <v>1980.19</v>
      </c>
    </row>
    <row r="1021" spans="1:27" x14ac:dyDescent="0.2">
      <c r="A1021" s="3" t="s">
        <v>2870</v>
      </c>
      <c r="B1021" s="2" t="s">
        <v>2871</v>
      </c>
      <c r="C1021" s="8">
        <v>29598</v>
      </c>
      <c r="D1021" s="2">
        <v>1981</v>
      </c>
      <c r="E1021" s="2">
        <v>1980</v>
      </c>
      <c r="F1021" s="2">
        <v>0</v>
      </c>
      <c r="G1021" s="2">
        <v>0</v>
      </c>
      <c r="H1021" s="3" t="s">
        <v>27</v>
      </c>
      <c r="I1021" s="3" t="s">
        <v>4851</v>
      </c>
      <c r="J1021" s="3" t="s">
        <v>2872</v>
      </c>
      <c r="K1021" s="21" t="s">
        <v>2769</v>
      </c>
      <c r="L1021" s="10">
        <v>28037</v>
      </c>
      <c r="M1021" s="4">
        <f>3+(12*4)</f>
        <v>51</v>
      </c>
      <c r="N1021" s="2">
        <v>94</v>
      </c>
      <c r="O1021" s="2">
        <v>1</v>
      </c>
      <c r="Q1021" s="2">
        <v>1</v>
      </c>
      <c r="R1021" s="2">
        <v>1</v>
      </c>
      <c r="S1021" s="11">
        <v>0</v>
      </c>
      <c r="T1021" s="11">
        <v>0</v>
      </c>
      <c r="U1021" s="11">
        <v>1</v>
      </c>
      <c r="V1021" s="2">
        <v>0</v>
      </c>
      <c r="W1021" s="2">
        <v>1</v>
      </c>
      <c r="X1021" s="2">
        <v>0</v>
      </c>
      <c r="Y1021" s="2">
        <v>1</v>
      </c>
      <c r="Z1021" s="27">
        <v>1980.019</v>
      </c>
      <c r="AA1021" s="31">
        <v>1981.01</v>
      </c>
    </row>
    <row r="1022" spans="1:27" x14ac:dyDescent="0.2">
      <c r="A1022" s="3" t="s">
        <v>2866</v>
      </c>
      <c r="B1022" s="2" t="s">
        <v>2867</v>
      </c>
      <c r="C1022" s="8">
        <v>29649</v>
      </c>
      <c r="D1022" s="2">
        <v>1981</v>
      </c>
      <c r="E1022" s="2">
        <v>1980</v>
      </c>
      <c r="F1022" s="2">
        <v>0</v>
      </c>
      <c r="G1022" s="2">
        <v>0</v>
      </c>
      <c r="H1022" s="3" t="s">
        <v>27</v>
      </c>
      <c r="I1022" s="3" t="s">
        <v>4876</v>
      </c>
      <c r="J1022" s="3" t="s">
        <v>2744</v>
      </c>
      <c r="K1022" s="21" t="s">
        <v>2741</v>
      </c>
      <c r="L1022" s="10">
        <v>26602</v>
      </c>
      <c r="M1022" s="4">
        <f>5+(12*8)</f>
        <v>101</v>
      </c>
      <c r="N1022" s="2">
        <v>92</v>
      </c>
      <c r="O1022" s="2">
        <v>3</v>
      </c>
      <c r="Q1022" s="2">
        <v>0</v>
      </c>
      <c r="R1022" s="2">
        <v>0</v>
      </c>
      <c r="S1022" s="11">
        <v>1</v>
      </c>
      <c r="T1022" s="11">
        <v>0</v>
      </c>
      <c r="U1022" s="11">
        <v>1</v>
      </c>
      <c r="V1022" s="2">
        <v>0</v>
      </c>
      <c r="W1022" s="2">
        <v>1</v>
      </c>
      <c r="X1022" s="2">
        <v>4</v>
      </c>
      <c r="Y1022" s="2">
        <v>1</v>
      </c>
      <c r="Z1022" s="27">
        <v>1980.048</v>
      </c>
      <c r="AA1022" s="31">
        <v>1981.02</v>
      </c>
    </row>
    <row r="1023" spans="1:27" x14ac:dyDescent="0.2">
      <c r="A1023" s="3" t="s">
        <v>2836</v>
      </c>
      <c r="B1023" s="2" t="s">
        <v>2837</v>
      </c>
      <c r="C1023" s="8">
        <v>29654</v>
      </c>
      <c r="D1023" s="2">
        <v>1981</v>
      </c>
      <c r="E1023" s="2">
        <v>1980</v>
      </c>
      <c r="F1023" s="2">
        <v>0</v>
      </c>
      <c r="G1023" s="2">
        <v>0</v>
      </c>
      <c r="H1023" s="3" t="s">
        <v>27</v>
      </c>
      <c r="I1023" s="3" t="s">
        <v>4696</v>
      </c>
      <c r="J1023" s="3" t="s">
        <v>2838</v>
      </c>
      <c r="K1023" s="21" t="s">
        <v>2839</v>
      </c>
      <c r="L1023" s="10">
        <v>25868</v>
      </c>
      <c r="M1023" s="4">
        <f>5+(12*10)</f>
        <v>125</v>
      </c>
      <c r="N1023" s="2">
        <v>91</v>
      </c>
      <c r="O1023" s="2">
        <v>1</v>
      </c>
      <c r="Q1023" s="2">
        <v>1</v>
      </c>
      <c r="R1023" s="2">
        <v>0</v>
      </c>
      <c r="S1023" s="11">
        <v>1</v>
      </c>
      <c r="T1023" s="11">
        <v>1</v>
      </c>
      <c r="U1023" s="11">
        <v>0</v>
      </c>
      <c r="V1023" s="2">
        <v>0</v>
      </c>
      <c r="W1023" s="2">
        <v>1</v>
      </c>
      <c r="X1023" s="2">
        <v>0</v>
      </c>
      <c r="Y1023" s="2">
        <v>1</v>
      </c>
      <c r="Z1023" s="27">
        <v>1980.0530000000001</v>
      </c>
      <c r="AA1023" s="31">
        <v>1981.03</v>
      </c>
    </row>
    <row r="1024" spans="1:27" x14ac:dyDescent="0.2">
      <c r="A1024" s="3" t="s">
        <v>2861</v>
      </c>
      <c r="B1024" s="2" t="s">
        <v>2862</v>
      </c>
      <c r="C1024" s="8">
        <v>29752</v>
      </c>
      <c r="D1024" s="2">
        <v>1981</v>
      </c>
      <c r="E1024" s="2">
        <v>1980</v>
      </c>
      <c r="F1024" s="2">
        <v>0</v>
      </c>
      <c r="G1024" s="2">
        <v>0</v>
      </c>
      <c r="H1024" s="3" t="s">
        <v>27</v>
      </c>
      <c r="I1024" s="3" t="s">
        <v>4875</v>
      </c>
      <c r="J1024" s="3" t="s">
        <v>2859</v>
      </c>
      <c r="K1024" s="21" t="s">
        <v>2860</v>
      </c>
      <c r="L1024" s="10">
        <v>28340</v>
      </c>
      <c r="M1024" s="4">
        <f>10+36</f>
        <v>46</v>
      </c>
      <c r="N1024" s="2">
        <v>95</v>
      </c>
      <c r="O1024" s="2">
        <v>5</v>
      </c>
      <c r="Q1024" s="2">
        <v>1</v>
      </c>
      <c r="R1024" s="2">
        <v>1</v>
      </c>
      <c r="S1024" s="11">
        <v>1</v>
      </c>
      <c r="T1024" s="11">
        <v>0</v>
      </c>
      <c r="U1024" s="11">
        <v>1</v>
      </c>
      <c r="V1024" s="2">
        <v>0</v>
      </c>
      <c r="W1024" s="2">
        <v>1</v>
      </c>
      <c r="X1024" s="2">
        <v>0</v>
      </c>
      <c r="Y1024" s="2">
        <v>1</v>
      </c>
      <c r="Z1024" s="27">
        <v>1980.1120000000001</v>
      </c>
      <c r="AA1024" s="31">
        <v>1981.04</v>
      </c>
    </row>
    <row r="1025" spans="1:28" x14ac:dyDescent="0.2">
      <c r="A1025" s="3" t="s">
        <v>2857</v>
      </c>
      <c r="B1025" s="2" t="s">
        <v>2858</v>
      </c>
      <c r="C1025" s="8">
        <v>29752</v>
      </c>
      <c r="D1025" s="2">
        <v>1981</v>
      </c>
      <c r="E1025" s="2">
        <v>1980</v>
      </c>
      <c r="F1025" s="2">
        <v>0</v>
      </c>
      <c r="G1025" s="2">
        <v>0</v>
      </c>
      <c r="H1025" s="3" t="s">
        <v>27</v>
      </c>
      <c r="I1025" s="3" t="s">
        <v>4875</v>
      </c>
      <c r="J1025" s="3" t="s">
        <v>2859</v>
      </c>
      <c r="K1025" s="21" t="s">
        <v>2860</v>
      </c>
      <c r="L1025" s="10">
        <v>28340</v>
      </c>
      <c r="M1025" s="4">
        <f>10+36</f>
        <v>46</v>
      </c>
      <c r="N1025" s="2">
        <v>95</v>
      </c>
      <c r="O1025" s="2">
        <v>5</v>
      </c>
      <c r="P1025" s="2">
        <v>4</v>
      </c>
      <c r="Q1025" s="2">
        <v>1</v>
      </c>
      <c r="R1025" s="2">
        <v>1</v>
      </c>
      <c r="S1025" s="11">
        <v>1</v>
      </c>
      <c r="T1025" s="11">
        <v>0</v>
      </c>
      <c r="U1025" s="11">
        <v>1</v>
      </c>
      <c r="V1025" s="2">
        <v>0</v>
      </c>
      <c r="W1025" s="2">
        <v>1</v>
      </c>
      <c r="X1025" s="2">
        <v>0</v>
      </c>
      <c r="Y1025" s="2">
        <v>1</v>
      </c>
      <c r="Z1025" s="27">
        <v>1980.1130000000001</v>
      </c>
      <c r="AA1025" s="31">
        <v>1981.05</v>
      </c>
    </row>
    <row r="1026" spans="1:28" x14ac:dyDescent="0.2">
      <c r="A1026" s="3" t="s">
        <v>2851</v>
      </c>
      <c r="B1026" s="2" t="s">
        <v>2852</v>
      </c>
      <c r="C1026" s="8">
        <v>29754</v>
      </c>
      <c r="D1026" s="2">
        <v>1981</v>
      </c>
      <c r="E1026" s="2">
        <v>1980</v>
      </c>
      <c r="F1026" s="2">
        <v>0</v>
      </c>
      <c r="G1026" s="2">
        <v>0</v>
      </c>
      <c r="H1026" s="3" t="s">
        <v>27</v>
      </c>
      <c r="I1026" s="3" t="s">
        <v>4817</v>
      </c>
      <c r="J1026" s="3" t="s">
        <v>2853</v>
      </c>
      <c r="K1026" s="21" t="s">
        <v>2854</v>
      </c>
      <c r="L1026" s="10">
        <v>28438</v>
      </c>
      <c r="M1026" s="4">
        <f>7+(12*3)</f>
        <v>43</v>
      </c>
      <c r="N1026" s="2">
        <v>95</v>
      </c>
      <c r="O1026" s="2">
        <v>1</v>
      </c>
      <c r="P1026" s="2">
        <v>4</v>
      </c>
      <c r="Q1026" s="2">
        <v>0</v>
      </c>
      <c r="R1026" s="2">
        <v>0</v>
      </c>
      <c r="S1026" s="11">
        <v>1</v>
      </c>
      <c r="T1026" s="11">
        <v>0</v>
      </c>
      <c r="U1026" s="11">
        <v>1</v>
      </c>
      <c r="V1026" s="2">
        <v>0</v>
      </c>
      <c r="W1026" s="2">
        <v>1</v>
      </c>
      <c r="X1026" s="2">
        <v>1</v>
      </c>
      <c r="Y1026" s="2">
        <v>1</v>
      </c>
      <c r="Z1026" s="27">
        <v>1980.126</v>
      </c>
      <c r="AA1026" s="31">
        <v>1981.06</v>
      </c>
    </row>
    <row r="1027" spans="1:28" x14ac:dyDescent="0.2">
      <c r="A1027" s="3" t="s">
        <v>2868</v>
      </c>
      <c r="B1027" s="2" t="s">
        <v>2869</v>
      </c>
      <c r="C1027" s="8">
        <v>29762</v>
      </c>
      <c r="D1027" s="2">
        <v>1981</v>
      </c>
      <c r="E1027" s="2">
        <v>1980</v>
      </c>
      <c r="F1027" s="2">
        <v>0</v>
      </c>
      <c r="G1027" s="2">
        <v>0</v>
      </c>
      <c r="H1027" s="3" t="s">
        <v>27</v>
      </c>
      <c r="I1027" s="3" t="s">
        <v>5083</v>
      </c>
      <c r="J1027" s="3" t="s">
        <v>2275</v>
      </c>
      <c r="K1027" s="3" t="s">
        <v>2276</v>
      </c>
      <c r="L1027" s="10">
        <v>17709</v>
      </c>
      <c r="M1027" s="4">
        <f>33*12</f>
        <v>396</v>
      </c>
      <c r="N1027" s="2">
        <v>80</v>
      </c>
      <c r="O1027" s="2">
        <v>2</v>
      </c>
      <c r="Q1027" s="2">
        <v>0</v>
      </c>
      <c r="R1027" s="2">
        <v>0</v>
      </c>
      <c r="S1027" s="11">
        <v>1</v>
      </c>
      <c r="T1027" s="11">
        <v>0</v>
      </c>
      <c r="U1027" s="11">
        <v>1</v>
      </c>
      <c r="V1027" s="2">
        <v>0</v>
      </c>
      <c r="W1027" s="2">
        <v>1</v>
      </c>
      <c r="X1027" s="2">
        <v>2</v>
      </c>
      <c r="Y1027" s="2">
        <v>0</v>
      </c>
      <c r="Z1027" s="27">
        <v>1980.1369999999999</v>
      </c>
      <c r="AA1027" s="31">
        <v>1981.07</v>
      </c>
    </row>
    <row r="1028" spans="1:28" x14ac:dyDescent="0.2">
      <c r="A1028" s="3" t="s">
        <v>2840</v>
      </c>
      <c r="B1028" s="2" t="s">
        <v>2841</v>
      </c>
      <c r="C1028" s="8">
        <v>29763</v>
      </c>
      <c r="D1028" s="2">
        <v>1981</v>
      </c>
      <c r="E1028" s="2">
        <v>1980</v>
      </c>
      <c r="F1028" s="2">
        <v>0</v>
      </c>
      <c r="G1028" s="2">
        <v>0</v>
      </c>
      <c r="H1028" s="3" t="s">
        <v>27</v>
      </c>
      <c r="I1028" s="3" t="s">
        <v>4738</v>
      </c>
      <c r="J1028" s="3" t="s">
        <v>2842</v>
      </c>
      <c r="K1028" s="21" t="s">
        <v>2843</v>
      </c>
      <c r="L1028" s="10">
        <v>26336</v>
      </c>
      <c r="M1028" s="4">
        <f>4+(12*9)</f>
        <v>112</v>
      </c>
      <c r="N1028" s="2">
        <v>92</v>
      </c>
      <c r="O1028" s="2">
        <v>2</v>
      </c>
      <c r="P1028" s="2">
        <v>4</v>
      </c>
      <c r="Q1028" s="2">
        <v>1</v>
      </c>
      <c r="R1028" s="2">
        <v>0</v>
      </c>
      <c r="S1028" s="11">
        <v>0</v>
      </c>
      <c r="T1028" s="11">
        <v>0</v>
      </c>
      <c r="U1028" s="11">
        <v>0</v>
      </c>
      <c r="V1028" s="2">
        <v>0</v>
      </c>
      <c r="W1028" s="2">
        <v>1</v>
      </c>
      <c r="X1028" s="2">
        <v>4</v>
      </c>
      <c r="Y1028" s="2">
        <v>1</v>
      </c>
      <c r="Z1028" s="27">
        <v>1980.1389999999999</v>
      </c>
      <c r="AA1028" s="31">
        <v>1981.08</v>
      </c>
    </row>
    <row r="1029" spans="1:28" x14ac:dyDescent="0.2">
      <c r="A1029" s="3" t="s">
        <v>2855</v>
      </c>
      <c r="B1029" s="2" t="s">
        <v>2856</v>
      </c>
      <c r="C1029" s="8">
        <v>29766</v>
      </c>
      <c r="D1029" s="2">
        <v>1981</v>
      </c>
      <c r="E1029" s="2">
        <v>1980</v>
      </c>
      <c r="F1029" s="2">
        <v>0</v>
      </c>
      <c r="G1029" s="2">
        <v>0</v>
      </c>
      <c r="H1029" s="3" t="s">
        <v>27</v>
      </c>
      <c r="I1029" s="3" t="s">
        <v>5079</v>
      </c>
      <c r="J1029" s="3" t="s">
        <v>2422</v>
      </c>
      <c r="K1029" s="21" t="s">
        <v>2423</v>
      </c>
      <c r="L1029" s="10">
        <v>9681</v>
      </c>
      <c r="M1029" s="4">
        <f>11+(12*54)</f>
        <v>659</v>
      </c>
      <c r="N1029" s="2">
        <v>69</v>
      </c>
      <c r="O1029" s="2">
        <v>2</v>
      </c>
      <c r="P1029" s="2">
        <v>1</v>
      </c>
      <c r="Q1029" s="2">
        <v>0</v>
      </c>
      <c r="R1029" s="2">
        <v>0</v>
      </c>
      <c r="S1029" s="11">
        <v>1</v>
      </c>
      <c r="T1029" s="11">
        <v>1</v>
      </c>
      <c r="U1029" s="11">
        <v>1</v>
      </c>
      <c r="V1029" s="2">
        <v>0</v>
      </c>
      <c r="W1029" s="2">
        <v>1</v>
      </c>
      <c r="X1029" s="2">
        <v>2</v>
      </c>
      <c r="Y1029" s="2">
        <v>0</v>
      </c>
      <c r="Z1029" s="27">
        <v>1980.1420000000001</v>
      </c>
      <c r="AA1029" s="31">
        <v>1981.09</v>
      </c>
    </row>
    <row r="1030" spans="1:28" x14ac:dyDescent="0.2">
      <c r="A1030" s="3" t="s">
        <v>2844</v>
      </c>
      <c r="B1030" s="2" t="s">
        <v>2845</v>
      </c>
      <c r="C1030" s="8">
        <v>29768</v>
      </c>
      <c r="D1030" s="2">
        <v>1981</v>
      </c>
      <c r="E1030" s="2">
        <v>1980</v>
      </c>
      <c r="F1030" s="2">
        <v>0</v>
      </c>
      <c r="G1030" s="2">
        <v>0</v>
      </c>
      <c r="H1030" s="3" t="s">
        <v>27</v>
      </c>
      <c r="I1030" s="3" t="s">
        <v>4738</v>
      </c>
      <c r="J1030" s="3" t="s">
        <v>2846</v>
      </c>
      <c r="K1030" s="21" t="s">
        <v>2843</v>
      </c>
      <c r="L1030" s="10">
        <v>26336</v>
      </c>
      <c r="M1030" s="4">
        <f>5+(12*8)</f>
        <v>101</v>
      </c>
      <c r="N1030" s="2">
        <v>92</v>
      </c>
      <c r="O1030" s="2">
        <v>2</v>
      </c>
      <c r="Q1030" s="2">
        <v>1</v>
      </c>
      <c r="R1030" s="2">
        <v>0</v>
      </c>
      <c r="S1030" s="11">
        <v>1</v>
      </c>
      <c r="T1030" s="11">
        <v>1</v>
      </c>
      <c r="U1030" s="11">
        <v>0</v>
      </c>
      <c r="V1030" s="2">
        <v>0</v>
      </c>
      <c r="W1030" s="2">
        <v>1</v>
      </c>
      <c r="X1030" s="2">
        <v>3</v>
      </c>
      <c r="Y1030" s="2">
        <v>1</v>
      </c>
      <c r="Z1030" s="27">
        <v>1980.145</v>
      </c>
      <c r="AA1030" s="31">
        <v>1981.1</v>
      </c>
    </row>
    <row r="1031" spans="1:28" x14ac:dyDescent="0.2">
      <c r="A1031" s="3" t="s">
        <v>2863</v>
      </c>
      <c r="B1031" s="2" t="s">
        <v>2864</v>
      </c>
      <c r="C1031" s="8">
        <v>29762</v>
      </c>
      <c r="D1031" s="2">
        <v>1981</v>
      </c>
      <c r="E1031" s="2">
        <v>1980</v>
      </c>
      <c r="F1031" s="2">
        <v>0</v>
      </c>
      <c r="G1031" s="2">
        <v>0</v>
      </c>
      <c r="H1031" s="3" t="s">
        <v>27</v>
      </c>
      <c r="I1031" s="3" t="s">
        <v>4874</v>
      </c>
      <c r="J1031" s="3" t="s">
        <v>2865</v>
      </c>
      <c r="K1031" s="21" t="s">
        <v>2331</v>
      </c>
      <c r="L1031" s="10">
        <v>17708</v>
      </c>
      <c r="M1031" s="4">
        <f>33*12</f>
        <v>396</v>
      </c>
      <c r="N1031" s="2">
        <v>80</v>
      </c>
      <c r="O1031" s="2">
        <v>3</v>
      </c>
      <c r="Q1031" s="2">
        <v>0</v>
      </c>
      <c r="R1031" s="2">
        <v>0</v>
      </c>
      <c r="S1031" s="11">
        <v>1</v>
      </c>
      <c r="T1031" s="11">
        <v>0</v>
      </c>
      <c r="U1031" s="11">
        <v>1</v>
      </c>
      <c r="V1031" s="2">
        <v>0</v>
      </c>
      <c r="W1031" s="2">
        <v>1</v>
      </c>
      <c r="X1031" s="2">
        <v>3</v>
      </c>
      <c r="Y1031" s="2">
        <v>0</v>
      </c>
      <c r="Z1031" s="27">
        <v>1980.136</v>
      </c>
      <c r="AA1031" s="31">
        <v>1981.11</v>
      </c>
    </row>
    <row r="1032" spans="1:28" x14ac:dyDescent="0.2">
      <c r="A1032" s="3" t="s">
        <v>2847</v>
      </c>
      <c r="B1032" s="2" t="s">
        <v>2848</v>
      </c>
      <c r="C1032" s="8">
        <v>29769</v>
      </c>
      <c r="D1032" s="2">
        <v>1981</v>
      </c>
      <c r="E1032" s="2">
        <v>1980</v>
      </c>
      <c r="F1032" s="2">
        <v>0</v>
      </c>
      <c r="G1032" s="2">
        <v>0</v>
      </c>
      <c r="H1032" s="3" t="s">
        <v>27</v>
      </c>
      <c r="I1032" t="s">
        <v>5086</v>
      </c>
      <c r="J1032" s="3" t="s">
        <v>2849</v>
      </c>
      <c r="K1032" s="21" t="s">
        <v>2850</v>
      </c>
      <c r="L1032" s="10">
        <v>28487</v>
      </c>
      <c r="M1032" s="4">
        <f>7+36</f>
        <v>43</v>
      </c>
      <c r="N1032" s="2">
        <v>95</v>
      </c>
      <c r="O1032" s="2">
        <v>4</v>
      </c>
      <c r="P1032" s="2">
        <v>6</v>
      </c>
      <c r="Q1032" s="2">
        <v>0</v>
      </c>
      <c r="R1032" s="2">
        <v>0</v>
      </c>
      <c r="S1032" s="11">
        <v>1</v>
      </c>
      <c r="T1032" s="11">
        <v>1</v>
      </c>
      <c r="U1032" s="11">
        <v>0</v>
      </c>
      <c r="V1032" s="2">
        <v>0</v>
      </c>
      <c r="W1032" s="2">
        <v>1</v>
      </c>
      <c r="X1032" s="2">
        <v>1</v>
      </c>
      <c r="Y1032" s="2">
        <v>1</v>
      </c>
      <c r="Z1032" s="27">
        <v>1980.152</v>
      </c>
      <c r="AA1032" s="31">
        <v>1981.12</v>
      </c>
    </row>
    <row r="1033" spans="1:28" x14ac:dyDescent="0.2">
      <c r="A1033" s="3" t="s">
        <v>2891</v>
      </c>
      <c r="B1033" s="2" t="s">
        <v>2892</v>
      </c>
      <c r="C1033" s="8">
        <v>30005</v>
      </c>
      <c r="D1033" s="2">
        <v>1982</v>
      </c>
      <c r="E1033" s="2">
        <v>1980</v>
      </c>
      <c r="F1033" s="2">
        <v>0</v>
      </c>
      <c r="G1033" s="2">
        <v>0</v>
      </c>
      <c r="H1033" s="3" t="s">
        <v>27</v>
      </c>
      <c r="I1033" s="3" t="s">
        <v>4873</v>
      </c>
      <c r="J1033" s="3" t="s">
        <v>2893</v>
      </c>
      <c r="K1033" s="21" t="s">
        <v>2894</v>
      </c>
      <c r="L1033" s="10">
        <v>14467</v>
      </c>
      <c r="M1033" s="4">
        <f>6+(12*42)</f>
        <v>510</v>
      </c>
      <c r="N1033" s="2">
        <v>76</v>
      </c>
      <c r="O1033" s="2">
        <v>2</v>
      </c>
      <c r="Q1033" s="2">
        <v>1</v>
      </c>
      <c r="R1033" s="2">
        <v>0</v>
      </c>
      <c r="S1033" s="2">
        <v>1</v>
      </c>
      <c r="T1033" s="2">
        <v>0</v>
      </c>
      <c r="U1033" s="2">
        <v>1</v>
      </c>
      <c r="V1033" s="2">
        <v>0</v>
      </c>
      <c r="W1033" s="2">
        <v>1</v>
      </c>
      <c r="X1033" s="2">
        <v>0</v>
      </c>
      <c r="Y1033" s="2">
        <v>1</v>
      </c>
      <c r="Z1033" s="27">
        <v>1981.04</v>
      </c>
      <c r="AA1033" s="31">
        <v>1982.01</v>
      </c>
      <c r="AB1033" s="3"/>
    </row>
    <row r="1034" spans="1:28" x14ac:dyDescent="0.2">
      <c r="A1034" s="3" t="s">
        <v>4192</v>
      </c>
      <c r="B1034" s="2" t="s">
        <v>4193</v>
      </c>
      <c r="C1034" s="8">
        <v>30012</v>
      </c>
      <c r="D1034" s="2">
        <v>1982</v>
      </c>
      <c r="E1034" s="2">
        <v>1980</v>
      </c>
      <c r="F1034" s="2">
        <v>2</v>
      </c>
      <c r="G1034" s="2">
        <v>1</v>
      </c>
      <c r="H1034" s="3" t="s">
        <v>3434</v>
      </c>
      <c r="I1034" s="3" t="s">
        <v>4872</v>
      </c>
      <c r="J1034" s="3" t="s">
        <v>4194</v>
      </c>
      <c r="K1034" s="21" t="s">
        <v>4195</v>
      </c>
      <c r="L1034" s="10">
        <v>29508</v>
      </c>
      <c r="M1034" s="4">
        <f>5+12</f>
        <v>17</v>
      </c>
      <c r="N1034" s="2">
        <v>96</v>
      </c>
      <c r="O1034" s="2">
        <v>4</v>
      </c>
      <c r="Q1034" s="2">
        <v>1</v>
      </c>
      <c r="R1034" s="2">
        <v>0</v>
      </c>
      <c r="S1034" s="2">
        <v>1</v>
      </c>
      <c r="T1034" s="2">
        <v>0</v>
      </c>
      <c r="U1034" s="2">
        <v>0</v>
      </c>
      <c r="V1034" s="2">
        <v>1</v>
      </c>
      <c r="W1034" s="2">
        <v>0</v>
      </c>
      <c r="X1034" s="2">
        <v>0</v>
      </c>
      <c r="Y1034" s="2">
        <v>1</v>
      </c>
      <c r="Z1034" s="27">
        <v>1981.0519999999999</v>
      </c>
      <c r="AA1034" s="31">
        <v>1982.02</v>
      </c>
    </row>
    <row r="1035" spans="1:28" x14ac:dyDescent="0.2">
      <c r="A1035" s="3" t="s">
        <v>2895</v>
      </c>
      <c r="B1035" s="2" t="s">
        <v>2896</v>
      </c>
      <c r="C1035" s="8">
        <v>30034</v>
      </c>
      <c r="D1035" s="2">
        <v>1982</v>
      </c>
      <c r="E1035" s="2">
        <v>1980</v>
      </c>
      <c r="F1035" s="2">
        <v>0</v>
      </c>
      <c r="G1035" s="2">
        <v>0</v>
      </c>
      <c r="H1035" s="3" t="s">
        <v>27</v>
      </c>
      <c r="I1035" s="3" t="s">
        <v>4871</v>
      </c>
      <c r="J1035" s="3" t="s">
        <v>1494</v>
      </c>
      <c r="K1035" s="21" t="s">
        <v>1495</v>
      </c>
      <c r="L1035" s="10">
        <v>9637</v>
      </c>
      <c r="M1035" s="4">
        <f>10+(12*56)</f>
        <v>682</v>
      </c>
      <c r="N1035" s="2">
        <v>69</v>
      </c>
      <c r="O1035" s="2">
        <v>5</v>
      </c>
      <c r="Q1035" s="2">
        <v>1</v>
      </c>
      <c r="R1035" s="2">
        <v>1</v>
      </c>
      <c r="S1035" s="2">
        <v>1</v>
      </c>
      <c r="T1035" s="2">
        <v>1</v>
      </c>
      <c r="U1035" s="2">
        <v>1</v>
      </c>
      <c r="V1035" s="2">
        <v>0</v>
      </c>
      <c r="W1035" s="2">
        <v>0</v>
      </c>
      <c r="X1035" s="2">
        <v>0</v>
      </c>
      <c r="Y1035" s="2">
        <v>0</v>
      </c>
      <c r="Z1035" s="27">
        <v>1981.066</v>
      </c>
      <c r="AA1035" s="31">
        <v>1982.03</v>
      </c>
    </row>
    <row r="1036" spans="1:28" x14ac:dyDescent="0.2">
      <c r="A1036" s="3" t="s">
        <v>2888</v>
      </c>
      <c r="B1036" s="2" t="s">
        <v>2889</v>
      </c>
      <c r="C1036" s="8">
        <v>30061</v>
      </c>
      <c r="D1036" s="2">
        <v>1982</v>
      </c>
      <c r="E1036" s="2">
        <v>1980</v>
      </c>
      <c r="F1036" s="2">
        <v>0</v>
      </c>
      <c r="G1036" s="2">
        <v>0</v>
      </c>
      <c r="H1036" s="3" t="s">
        <v>27</v>
      </c>
      <c r="I1036" s="3" t="s">
        <v>4870</v>
      </c>
      <c r="J1036" s="3" t="s">
        <v>2890</v>
      </c>
      <c r="K1036" s="21" t="s">
        <v>2517</v>
      </c>
      <c r="L1036" s="10">
        <v>23953</v>
      </c>
      <c r="M1036" s="4">
        <f>8+(12*16)</f>
        <v>200</v>
      </c>
      <c r="N1036" s="2">
        <v>89</v>
      </c>
      <c r="O1036" s="2">
        <v>1</v>
      </c>
      <c r="Q1036" s="2">
        <v>1</v>
      </c>
      <c r="R1036" s="2">
        <v>0</v>
      </c>
      <c r="S1036" s="2">
        <v>1</v>
      </c>
      <c r="T1036" s="2">
        <v>0</v>
      </c>
      <c r="U1036" s="2">
        <v>1</v>
      </c>
      <c r="V1036" s="2">
        <v>0</v>
      </c>
      <c r="W1036" s="2">
        <v>1</v>
      </c>
      <c r="X1036" s="2">
        <v>0</v>
      </c>
      <c r="Y1036" s="2">
        <v>1</v>
      </c>
      <c r="Z1036" s="27">
        <v>1981.078</v>
      </c>
      <c r="AA1036" s="31">
        <v>1982.04</v>
      </c>
    </row>
    <row r="1037" spans="1:28" x14ac:dyDescent="0.2">
      <c r="A1037" s="3" t="s">
        <v>2881</v>
      </c>
      <c r="B1037" s="2" t="s">
        <v>2882</v>
      </c>
      <c r="C1037" s="8">
        <v>30061</v>
      </c>
      <c r="D1037" s="2">
        <v>1982</v>
      </c>
      <c r="E1037" s="2">
        <v>1980</v>
      </c>
      <c r="F1037" s="2">
        <v>0</v>
      </c>
      <c r="G1037" s="2">
        <v>0</v>
      </c>
      <c r="H1037" s="3" t="s">
        <v>27</v>
      </c>
      <c r="I1037" s="3" t="s">
        <v>5068</v>
      </c>
      <c r="J1037" s="3" t="s">
        <v>2883</v>
      </c>
      <c r="K1037" s="21" t="s">
        <v>2133</v>
      </c>
      <c r="L1037" s="10">
        <v>17341</v>
      </c>
      <c r="M1037" s="4">
        <f>10+(12*35)</f>
        <v>430</v>
      </c>
      <c r="N1037" s="2">
        <v>80</v>
      </c>
      <c r="O1037" s="2">
        <v>2</v>
      </c>
      <c r="Q1037" s="2">
        <v>1</v>
      </c>
      <c r="R1037" s="2">
        <v>1</v>
      </c>
      <c r="S1037" s="2">
        <v>1</v>
      </c>
      <c r="T1037" s="2">
        <v>1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7">
        <v>1981.08</v>
      </c>
      <c r="AA1037" s="31">
        <v>1982.05</v>
      </c>
    </row>
    <row r="1038" spans="1:28" x14ac:dyDescent="0.2">
      <c r="A1038" s="3" t="s">
        <v>2877</v>
      </c>
      <c r="B1038" s="2" t="s">
        <v>2878</v>
      </c>
      <c r="C1038" s="8">
        <v>30103</v>
      </c>
      <c r="D1038" s="2">
        <v>1982</v>
      </c>
      <c r="E1038" s="2">
        <v>1980</v>
      </c>
      <c r="F1038" s="2">
        <v>0</v>
      </c>
      <c r="G1038" s="2">
        <v>0</v>
      </c>
      <c r="H1038" s="3" t="s">
        <v>27</v>
      </c>
      <c r="I1038" s="3" t="s">
        <v>4869</v>
      </c>
      <c r="J1038" s="3" t="s">
        <v>2879</v>
      </c>
      <c r="K1038" s="21" t="s">
        <v>2880</v>
      </c>
      <c r="L1038" s="10">
        <v>28803</v>
      </c>
      <c r="M1038" s="4">
        <f>7+36</f>
        <v>43</v>
      </c>
      <c r="N1038" s="2">
        <v>95</v>
      </c>
      <c r="O1038" s="2">
        <v>5</v>
      </c>
      <c r="Q1038" s="2">
        <v>0</v>
      </c>
      <c r="R1038" s="2">
        <v>0</v>
      </c>
      <c r="S1038" s="2">
        <v>1</v>
      </c>
      <c r="T1038" s="2">
        <v>0</v>
      </c>
      <c r="U1038" s="2">
        <v>1</v>
      </c>
      <c r="V1038" s="2">
        <v>0</v>
      </c>
      <c r="W1038" s="2">
        <v>1</v>
      </c>
      <c r="X1038" s="2">
        <v>4</v>
      </c>
      <c r="Y1038" s="2">
        <v>1</v>
      </c>
      <c r="Z1038" s="27">
        <v>1981.1020000000001</v>
      </c>
      <c r="AA1038" s="31">
        <v>1982.06</v>
      </c>
    </row>
    <row r="1039" spans="1:28" x14ac:dyDescent="0.2">
      <c r="A1039" s="3" t="s">
        <v>2884</v>
      </c>
      <c r="B1039" s="2" t="s">
        <v>2885</v>
      </c>
      <c r="C1039" s="8">
        <v>30123</v>
      </c>
      <c r="D1039" s="2">
        <v>1982</v>
      </c>
      <c r="E1039" s="2">
        <v>1980</v>
      </c>
      <c r="F1039" s="2">
        <v>0</v>
      </c>
      <c r="G1039" s="2">
        <v>0</v>
      </c>
      <c r="H1039" s="3" t="s">
        <v>27</v>
      </c>
      <c r="I1039" s="17" t="s">
        <v>4868</v>
      </c>
      <c r="J1039" s="17" t="s">
        <v>2886</v>
      </c>
      <c r="K1039" s="21" t="s">
        <v>2887</v>
      </c>
      <c r="L1039" s="10">
        <v>24839</v>
      </c>
      <c r="M1039" s="4">
        <f>5+(12*13)</f>
        <v>161</v>
      </c>
      <c r="N1039" s="2">
        <v>90</v>
      </c>
      <c r="O1039" s="2">
        <v>3</v>
      </c>
      <c r="Q1039" s="2">
        <v>0</v>
      </c>
      <c r="R1039" s="2">
        <v>0</v>
      </c>
      <c r="S1039" s="2">
        <v>1</v>
      </c>
      <c r="T1039" s="2">
        <v>0</v>
      </c>
      <c r="U1039" s="2">
        <v>1</v>
      </c>
      <c r="V1039" s="2">
        <v>0</v>
      </c>
      <c r="W1039" s="2">
        <v>1</v>
      </c>
      <c r="X1039" s="2">
        <v>0</v>
      </c>
      <c r="Y1039" s="2">
        <v>1</v>
      </c>
      <c r="Z1039" s="27">
        <v>1981.133</v>
      </c>
      <c r="AA1039" s="31">
        <v>1982.07</v>
      </c>
    </row>
    <row r="1040" spans="1:28" x14ac:dyDescent="0.2">
      <c r="A1040" s="3" t="s">
        <v>4190</v>
      </c>
      <c r="B1040" s="2" t="s">
        <v>4191</v>
      </c>
      <c r="C1040" s="8">
        <v>30130</v>
      </c>
      <c r="D1040" s="2">
        <v>1982</v>
      </c>
      <c r="E1040" s="2">
        <v>1980</v>
      </c>
      <c r="F1040" s="2">
        <v>2</v>
      </c>
      <c r="G1040" s="2">
        <v>1</v>
      </c>
      <c r="H1040" s="3" t="s">
        <v>3434</v>
      </c>
      <c r="I1040" s="3" t="s">
        <v>5087</v>
      </c>
      <c r="J1040" s="3" t="s">
        <v>3359</v>
      </c>
      <c r="K1040" s="21" t="s">
        <v>3360</v>
      </c>
      <c r="L1040" s="10">
        <v>28800</v>
      </c>
      <c r="M1040" s="4">
        <f>7+36</f>
        <v>43</v>
      </c>
      <c r="N1040" s="2">
        <v>95</v>
      </c>
      <c r="O1040" s="2">
        <v>6</v>
      </c>
      <c r="Q1040" s="2">
        <v>1</v>
      </c>
      <c r="R1040" s="2">
        <v>1</v>
      </c>
      <c r="S1040" s="2">
        <v>1</v>
      </c>
      <c r="T1040" s="2">
        <v>0</v>
      </c>
      <c r="U1040" s="2">
        <v>0</v>
      </c>
      <c r="V1040" s="2">
        <v>1</v>
      </c>
      <c r="W1040" s="2">
        <v>0</v>
      </c>
      <c r="X1040" s="2">
        <v>3</v>
      </c>
      <c r="Y1040" s="2">
        <v>1</v>
      </c>
      <c r="Z1040" s="27">
        <v>1981.1479999999999</v>
      </c>
      <c r="AA1040" s="31">
        <v>1982.08</v>
      </c>
    </row>
    <row r="1041" spans="1:27" x14ac:dyDescent="0.2">
      <c r="A1041" s="3" t="s">
        <v>2873</v>
      </c>
      <c r="B1041" s="2" t="s">
        <v>2874</v>
      </c>
      <c r="C1041" s="8">
        <v>30298</v>
      </c>
      <c r="D1041" s="2">
        <v>1982</v>
      </c>
      <c r="E1041" s="2">
        <v>1980</v>
      </c>
      <c r="F1041" s="2">
        <v>0</v>
      </c>
      <c r="G1041" s="2">
        <v>0</v>
      </c>
      <c r="H1041" s="3" t="s">
        <v>27</v>
      </c>
      <c r="I1041" s="3" t="s">
        <v>4707</v>
      </c>
      <c r="J1041" s="3" t="s">
        <v>2875</v>
      </c>
      <c r="K1041" s="21" t="s">
        <v>2876</v>
      </c>
      <c r="L1041" s="10">
        <v>27891</v>
      </c>
      <c r="M1041" s="4">
        <f>7+60</f>
        <v>67</v>
      </c>
      <c r="N1041" s="2">
        <v>94</v>
      </c>
      <c r="O1041" s="2">
        <v>2</v>
      </c>
      <c r="Q1041" s="2">
        <v>0</v>
      </c>
      <c r="R1041" s="2">
        <v>0</v>
      </c>
      <c r="S1041" s="2">
        <v>0</v>
      </c>
      <c r="T1041" s="2">
        <v>1</v>
      </c>
      <c r="U1041" s="2">
        <v>1</v>
      </c>
      <c r="V1041" s="2">
        <v>0</v>
      </c>
      <c r="W1041" s="2">
        <v>1</v>
      </c>
      <c r="X1041" s="2">
        <v>0</v>
      </c>
      <c r="Y1041" s="2">
        <v>1</v>
      </c>
      <c r="Z1041" s="27">
        <v>1982.0150000000001</v>
      </c>
      <c r="AA1041" s="31">
        <v>1982.09</v>
      </c>
    </row>
    <row r="1042" spans="1:27" x14ac:dyDescent="0.2">
      <c r="A1042" s="3" t="s">
        <v>4196</v>
      </c>
      <c r="B1042" s="2" t="s">
        <v>4197</v>
      </c>
      <c r="C1042" s="8">
        <v>30285</v>
      </c>
      <c r="D1042" s="2">
        <v>1982</v>
      </c>
      <c r="E1042" s="2">
        <v>1980</v>
      </c>
      <c r="F1042" s="2">
        <v>1</v>
      </c>
      <c r="G1042" s="2">
        <v>1</v>
      </c>
      <c r="H1042" s="3" t="s">
        <v>3442</v>
      </c>
      <c r="I1042" s="3" t="s">
        <v>5087</v>
      </c>
      <c r="J1042" s="3" t="s">
        <v>3359</v>
      </c>
      <c r="K1042" s="21" t="s">
        <v>3360</v>
      </c>
      <c r="L1042" s="10">
        <v>28800</v>
      </c>
      <c r="M1042" s="4">
        <f>48</f>
        <v>48</v>
      </c>
      <c r="N1042" s="2">
        <v>95</v>
      </c>
      <c r="O1042" s="2">
        <v>4</v>
      </c>
      <c r="Q1042" s="2">
        <v>1</v>
      </c>
      <c r="R1042" s="2">
        <v>0</v>
      </c>
      <c r="S1042" s="2">
        <v>1</v>
      </c>
      <c r="T1042" s="2">
        <v>0</v>
      </c>
      <c r="U1042" s="2">
        <v>0</v>
      </c>
      <c r="V1042" s="2">
        <v>0</v>
      </c>
      <c r="W1042" s="2">
        <v>1</v>
      </c>
      <c r="X1042" s="2">
        <v>0</v>
      </c>
      <c r="Y1042" s="2">
        <v>1</v>
      </c>
      <c r="Z1042" s="27">
        <v>1982.0070000000001</v>
      </c>
      <c r="AA1042" s="31">
        <v>1982.1</v>
      </c>
    </row>
    <row r="1043" spans="1:27" x14ac:dyDescent="0.2">
      <c r="A1043" s="3" t="s">
        <v>2904</v>
      </c>
      <c r="B1043" s="2" t="s">
        <v>2905</v>
      </c>
      <c r="C1043" s="8">
        <v>30377</v>
      </c>
      <c r="D1043" s="2">
        <v>1983</v>
      </c>
      <c r="E1043" s="2">
        <v>1980</v>
      </c>
      <c r="F1043" s="2">
        <v>0</v>
      </c>
      <c r="G1043" s="2">
        <v>0</v>
      </c>
      <c r="H1043" s="3" t="s">
        <v>27</v>
      </c>
      <c r="I1043" s="3" t="s">
        <v>4867</v>
      </c>
      <c r="J1043" s="3" t="s">
        <v>2906</v>
      </c>
      <c r="K1043" s="21" t="s">
        <v>2907</v>
      </c>
      <c r="L1043" s="10">
        <v>24821</v>
      </c>
      <c r="M1043" s="4">
        <f>3+(12*16)</f>
        <v>195</v>
      </c>
      <c r="N1043" s="2">
        <v>90</v>
      </c>
      <c r="O1043" s="2">
        <v>5</v>
      </c>
      <c r="Q1043" s="2">
        <v>0</v>
      </c>
      <c r="R1043" s="2">
        <v>0</v>
      </c>
      <c r="S1043" s="2">
        <v>1</v>
      </c>
      <c r="T1043" s="2">
        <v>0</v>
      </c>
      <c r="U1043" s="2">
        <v>1</v>
      </c>
      <c r="V1043" s="2">
        <v>0</v>
      </c>
      <c r="W1043" s="2">
        <v>1</v>
      </c>
      <c r="X1043" s="2">
        <v>4</v>
      </c>
      <c r="Y1043" s="2">
        <v>1</v>
      </c>
      <c r="Z1043" s="27">
        <v>1982.037</v>
      </c>
      <c r="AA1043" s="31">
        <v>1983.01</v>
      </c>
    </row>
    <row r="1044" spans="1:27" x14ac:dyDescent="0.2">
      <c r="A1044" s="3" t="s">
        <v>4214</v>
      </c>
      <c r="B1044" s="2" t="s">
        <v>4215</v>
      </c>
      <c r="C1044" s="8">
        <v>30426</v>
      </c>
      <c r="D1044" s="2">
        <v>1983</v>
      </c>
      <c r="E1044" s="2">
        <v>1980</v>
      </c>
      <c r="F1044" s="2">
        <v>1</v>
      </c>
      <c r="G1044" s="2">
        <v>1</v>
      </c>
      <c r="H1044" s="3" t="s">
        <v>3442</v>
      </c>
      <c r="I1044" s="3" t="s">
        <v>4216</v>
      </c>
      <c r="J1044" s="3" t="s">
        <v>4216</v>
      </c>
      <c r="K1044" s="21" t="s">
        <v>4217</v>
      </c>
      <c r="L1044" s="10">
        <v>18128</v>
      </c>
      <c r="M1044" s="4">
        <f>8+(12*33)</f>
        <v>404</v>
      </c>
      <c r="N1044" s="2">
        <v>81</v>
      </c>
      <c r="O1044" s="2">
        <v>2</v>
      </c>
      <c r="Q1044" s="2">
        <v>0</v>
      </c>
      <c r="R1044" s="2">
        <v>0</v>
      </c>
      <c r="S1044" s="2">
        <v>1</v>
      </c>
      <c r="T1044" s="2">
        <v>0</v>
      </c>
      <c r="U1044" s="2">
        <v>0</v>
      </c>
      <c r="V1044" s="2">
        <v>1</v>
      </c>
      <c r="W1044" s="2">
        <v>1</v>
      </c>
      <c r="X1044" s="2">
        <v>2</v>
      </c>
      <c r="Y1044" s="2">
        <v>1</v>
      </c>
      <c r="Z1044" s="27">
        <v>1982.066</v>
      </c>
      <c r="AA1044" s="31">
        <v>1983.02</v>
      </c>
    </row>
    <row r="1045" spans="1:27" x14ac:dyDescent="0.2">
      <c r="A1045" s="3" t="s">
        <v>2897</v>
      </c>
      <c r="B1045" s="2" t="s">
        <v>2898</v>
      </c>
      <c r="C1045" s="8">
        <v>30438</v>
      </c>
      <c r="D1045" s="2">
        <v>1983</v>
      </c>
      <c r="E1045" s="2">
        <v>1980</v>
      </c>
      <c r="F1045" s="2">
        <v>0</v>
      </c>
      <c r="G1045" s="2">
        <v>0</v>
      </c>
      <c r="H1045" s="3" t="s">
        <v>27</v>
      </c>
      <c r="I1045" s="3" t="s">
        <v>2899</v>
      </c>
      <c r="J1045" s="3" t="s">
        <v>2899</v>
      </c>
      <c r="K1045" s="21" t="s">
        <v>2900</v>
      </c>
      <c r="L1045" s="10">
        <v>26597</v>
      </c>
      <c r="M1045" s="4">
        <f>7+(12*10)</f>
        <v>127</v>
      </c>
      <c r="N1045" s="2">
        <v>92</v>
      </c>
      <c r="O1045" s="2">
        <v>5</v>
      </c>
      <c r="Q1045" s="2">
        <v>0</v>
      </c>
      <c r="R1045" s="2">
        <v>0</v>
      </c>
      <c r="S1045" s="2">
        <v>1</v>
      </c>
      <c r="T1045" s="2">
        <v>1</v>
      </c>
      <c r="U1045" s="2">
        <v>1</v>
      </c>
      <c r="V1045" s="2">
        <v>0</v>
      </c>
      <c r="W1045" s="2">
        <v>1</v>
      </c>
      <c r="X1045" s="2">
        <v>1</v>
      </c>
      <c r="Y1045" s="2">
        <v>1</v>
      </c>
      <c r="Z1045" s="27">
        <v>1982.0709999999999</v>
      </c>
      <c r="AA1045" s="31">
        <v>1983.03</v>
      </c>
    </row>
    <row r="1046" spans="1:27" x14ac:dyDescent="0.2">
      <c r="A1046" s="3" t="s">
        <v>2920</v>
      </c>
      <c r="B1046" s="2" t="s">
        <v>2921</v>
      </c>
      <c r="C1046" s="8">
        <v>30459</v>
      </c>
      <c r="D1046" s="2">
        <v>1983</v>
      </c>
      <c r="E1046" s="2">
        <v>1980</v>
      </c>
      <c r="F1046" s="2">
        <v>0</v>
      </c>
      <c r="G1046" s="2">
        <v>0</v>
      </c>
      <c r="H1046" s="3" t="s">
        <v>27</v>
      </c>
      <c r="I1046" s="3" t="s">
        <v>4866</v>
      </c>
      <c r="J1046" s="3" t="s">
        <v>2922</v>
      </c>
      <c r="K1046" s="21" t="s">
        <v>2923</v>
      </c>
      <c r="L1046" s="10">
        <v>28054</v>
      </c>
      <c r="M1046" s="4">
        <f>7+(12*6)</f>
        <v>79</v>
      </c>
      <c r="N1046" s="2">
        <v>94</v>
      </c>
      <c r="O1046" s="2">
        <v>6</v>
      </c>
      <c r="Q1046" s="2">
        <v>0</v>
      </c>
      <c r="R1046" s="2">
        <v>0</v>
      </c>
      <c r="S1046" s="2">
        <v>1</v>
      </c>
      <c r="T1046" s="2">
        <v>1</v>
      </c>
      <c r="U1046" s="2">
        <v>1</v>
      </c>
      <c r="V1046" s="2">
        <v>0</v>
      </c>
      <c r="W1046" s="2">
        <v>0</v>
      </c>
      <c r="X1046" s="2">
        <v>0</v>
      </c>
      <c r="Y1046" s="2">
        <v>1</v>
      </c>
      <c r="Z1046" s="27">
        <v>1982.079</v>
      </c>
      <c r="AA1046" s="31">
        <v>1983.04</v>
      </c>
    </row>
    <row r="1047" spans="1:27" x14ac:dyDescent="0.2">
      <c r="A1047" s="3" t="s">
        <v>2908</v>
      </c>
      <c r="B1047" s="2" t="s">
        <v>2909</v>
      </c>
      <c r="C1047" s="8">
        <v>30459</v>
      </c>
      <c r="D1047" s="2">
        <v>1983</v>
      </c>
      <c r="E1047" s="2">
        <v>1980</v>
      </c>
      <c r="F1047" s="2">
        <v>0</v>
      </c>
      <c r="G1047" s="2">
        <v>0</v>
      </c>
      <c r="H1047" s="3" t="s">
        <v>27</v>
      </c>
      <c r="I1047" s="3" t="s">
        <v>5096</v>
      </c>
      <c r="J1047" s="3" t="s">
        <v>2903</v>
      </c>
      <c r="K1047" s="19" t="s">
        <v>2395</v>
      </c>
      <c r="L1047" s="10">
        <v>19952</v>
      </c>
      <c r="M1047" s="4">
        <f>9+(12*28)</f>
        <v>345</v>
      </c>
      <c r="N1047" s="2">
        <v>83</v>
      </c>
      <c r="O1047" s="2">
        <v>2</v>
      </c>
      <c r="Q1047" s="2">
        <v>1</v>
      </c>
      <c r="R1047" s="2">
        <v>1</v>
      </c>
      <c r="S1047" s="2">
        <v>1</v>
      </c>
      <c r="T1047" s="2">
        <v>0</v>
      </c>
      <c r="U1047" s="2">
        <v>1</v>
      </c>
      <c r="V1047" s="2">
        <v>0</v>
      </c>
      <c r="W1047" s="2">
        <v>1</v>
      </c>
      <c r="X1047" s="2">
        <v>0</v>
      </c>
      <c r="Y1047" s="2">
        <v>0</v>
      </c>
      <c r="Z1047" s="27">
        <v>1982.0820000000001</v>
      </c>
      <c r="AA1047" s="31">
        <v>1983.05</v>
      </c>
    </row>
    <row r="1048" spans="1:27" x14ac:dyDescent="0.2">
      <c r="A1048" s="3" t="s">
        <v>2901</v>
      </c>
      <c r="B1048" s="2" t="s">
        <v>2902</v>
      </c>
      <c r="C1048" s="8">
        <v>30460</v>
      </c>
      <c r="D1048" s="2">
        <v>1983</v>
      </c>
      <c r="E1048" s="2">
        <v>1980</v>
      </c>
      <c r="F1048" s="2">
        <v>0</v>
      </c>
      <c r="G1048" s="2">
        <v>0</v>
      </c>
      <c r="H1048" s="3" t="s">
        <v>27</v>
      </c>
      <c r="I1048" s="3" t="s">
        <v>5096</v>
      </c>
      <c r="J1048" s="3" t="s">
        <v>2903</v>
      </c>
      <c r="K1048" s="19" t="s">
        <v>2395</v>
      </c>
      <c r="L1048" s="10">
        <v>19952</v>
      </c>
      <c r="M1048" s="4">
        <v>345</v>
      </c>
      <c r="N1048" s="2">
        <v>83</v>
      </c>
      <c r="O1048" s="2">
        <v>2</v>
      </c>
      <c r="Q1048" s="2">
        <v>1</v>
      </c>
      <c r="R1048" s="2">
        <v>1</v>
      </c>
      <c r="S1048" s="2">
        <v>1</v>
      </c>
      <c r="T1048" s="2">
        <v>1</v>
      </c>
      <c r="U1048" s="2">
        <v>0</v>
      </c>
      <c r="V1048" s="2">
        <v>0</v>
      </c>
      <c r="W1048" s="2">
        <v>1</v>
      </c>
      <c r="X1048" s="2">
        <v>1</v>
      </c>
      <c r="Y1048" s="2">
        <v>0</v>
      </c>
      <c r="Z1048" s="27">
        <v>1982.0840000000001</v>
      </c>
      <c r="AA1048" s="31">
        <v>1983.06</v>
      </c>
    </row>
    <row r="1049" spans="1:27" x14ac:dyDescent="0.2">
      <c r="A1049" s="3" t="s">
        <v>2914</v>
      </c>
      <c r="B1049" s="2" t="s">
        <v>2915</v>
      </c>
      <c r="C1049" s="8">
        <v>30467</v>
      </c>
      <c r="D1049" s="2">
        <v>1983</v>
      </c>
      <c r="E1049" s="2">
        <v>1980</v>
      </c>
      <c r="F1049" s="2">
        <v>0</v>
      </c>
      <c r="G1049" s="2">
        <v>0</v>
      </c>
      <c r="H1049" s="3" t="s">
        <v>27</v>
      </c>
      <c r="I1049" s="3" t="s">
        <v>2916</v>
      </c>
      <c r="J1049" s="3" t="s">
        <v>2916</v>
      </c>
      <c r="K1049" s="19" t="s">
        <v>2395</v>
      </c>
      <c r="L1049" s="10">
        <v>19952</v>
      </c>
      <c r="M1049" s="4">
        <v>345</v>
      </c>
      <c r="N1049" s="2">
        <v>92</v>
      </c>
      <c r="O1049" s="2">
        <v>4</v>
      </c>
      <c r="Q1049" s="2">
        <v>1</v>
      </c>
      <c r="R1049" s="2">
        <v>0</v>
      </c>
      <c r="S1049" s="2">
        <v>1</v>
      </c>
      <c r="T1049" s="2">
        <v>1</v>
      </c>
      <c r="U1049" s="2">
        <v>1</v>
      </c>
      <c r="V1049" s="2">
        <v>0</v>
      </c>
      <c r="W1049" s="2">
        <v>1</v>
      </c>
      <c r="X1049" s="2">
        <v>4</v>
      </c>
      <c r="Y1049" s="2">
        <v>1</v>
      </c>
      <c r="Z1049" s="27">
        <v>1982.088</v>
      </c>
      <c r="AA1049" s="31">
        <v>1983.07</v>
      </c>
    </row>
    <row r="1050" spans="1:27" x14ac:dyDescent="0.2">
      <c r="A1050" s="3" t="s">
        <v>4198</v>
      </c>
      <c r="B1050" s="2" t="s">
        <v>4199</v>
      </c>
      <c r="C1050" s="8">
        <v>30467</v>
      </c>
      <c r="D1050" s="2">
        <v>1983</v>
      </c>
      <c r="E1050" s="2">
        <v>1980</v>
      </c>
      <c r="F1050" s="2">
        <v>1</v>
      </c>
      <c r="G1050" s="2">
        <v>1</v>
      </c>
      <c r="H1050" s="3" t="s">
        <v>3442</v>
      </c>
      <c r="I1050" s="3" t="s">
        <v>5068</v>
      </c>
      <c r="J1050" s="3" t="s">
        <v>2883</v>
      </c>
      <c r="K1050" s="21" t="s">
        <v>2133</v>
      </c>
      <c r="L1050" s="10">
        <v>17341</v>
      </c>
      <c r="M1050" s="4">
        <f>11+(35*12)</f>
        <v>431</v>
      </c>
      <c r="N1050" s="2">
        <v>80</v>
      </c>
      <c r="O1050" s="2">
        <v>2</v>
      </c>
      <c r="Q1050" s="2">
        <v>1</v>
      </c>
      <c r="R1050" s="2">
        <v>0</v>
      </c>
      <c r="S1050" s="2">
        <v>1</v>
      </c>
      <c r="T1050" s="2">
        <v>1</v>
      </c>
      <c r="U1050" s="2">
        <v>0</v>
      </c>
      <c r="V1050" s="2">
        <v>0</v>
      </c>
      <c r="W1050" s="2">
        <v>1</v>
      </c>
      <c r="X1050" s="2">
        <v>0</v>
      </c>
      <c r="Y1050" s="2">
        <v>0</v>
      </c>
      <c r="Z1050" s="27">
        <v>1982.0889999999999</v>
      </c>
      <c r="AA1050" s="31">
        <v>1983.08</v>
      </c>
    </row>
    <row r="1051" spans="1:27" x14ac:dyDescent="0.2">
      <c r="A1051" s="3" t="s">
        <v>2917</v>
      </c>
      <c r="B1051" s="2" t="s">
        <v>2918</v>
      </c>
      <c r="C1051" s="8">
        <v>30484</v>
      </c>
      <c r="D1051" s="2">
        <v>1983</v>
      </c>
      <c r="E1051" s="2">
        <v>1980</v>
      </c>
      <c r="F1051" s="2">
        <v>0</v>
      </c>
      <c r="G1051" s="2">
        <v>0</v>
      </c>
      <c r="H1051" s="3" t="s">
        <v>27</v>
      </c>
      <c r="I1051" s="3" t="s">
        <v>4705</v>
      </c>
      <c r="J1051" s="3" t="s">
        <v>2919</v>
      </c>
      <c r="K1051" s="21" t="s">
        <v>1849</v>
      </c>
      <c r="L1051" s="10">
        <v>11126</v>
      </c>
      <c r="M1051" s="4">
        <f>12*53</f>
        <v>636</v>
      </c>
      <c r="N1051" s="2">
        <v>71</v>
      </c>
      <c r="O1051" s="2">
        <v>1</v>
      </c>
      <c r="Q1051" s="2">
        <v>1</v>
      </c>
      <c r="R1051" s="2">
        <v>0</v>
      </c>
      <c r="S1051" s="2">
        <v>1</v>
      </c>
      <c r="T1051" s="2">
        <v>1</v>
      </c>
      <c r="U1051" s="2">
        <v>1</v>
      </c>
      <c r="V1051" s="2">
        <v>0</v>
      </c>
      <c r="W1051" s="2">
        <v>1</v>
      </c>
      <c r="X1051" s="2">
        <v>3</v>
      </c>
      <c r="Y1051" s="2">
        <v>0</v>
      </c>
      <c r="Z1051" s="27">
        <v>1982.1179999999999</v>
      </c>
      <c r="AA1051" s="31">
        <v>1983.09</v>
      </c>
    </row>
    <row r="1052" spans="1:27" x14ac:dyDescent="0.2">
      <c r="A1052" s="3" t="s">
        <v>2910</v>
      </c>
      <c r="B1052" s="2" t="s">
        <v>2911</v>
      </c>
      <c r="C1052" s="8">
        <v>30473</v>
      </c>
      <c r="D1052" s="2">
        <v>1983</v>
      </c>
      <c r="E1052" s="2">
        <v>1980</v>
      </c>
      <c r="F1052" s="2">
        <v>0</v>
      </c>
      <c r="G1052" s="2">
        <v>0</v>
      </c>
      <c r="H1052" s="3" t="s">
        <v>27</v>
      </c>
      <c r="I1052" s="3" t="s">
        <v>4865</v>
      </c>
      <c r="J1052" s="3" t="s">
        <v>2912</v>
      </c>
      <c r="K1052" s="21" t="s">
        <v>2913</v>
      </c>
      <c r="L1052" s="10">
        <v>29313</v>
      </c>
      <c r="M1052" s="4">
        <f>2+36</f>
        <v>38</v>
      </c>
      <c r="N1052" s="2">
        <v>96</v>
      </c>
      <c r="O1052" s="2">
        <v>4</v>
      </c>
      <c r="Q1052" s="2">
        <v>1</v>
      </c>
      <c r="R1052" s="2">
        <v>0</v>
      </c>
      <c r="S1052" s="2">
        <v>1</v>
      </c>
      <c r="T1052" s="2">
        <v>0</v>
      </c>
      <c r="U1052" s="2">
        <v>1</v>
      </c>
      <c r="V1052" s="2">
        <v>0</v>
      </c>
      <c r="W1052" s="2">
        <v>1</v>
      </c>
      <c r="X1052" s="2">
        <v>0</v>
      </c>
      <c r="Y1052" s="2">
        <v>1</v>
      </c>
      <c r="Z1052" s="27">
        <v>1982.097</v>
      </c>
      <c r="AA1052" s="31">
        <v>1983.1</v>
      </c>
    </row>
    <row r="1053" spans="1:27" x14ac:dyDescent="0.2">
      <c r="A1053" s="3" t="s">
        <v>4204</v>
      </c>
      <c r="B1053" s="2" t="s">
        <v>4205</v>
      </c>
      <c r="C1053" s="8">
        <v>30490</v>
      </c>
      <c r="D1053" s="2">
        <v>1983</v>
      </c>
      <c r="E1053" s="2">
        <v>1980</v>
      </c>
      <c r="F1053" s="2">
        <v>2</v>
      </c>
      <c r="G1053" s="2">
        <v>1</v>
      </c>
      <c r="H1053" s="3" t="s">
        <v>3434</v>
      </c>
      <c r="I1053" s="3" t="s">
        <v>4538</v>
      </c>
      <c r="J1053" s="3" t="s">
        <v>4206</v>
      </c>
      <c r="K1053" s="21" t="s">
        <v>2238</v>
      </c>
      <c r="L1053" s="10">
        <v>19172</v>
      </c>
      <c r="M1053" s="4">
        <f>31*12</f>
        <v>372</v>
      </c>
      <c r="N1053" s="2">
        <v>82</v>
      </c>
      <c r="O1053" s="2">
        <v>6</v>
      </c>
      <c r="Q1053" s="2">
        <v>1</v>
      </c>
      <c r="R1053" s="2">
        <v>0</v>
      </c>
      <c r="S1053" s="2">
        <v>1</v>
      </c>
      <c r="T1053" s="2">
        <v>0</v>
      </c>
      <c r="U1053" s="2">
        <v>0</v>
      </c>
      <c r="V1053" s="2">
        <v>1</v>
      </c>
      <c r="W1053" s="2">
        <v>1</v>
      </c>
      <c r="X1053" s="2">
        <v>2</v>
      </c>
      <c r="Y1053" s="2">
        <v>1</v>
      </c>
      <c r="Z1053" s="27">
        <v>1982.13</v>
      </c>
      <c r="AA1053" s="31">
        <v>1983.11</v>
      </c>
    </row>
    <row r="1054" spans="1:27" x14ac:dyDescent="0.2">
      <c r="A1054" s="3" t="s">
        <v>4207</v>
      </c>
      <c r="B1054" s="2" t="s">
        <v>4208</v>
      </c>
      <c r="C1054" s="8">
        <v>30503</v>
      </c>
      <c r="D1054" s="2">
        <v>1983</v>
      </c>
      <c r="E1054" s="2">
        <v>1980</v>
      </c>
      <c r="F1054" s="2">
        <v>2</v>
      </c>
      <c r="G1054" s="2">
        <v>1</v>
      </c>
      <c r="H1054" s="3" t="s">
        <v>3434</v>
      </c>
      <c r="I1054" s="3" t="s">
        <v>4864</v>
      </c>
      <c r="J1054" s="3" t="s">
        <v>4209</v>
      </c>
      <c r="K1054" s="21" t="s">
        <v>4210</v>
      </c>
      <c r="L1054" s="10">
        <v>28803</v>
      </c>
      <c r="M1054" s="4">
        <f>8+(12*4)</f>
        <v>56</v>
      </c>
      <c r="N1054" s="2">
        <v>95</v>
      </c>
      <c r="O1054" s="2">
        <v>6</v>
      </c>
      <c r="Q1054" s="2">
        <v>1</v>
      </c>
      <c r="R1054" s="2">
        <v>0</v>
      </c>
      <c r="S1054" s="2">
        <v>0</v>
      </c>
      <c r="T1054" s="2">
        <v>1</v>
      </c>
      <c r="U1054" s="2">
        <v>0</v>
      </c>
      <c r="V1054" s="2">
        <v>1</v>
      </c>
      <c r="W1054" s="2">
        <v>1</v>
      </c>
      <c r="X1054" s="2">
        <v>1</v>
      </c>
      <c r="Y1054" s="2">
        <v>1</v>
      </c>
      <c r="Z1054" s="27" t="s">
        <v>5167</v>
      </c>
      <c r="AA1054" s="31">
        <v>1983.12</v>
      </c>
    </row>
    <row r="1055" spans="1:27" x14ac:dyDescent="0.2">
      <c r="A1055" s="3" t="s">
        <v>4211</v>
      </c>
      <c r="B1055" s="2" t="s">
        <v>4208</v>
      </c>
      <c r="C1055" s="8">
        <v>30503</v>
      </c>
      <c r="D1055" s="2">
        <v>1983</v>
      </c>
      <c r="E1055" s="2">
        <v>1980</v>
      </c>
      <c r="F1055" s="2">
        <v>2</v>
      </c>
      <c r="G1055" s="2">
        <v>1</v>
      </c>
      <c r="H1055" s="3" t="s">
        <v>3434</v>
      </c>
      <c r="I1055" s="3" t="s">
        <v>4863</v>
      </c>
      <c r="J1055" s="3" t="s">
        <v>4212</v>
      </c>
      <c r="K1055" s="21" t="s">
        <v>4213</v>
      </c>
      <c r="L1055" s="10">
        <v>29369</v>
      </c>
      <c r="M1055" s="4">
        <f>2+36</f>
        <v>38</v>
      </c>
      <c r="N1055" s="2">
        <v>96</v>
      </c>
      <c r="O1055" s="2">
        <v>6</v>
      </c>
      <c r="Q1055" s="2">
        <v>0</v>
      </c>
      <c r="R1055" s="2">
        <v>0</v>
      </c>
      <c r="S1055" s="2">
        <v>0</v>
      </c>
      <c r="T1055" s="2">
        <v>1</v>
      </c>
      <c r="U1055" s="2">
        <v>0</v>
      </c>
      <c r="V1055" s="2">
        <v>1</v>
      </c>
      <c r="W1055" s="2">
        <v>1</v>
      </c>
      <c r="X1055" s="2">
        <v>0</v>
      </c>
      <c r="Y1055" s="2">
        <v>1</v>
      </c>
      <c r="Z1055" s="27" t="s">
        <v>5167</v>
      </c>
      <c r="AA1055" s="31">
        <v>1983.13</v>
      </c>
    </row>
    <row r="1056" spans="1:27" x14ac:dyDescent="0.2">
      <c r="A1056" s="3" t="s">
        <v>4200</v>
      </c>
      <c r="B1056" s="2" t="s">
        <v>4201</v>
      </c>
      <c r="C1056" s="8">
        <v>30491</v>
      </c>
      <c r="D1056" s="2">
        <v>1983</v>
      </c>
      <c r="E1056" s="2">
        <v>1980</v>
      </c>
      <c r="F1056" s="2">
        <v>1</v>
      </c>
      <c r="G1056" s="2">
        <v>1</v>
      </c>
      <c r="H1056" s="3" t="s">
        <v>3442</v>
      </c>
      <c r="I1056" s="3" t="s">
        <v>4202</v>
      </c>
      <c r="J1056" s="3" t="s">
        <v>4202</v>
      </c>
      <c r="K1056" s="21" t="s">
        <v>4203</v>
      </c>
      <c r="L1056" s="10">
        <v>25941</v>
      </c>
      <c r="M1056" s="4">
        <f>5+(12*11)</f>
        <v>137</v>
      </c>
      <c r="N1056" s="2">
        <v>92</v>
      </c>
      <c r="O1056" s="2">
        <v>2</v>
      </c>
      <c r="Q1056" s="2">
        <v>0</v>
      </c>
      <c r="R1056" s="2">
        <v>0</v>
      </c>
      <c r="S1056" s="2">
        <v>1</v>
      </c>
      <c r="T1056" s="2">
        <v>0</v>
      </c>
      <c r="U1056" s="2">
        <v>0</v>
      </c>
      <c r="V1056" s="2">
        <v>1</v>
      </c>
      <c r="W1056" s="2">
        <v>1</v>
      </c>
      <c r="X1056" s="2">
        <v>0</v>
      </c>
      <c r="Y1056" s="2">
        <v>1</v>
      </c>
      <c r="Z1056" s="27">
        <v>1982.135</v>
      </c>
      <c r="AA1056" s="31">
        <v>1983.14</v>
      </c>
    </row>
    <row r="1057" spans="1:27" x14ac:dyDescent="0.2">
      <c r="A1057" s="3" t="s">
        <v>2926</v>
      </c>
      <c r="B1057" s="2" t="s">
        <v>2927</v>
      </c>
      <c r="C1057" s="8">
        <v>30746</v>
      </c>
      <c r="D1057" s="2">
        <v>1984</v>
      </c>
      <c r="E1057" s="2">
        <v>1980</v>
      </c>
      <c r="F1057" s="2">
        <v>0</v>
      </c>
      <c r="G1057" s="2">
        <v>0</v>
      </c>
      <c r="H1057" s="3" t="s">
        <v>27</v>
      </c>
      <c r="I1057" s="3" t="s">
        <v>4862</v>
      </c>
      <c r="J1057" s="3" t="s">
        <v>2928</v>
      </c>
      <c r="K1057" s="21" t="s">
        <v>2929</v>
      </c>
      <c r="L1057" s="10">
        <v>28479</v>
      </c>
      <c r="M1057" s="4">
        <f>3+(12*6)</f>
        <v>75</v>
      </c>
      <c r="N1057" s="2">
        <v>95</v>
      </c>
      <c r="O1057" s="2">
        <v>3</v>
      </c>
      <c r="Q1057" s="2">
        <v>0</v>
      </c>
      <c r="R1057" s="2">
        <v>0</v>
      </c>
      <c r="S1057" s="2">
        <v>1</v>
      </c>
      <c r="T1057" s="2">
        <v>0</v>
      </c>
      <c r="U1057" s="2">
        <v>1</v>
      </c>
      <c r="V1057" s="2">
        <v>0</v>
      </c>
      <c r="W1057" s="2">
        <v>1</v>
      </c>
      <c r="X1057" s="2">
        <v>0</v>
      </c>
      <c r="Y1057" s="2">
        <v>1</v>
      </c>
      <c r="Z1057" s="27">
        <v>1983.049</v>
      </c>
      <c r="AA1057" s="31">
        <v>1984.01</v>
      </c>
    </row>
    <row r="1058" spans="1:27" x14ac:dyDescent="0.2">
      <c r="A1058" s="3" t="s">
        <v>2924</v>
      </c>
      <c r="B1058" s="2" t="s">
        <v>2925</v>
      </c>
      <c r="C1058" s="8">
        <v>30797</v>
      </c>
      <c r="D1058" s="2">
        <v>1984</v>
      </c>
      <c r="E1058" s="2">
        <v>1980</v>
      </c>
      <c r="F1058" s="2">
        <v>0</v>
      </c>
      <c r="G1058" s="2">
        <v>0</v>
      </c>
      <c r="H1058" s="3" t="s">
        <v>27</v>
      </c>
      <c r="I1058" s="3" t="s">
        <v>4861</v>
      </c>
      <c r="J1058" s="3" t="s">
        <v>2253</v>
      </c>
      <c r="K1058" s="21" t="s">
        <v>2254</v>
      </c>
      <c r="L1058" s="10">
        <v>18638</v>
      </c>
      <c r="M1058" s="4">
        <f>3+(33*12)</f>
        <v>399</v>
      </c>
      <c r="N1058" s="2">
        <v>81</v>
      </c>
      <c r="O1058" s="2">
        <v>2</v>
      </c>
      <c r="Q1058" s="2">
        <v>0</v>
      </c>
      <c r="R1058" s="2">
        <v>0</v>
      </c>
      <c r="S1058" s="2">
        <v>0</v>
      </c>
      <c r="T1058" s="2">
        <v>1</v>
      </c>
      <c r="U1058" s="2">
        <v>1</v>
      </c>
      <c r="V1058" s="2">
        <v>0</v>
      </c>
      <c r="W1058" s="2">
        <v>0</v>
      </c>
      <c r="X1058" s="2">
        <v>1</v>
      </c>
      <c r="Y1058" s="2">
        <v>1</v>
      </c>
      <c r="Z1058" s="27">
        <v>1983.0820000000001</v>
      </c>
      <c r="AA1058" s="31">
        <v>1984.02</v>
      </c>
    </row>
    <row r="1059" spans="1:27" x14ac:dyDescent="0.2">
      <c r="A1059" s="3" t="s">
        <v>2930</v>
      </c>
      <c r="B1059" s="2" t="s">
        <v>2931</v>
      </c>
      <c r="C1059" s="8">
        <v>30824</v>
      </c>
      <c r="D1059" s="2">
        <v>1984</v>
      </c>
      <c r="E1059" s="2">
        <v>1980</v>
      </c>
      <c r="F1059" s="2">
        <v>0</v>
      </c>
      <c r="G1059" s="2">
        <v>0</v>
      </c>
      <c r="H1059" s="3" t="s">
        <v>27</v>
      </c>
      <c r="I1059" s="3" t="s">
        <v>4831</v>
      </c>
      <c r="J1059" s="3" t="s">
        <v>2385</v>
      </c>
      <c r="K1059" s="21" t="s">
        <v>2386</v>
      </c>
      <c r="L1059" s="10">
        <v>23560</v>
      </c>
      <c r="M1059" s="4">
        <f>10+(12*19)</f>
        <v>238</v>
      </c>
      <c r="N1059" s="2">
        <v>88</v>
      </c>
      <c r="O1059" s="2">
        <v>2</v>
      </c>
      <c r="Q1059" s="2">
        <v>1</v>
      </c>
      <c r="R1059" s="2">
        <v>1</v>
      </c>
      <c r="S1059" s="2">
        <v>1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1</v>
      </c>
      <c r="Z1059" s="27">
        <v>1983.1010000000001</v>
      </c>
      <c r="AA1059" s="31">
        <v>1984.03</v>
      </c>
    </row>
    <row r="1060" spans="1:27" x14ac:dyDescent="0.2">
      <c r="A1060" s="3" t="s">
        <v>2932</v>
      </c>
      <c r="B1060" s="2" t="s">
        <v>2933</v>
      </c>
      <c r="C1060" s="8">
        <v>30851</v>
      </c>
      <c r="D1060" s="2">
        <v>1984</v>
      </c>
      <c r="E1060" s="2">
        <v>1980</v>
      </c>
      <c r="F1060" s="2">
        <v>0</v>
      </c>
      <c r="G1060" s="2">
        <v>0</v>
      </c>
      <c r="H1060" s="3" t="s">
        <v>27</v>
      </c>
      <c r="I1060" s="3" t="s">
        <v>4819</v>
      </c>
      <c r="J1060" s="3" t="s">
        <v>2934</v>
      </c>
      <c r="K1060" s="21" t="s">
        <v>2935</v>
      </c>
      <c r="L1060" s="10">
        <v>29490</v>
      </c>
      <c r="M1060" s="4">
        <f>9+36</f>
        <v>45</v>
      </c>
      <c r="N1060" s="2">
        <v>96</v>
      </c>
      <c r="O1060" s="2">
        <v>1</v>
      </c>
      <c r="Q1060" s="2">
        <v>1</v>
      </c>
      <c r="R1060" s="2">
        <v>1</v>
      </c>
      <c r="S1060" s="2">
        <v>0</v>
      </c>
      <c r="T1060" s="2">
        <v>0</v>
      </c>
      <c r="U1060" s="2">
        <v>1</v>
      </c>
      <c r="V1060" s="2">
        <v>0</v>
      </c>
      <c r="W1060" s="2">
        <v>1</v>
      </c>
      <c r="X1060" s="2">
        <v>0</v>
      </c>
      <c r="Y1060" s="2">
        <v>1</v>
      </c>
      <c r="Z1060" s="27">
        <v>1983.1289999999999</v>
      </c>
      <c r="AA1060" s="31">
        <v>1984.04</v>
      </c>
    </row>
    <row r="1061" spans="1:27" x14ac:dyDescent="0.2">
      <c r="A1061" s="3" t="s">
        <v>2943</v>
      </c>
      <c r="B1061" s="2" t="s">
        <v>2944</v>
      </c>
      <c r="C1061" s="8">
        <v>30851</v>
      </c>
      <c r="D1061" s="2">
        <v>1984</v>
      </c>
      <c r="E1061" s="2">
        <v>1980</v>
      </c>
      <c r="F1061" s="2">
        <v>0</v>
      </c>
      <c r="G1061" s="2">
        <v>0</v>
      </c>
      <c r="H1061" s="3" t="s">
        <v>27</v>
      </c>
      <c r="I1061" s="3" t="s">
        <v>4860</v>
      </c>
      <c r="J1061" s="3" t="s">
        <v>2945</v>
      </c>
      <c r="K1061" s="21" t="s">
        <v>2946</v>
      </c>
      <c r="L1061" s="10">
        <v>12576</v>
      </c>
      <c r="M1061" s="4">
        <f>12*50</f>
        <v>600</v>
      </c>
      <c r="N1061" s="2">
        <v>73</v>
      </c>
      <c r="O1061" s="2">
        <v>1</v>
      </c>
      <c r="Q1061" s="2">
        <v>1</v>
      </c>
      <c r="R1061" s="2">
        <v>0</v>
      </c>
      <c r="S1061" s="2">
        <v>1</v>
      </c>
      <c r="T1061" s="2">
        <v>1</v>
      </c>
      <c r="U1061" s="2">
        <v>1</v>
      </c>
      <c r="V1061" s="2">
        <v>0</v>
      </c>
      <c r="W1061" s="2">
        <v>1</v>
      </c>
      <c r="X1061" s="2">
        <v>0</v>
      </c>
      <c r="Y1061" s="2">
        <v>1</v>
      </c>
      <c r="Z1061" s="27">
        <v>1983.13</v>
      </c>
      <c r="AA1061" s="31">
        <v>1984.05</v>
      </c>
    </row>
    <row r="1062" spans="1:27" x14ac:dyDescent="0.2">
      <c r="A1062" s="3" t="s">
        <v>2951</v>
      </c>
      <c r="B1062" s="2" t="s">
        <v>2952</v>
      </c>
      <c r="C1062" s="8">
        <v>30858</v>
      </c>
      <c r="D1062" s="2">
        <v>1984</v>
      </c>
      <c r="E1062" s="2">
        <v>1980</v>
      </c>
      <c r="F1062" s="2">
        <v>0</v>
      </c>
      <c r="G1062" s="2">
        <v>0</v>
      </c>
      <c r="H1062" s="3" t="s">
        <v>27</v>
      </c>
      <c r="I1062" s="3" t="s">
        <v>5068</v>
      </c>
      <c r="J1062" s="3" t="s">
        <v>2160</v>
      </c>
      <c r="K1062" s="21" t="s">
        <v>2133</v>
      </c>
      <c r="L1062" s="10">
        <v>17341</v>
      </c>
      <c r="M1062" s="4">
        <f>12*37</f>
        <v>444</v>
      </c>
      <c r="N1062" s="2">
        <v>80</v>
      </c>
      <c r="O1062" s="2">
        <v>2</v>
      </c>
      <c r="Q1062" s="2">
        <v>1</v>
      </c>
      <c r="R1062" s="2">
        <v>0</v>
      </c>
      <c r="S1062" s="2">
        <v>1</v>
      </c>
      <c r="T1062" s="2">
        <v>1</v>
      </c>
      <c r="U1062" s="2">
        <v>1</v>
      </c>
      <c r="V1062" s="2">
        <v>0</v>
      </c>
      <c r="W1062" s="2">
        <v>1</v>
      </c>
      <c r="X1062" s="2">
        <v>6</v>
      </c>
      <c r="Y1062" s="2">
        <v>0</v>
      </c>
      <c r="Z1062" s="27">
        <v>1983.136</v>
      </c>
      <c r="AA1062" s="31">
        <v>1984.06</v>
      </c>
    </row>
    <row r="1063" spans="1:27" x14ac:dyDescent="0.2">
      <c r="A1063" s="3" t="s">
        <v>2939</v>
      </c>
      <c r="B1063" s="2" t="s">
        <v>2940</v>
      </c>
      <c r="C1063" s="8">
        <v>30859</v>
      </c>
      <c r="D1063" s="2">
        <v>1984</v>
      </c>
      <c r="E1063" s="2">
        <v>1980</v>
      </c>
      <c r="F1063" s="2">
        <v>0</v>
      </c>
      <c r="G1063" s="2">
        <v>0</v>
      </c>
      <c r="H1063" s="3" t="s">
        <v>27</v>
      </c>
      <c r="I1063" s="3" t="s">
        <v>4853</v>
      </c>
      <c r="J1063" s="3" t="s">
        <v>2941</v>
      </c>
      <c r="K1063" s="21" t="s">
        <v>2942</v>
      </c>
      <c r="L1063" s="10">
        <v>28763</v>
      </c>
      <c r="M1063" s="4">
        <f>9+(12*5)</f>
        <v>69</v>
      </c>
      <c r="N1063" s="2">
        <v>95</v>
      </c>
      <c r="O1063" s="2">
        <v>4</v>
      </c>
      <c r="Q1063" s="2">
        <v>0</v>
      </c>
      <c r="R1063" s="2">
        <v>0</v>
      </c>
      <c r="S1063" s="2">
        <v>1</v>
      </c>
      <c r="T1063" s="2">
        <v>1</v>
      </c>
      <c r="U1063" s="2">
        <v>0</v>
      </c>
      <c r="V1063" s="2">
        <v>0</v>
      </c>
      <c r="W1063" s="2">
        <v>1</v>
      </c>
      <c r="X1063" s="2">
        <v>1</v>
      </c>
      <c r="Y1063" s="2">
        <v>1</v>
      </c>
      <c r="Z1063" s="27">
        <v>1983.14</v>
      </c>
      <c r="AA1063" s="31">
        <v>1984.07</v>
      </c>
    </row>
    <row r="1064" spans="1:27" x14ac:dyDescent="0.2">
      <c r="A1064" s="3" t="s">
        <v>2936</v>
      </c>
      <c r="B1064" s="2" t="s">
        <v>2937</v>
      </c>
      <c r="C1064" s="8">
        <v>30861</v>
      </c>
      <c r="D1064" s="2">
        <v>1984</v>
      </c>
      <c r="E1064" s="2">
        <v>1980</v>
      </c>
      <c r="F1064" s="2">
        <v>0</v>
      </c>
      <c r="G1064" s="2">
        <v>0</v>
      </c>
      <c r="H1064" s="3" t="s">
        <v>27</v>
      </c>
      <c r="I1064" t="s">
        <v>5086</v>
      </c>
      <c r="J1064" s="3" t="s">
        <v>2938</v>
      </c>
      <c r="K1064" s="21" t="s">
        <v>2850</v>
      </c>
      <c r="L1064" s="10">
        <v>28487</v>
      </c>
      <c r="M1064" s="4">
        <f>6+(12*6)</f>
        <v>78</v>
      </c>
      <c r="N1064" s="2">
        <v>95</v>
      </c>
      <c r="O1064" s="2">
        <v>2</v>
      </c>
      <c r="Q1064" s="2">
        <v>0</v>
      </c>
      <c r="R1064" s="2">
        <v>0</v>
      </c>
      <c r="S1064" s="2">
        <v>1</v>
      </c>
      <c r="T1064" s="2">
        <v>1</v>
      </c>
      <c r="U1064" s="2">
        <v>1</v>
      </c>
      <c r="V1064" s="2">
        <v>0</v>
      </c>
      <c r="W1064" s="2">
        <v>1</v>
      </c>
      <c r="X1064" s="2">
        <v>4</v>
      </c>
      <c r="Y1064" s="2">
        <v>1</v>
      </c>
      <c r="Z1064" s="27">
        <v>1983.15</v>
      </c>
      <c r="AA1064" s="31">
        <v>1984.08</v>
      </c>
    </row>
    <row r="1065" spans="1:27" x14ac:dyDescent="0.2">
      <c r="A1065" s="3" t="s">
        <v>4218</v>
      </c>
      <c r="B1065" s="2" t="s">
        <v>4219</v>
      </c>
      <c r="C1065" s="8">
        <v>30865</v>
      </c>
      <c r="D1065" s="2">
        <v>1984</v>
      </c>
      <c r="E1065" s="2">
        <v>1980</v>
      </c>
      <c r="F1065" s="2">
        <v>2</v>
      </c>
      <c r="G1065" s="2">
        <v>1</v>
      </c>
      <c r="H1065" s="3" t="s">
        <v>3434</v>
      </c>
      <c r="I1065" s="3" t="s">
        <v>4724</v>
      </c>
      <c r="J1065" s="3" t="s">
        <v>4220</v>
      </c>
      <c r="K1065" s="21" t="s">
        <v>3051</v>
      </c>
      <c r="L1065" s="10">
        <v>29811</v>
      </c>
      <c r="M1065" s="4">
        <f>11+24</f>
        <v>35</v>
      </c>
      <c r="N1065" s="2">
        <v>97</v>
      </c>
      <c r="O1065" s="2">
        <v>2</v>
      </c>
      <c r="Q1065" s="2">
        <v>1</v>
      </c>
      <c r="R1065" s="2">
        <v>0</v>
      </c>
      <c r="S1065" s="2">
        <v>1</v>
      </c>
      <c r="T1065" s="2">
        <v>0</v>
      </c>
      <c r="U1065" s="2">
        <v>0</v>
      </c>
      <c r="V1065" s="2">
        <v>1</v>
      </c>
      <c r="W1065" s="2">
        <v>1</v>
      </c>
      <c r="X1065" s="2">
        <v>4</v>
      </c>
      <c r="Y1065" s="2">
        <v>1</v>
      </c>
      <c r="Z1065" s="27">
        <v>1983.155</v>
      </c>
      <c r="AA1065" s="31">
        <v>1984.09</v>
      </c>
    </row>
    <row r="1066" spans="1:27" x14ac:dyDescent="0.2">
      <c r="A1066" s="3" t="s">
        <v>4221</v>
      </c>
      <c r="B1066" s="2" t="s">
        <v>4222</v>
      </c>
      <c r="C1066" s="8">
        <v>30866</v>
      </c>
      <c r="D1066" s="2">
        <v>1984</v>
      </c>
      <c r="E1066" s="2">
        <v>1980</v>
      </c>
      <c r="F1066" s="2">
        <v>2</v>
      </c>
      <c r="G1066" s="2">
        <v>1</v>
      </c>
      <c r="H1066" s="3" t="s">
        <v>3434</v>
      </c>
      <c r="I1066" s="3" t="s">
        <v>4223</v>
      </c>
      <c r="J1066" s="3" t="s">
        <v>4223</v>
      </c>
      <c r="K1066" s="21" t="s">
        <v>4224</v>
      </c>
      <c r="L1066" s="10">
        <v>21430</v>
      </c>
      <c r="M1066" s="4">
        <f>10+(26*12)</f>
        <v>322</v>
      </c>
      <c r="N1066" s="2">
        <v>85</v>
      </c>
      <c r="O1066" s="2">
        <v>2</v>
      </c>
      <c r="Q1066" s="2">
        <v>0</v>
      </c>
      <c r="R1066" s="2">
        <v>0</v>
      </c>
      <c r="S1066" s="2">
        <v>1</v>
      </c>
      <c r="T1066" s="2">
        <v>0</v>
      </c>
      <c r="U1066" s="2">
        <v>1</v>
      </c>
      <c r="V1066" s="2">
        <v>1</v>
      </c>
      <c r="W1066" s="2">
        <v>1</v>
      </c>
      <c r="X1066" s="2">
        <v>5</v>
      </c>
      <c r="Y1066" s="2">
        <v>1</v>
      </c>
      <c r="Z1066" s="27">
        <v>1983.163</v>
      </c>
      <c r="AA1066" s="31">
        <v>1984.1</v>
      </c>
    </row>
    <row r="1067" spans="1:27" x14ac:dyDescent="0.2">
      <c r="A1067" s="3" t="s">
        <v>2947</v>
      </c>
      <c r="B1067" s="2" t="s">
        <v>2948</v>
      </c>
      <c r="C1067" s="8">
        <v>30868</v>
      </c>
      <c r="D1067" s="2">
        <v>1984</v>
      </c>
      <c r="E1067" s="2">
        <v>1980</v>
      </c>
      <c r="F1067" s="2">
        <v>0</v>
      </c>
      <c r="G1067" s="2">
        <v>0</v>
      </c>
      <c r="H1067" s="3" t="s">
        <v>27</v>
      </c>
      <c r="I1067" s="3" t="s">
        <v>4859</v>
      </c>
      <c r="J1067" s="3" t="s">
        <v>2949</v>
      </c>
      <c r="K1067" s="21" t="s">
        <v>2950</v>
      </c>
      <c r="L1067" s="10">
        <v>30202</v>
      </c>
      <c r="M1067" s="4">
        <f>10+12</f>
        <v>22</v>
      </c>
      <c r="N1067" s="2">
        <v>97</v>
      </c>
      <c r="O1067" s="2">
        <v>1</v>
      </c>
      <c r="P1067" s="2">
        <v>3</v>
      </c>
      <c r="Q1067" s="2">
        <v>0</v>
      </c>
      <c r="R1067" s="2">
        <v>0</v>
      </c>
      <c r="S1067" s="2">
        <v>1</v>
      </c>
      <c r="T1067" s="2">
        <v>0</v>
      </c>
      <c r="U1067" s="2">
        <v>1</v>
      </c>
      <c r="V1067" s="2">
        <v>0</v>
      </c>
      <c r="W1067" s="2">
        <v>1</v>
      </c>
      <c r="X1067" s="2">
        <v>2</v>
      </c>
      <c r="Y1067" s="2">
        <v>1</v>
      </c>
      <c r="Z1067" s="27">
        <v>1983.1679999999999</v>
      </c>
      <c r="AA1067" s="31">
        <v>1984.11</v>
      </c>
    </row>
    <row r="1068" spans="1:27" x14ac:dyDescent="0.2">
      <c r="A1068" s="3" t="s">
        <v>2953</v>
      </c>
      <c r="B1068" s="2" t="s">
        <v>2954</v>
      </c>
      <c r="C1068" s="8">
        <v>31097</v>
      </c>
      <c r="D1068" s="2">
        <v>1985</v>
      </c>
      <c r="E1068" s="2">
        <v>1980</v>
      </c>
      <c r="F1068" s="2">
        <v>0</v>
      </c>
      <c r="G1068" s="2">
        <v>0</v>
      </c>
      <c r="H1068" s="3" t="s">
        <v>27</v>
      </c>
      <c r="I1068" s="3" t="s">
        <v>4728</v>
      </c>
      <c r="J1068" s="3" t="s">
        <v>2955</v>
      </c>
      <c r="K1068" s="21" t="s">
        <v>2956</v>
      </c>
      <c r="L1068" s="10">
        <v>27127</v>
      </c>
      <c r="M1068" s="4">
        <f>10+120</f>
        <v>130</v>
      </c>
      <c r="N1068" s="2">
        <v>93</v>
      </c>
      <c r="O1068" s="2">
        <v>5</v>
      </c>
      <c r="Q1068" s="2">
        <v>0</v>
      </c>
      <c r="R1068" s="2">
        <v>0</v>
      </c>
      <c r="S1068" s="2">
        <v>1</v>
      </c>
      <c r="T1068" s="2">
        <v>0</v>
      </c>
      <c r="U1068" s="2">
        <v>1</v>
      </c>
      <c r="V1068" s="2">
        <v>0</v>
      </c>
      <c r="W1068" s="2">
        <v>0</v>
      </c>
      <c r="X1068" s="2">
        <v>4</v>
      </c>
      <c r="Y1068" s="2">
        <v>1</v>
      </c>
      <c r="Z1068" s="27">
        <v>1984.029</v>
      </c>
      <c r="AA1068" s="31">
        <v>1985.01</v>
      </c>
    </row>
    <row r="1069" spans="1:27" x14ac:dyDescent="0.2">
      <c r="A1069" s="3" t="s">
        <v>2960</v>
      </c>
      <c r="B1069" s="2" t="s">
        <v>2961</v>
      </c>
      <c r="C1069" s="8">
        <v>31124</v>
      </c>
      <c r="D1069" s="2">
        <v>1985</v>
      </c>
      <c r="E1069" s="2">
        <v>1980</v>
      </c>
      <c r="F1069" s="2">
        <v>0</v>
      </c>
      <c r="G1069" s="2">
        <v>0</v>
      </c>
      <c r="H1069" s="3" t="s">
        <v>27</v>
      </c>
      <c r="I1069" s="3" t="s">
        <v>4858</v>
      </c>
      <c r="J1069" s="3" t="s">
        <v>2962</v>
      </c>
      <c r="K1069" s="21" t="s">
        <v>2963</v>
      </c>
      <c r="L1069" s="10">
        <v>29127</v>
      </c>
      <c r="M1069" s="4">
        <f>6+(12*5)</f>
        <v>66</v>
      </c>
      <c r="N1069" s="2">
        <v>93</v>
      </c>
      <c r="O1069" s="2">
        <v>4</v>
      </c>
      <c r="Q1069" s="2">
        <v>0</v>
      </c>
      <c r="R1069" s="2">
        <v>0</v>
      </c>
      <c r="S1069" s="2">
        <v>1</v>
      </c>
      <c r="T1069" s="2">
        <v>0</v>
      </c>
      <c r="U1069" s="2">
        <v>1</v>
      </c>
      <c r="V1069" s="2">
        <v>0</v>
      </c>
      <c r="W1069" s="2">
        <v>1</v>
      </c>
      <c r="X1069" s="2">
        <v>0</v>
      </c>
      <c r="Y1069" s="2">
        <v>1</v>
      </c>
      <c r="Z1069" s="27">
        <v>1984.046</v>
      </c>
      <c r="AA1069" s="31">
        <v>1985.02</v>
      </c>
    </row>
    <row r="1070" spans="1:27" x14ac:dyDescent="0.2">
      <c r="A1070" s="3" t="s">
        <v>4229</v>
      </c>
      <c r="B1070" s="2" t="s">
        <v>4230</v>
      </c>
      <c r="C1070" s="8">
        <v>31124</v>
      </c>
      <c r="D1070" s="2">
        <v>1985</v>
      </c>
      <c r="E1070" s="2">
        <v>1980</v>
      </c>
      <c r="F1070" s="2">
        <v>2</v>
      </c>
      <c r="G1070" s="2">
        <v>1</v>
      </c>
      <c r="H1070" s="3" t="s">
        <v>3434</v>
      </c>
      <c r="I1070" s="3" t="s">
        <v>4857</v>
      </c>
      <c r="J1070" s="3" t="s">
        <v>4231</v>
      </c>
      <c r="K1070" s="21" t="s">
        <v>4232</v>
      </c>
      <c r="L1070" s="10">
        <v>26277</v>
      </c>
      <c r="M1070" s="4">
        <f>3+(12*13)</f>
        <v>159</v>
      </c>
      <c r="N1070" s="2">
        <v>92</v>
      </c>
      <c r="O1070" s="2">
        <v>2</v>
      </c>
      <c r="Q1070" s="2">
        <v>1</v>
      </c>
      <c r="R1070" s="2">
        <v>0</v>
      </c>
      <c r="S1070" s="2">
        <v>0</v>
      </c>
      <c r="T1070" s="2">
        <v>0</v>
      </c>
      <c r="U1070" s="2">
        <v>1</v>
      </c>
      <c r="V1070" s="2">
        <v>1</v>
      </c>
      <c r="W1070" s="2">
        <v>1</v>
      </c>
      <c r="X1070" s="2">
        <v>4</v>
      </c>
      <c r="Y1070" s="2">
        <v>1</v>
      </c>
      <c r="Z1070" s="27">
        <v>1984.047</v>
      </c>
      <c r="AA1070" s="31">
        <v>1985.03</v>
      </c>
    </row>
    <row r="1071" spans="1:27" x14ac:dyDescent="0.2">
      <c r="A1071" s="3" t="s">
        <v>2966</v>
      </c>
      <c r="B1071" s="2" t="s">
        <v>2967</v>
      </c>
      <c r="C1071" s="8">
        <v>31160</v>
      </c>
      <c r="D1071" s="2">
        <v>1985</v>
      </c>
      <c r="E1071" s="2">
        <v>1980</v>
      </c>
      <c r="F1071" s="2">
        <v>0</v>
      </c>
      <c r="G1071" s="2">
        <v>0</v>
      </c>
      <c r="H1071" s="3" t="s">
        <v>27</v>
      </c>
      <c r="I1071" s="3" t="s">
        <v>4856</v>
      </c>
      <c r="J1071" s="3" t="s">
        <v>1884</v>
      </c>
      <c r="K1071" s="3" t="s">
        <v>1885</v>
      </c>
      <c r="L1071" s="10">
        <v>14056</v>
      </c>
      <c r="M1071" s="4">
        <f>10+(42*12)</f>
        <v>514</v>
      </c>
      <c r="N1071" s="2">
        <v>75</v>
      </c>
      <c r="O1071" s="2">
        <v>2</v>
      </c>
      <c r="Q1071" s="2">
        <v>1</v>
      </c>
      <c r="R1071" s="2">
        <v>1</v>
      </c>
      <c r="S1071" s="2">
        <v>1</v>
      </c>
      <c r="T1071" s="2">
        <v>1</v>
      </c>
      <c r="U1071" s="2">
        <v>0</v>
      </c>
      <c r="V1071" s="2">
        <v>0</v>
      </c>
      <c r="W1071" s="2">
        <v>1</v>
      </c>
      <c r="X1071" s="2">
        <v>0</v>
      </c>
      <c r="Y1071" s="2">
        <v>1</v>
      </c>
      <c r="Z1071" s="27">
        <v>1984.085</v>
      </c>
      <c r="AA1071" s="31">
        <v>1985.04</v>
      </c>
    </row>
    <row r="1072" spans="1:27" x14ac:dyDescent="0.2">
      <c r="A1072" s="3" t="s">
        <v>2957</v>
      </c>
      <c r="B1072" s="2" t="s">
        <v>2958</v>
      </c>
      <c r="C1072" s="8">
        <v>31187</v>
      </c>
      <c r="D1072" s="2">
        <v>1985</v>
      </c>
      <c r="E1072" s="2">
        <v>1980</v>
      </c>
      <c r="F1072" s="2">
        <v>0</v>
      </c>
      <c r="G1072" s="2">
        <v>0</v>
      </c>
      <c r="H1072" s="3" t="s">
        <v>27</v>
      </c>
      <c r="I1072" s="3" t="s">
        <v>5019</v>
      </c>
      <c r="J1072" s="3" t="s">
        <v>5020</v>
      </c>
      <c r="K1072" s="21" t="s">
        <v>2959</v>
      </c>
      <c r="L1072" s="10">
        <v>28052</v>
      </c>
      <c r="M1072" s="4">
        <f>7+(12*8)</f>
        <v>103</v>
      </c>
      <c r="N1072" s="2">
        <v>94</v>
      </c>
      <c r="O1072" s="2">
        <v>2</v>
      </c>
      <c r="Q1072" s="2">
        <v>1</v>
      </c>
      <c r="R1072" s="2">
        <v>1</v>
      </c>
      <c r="S1072" s="2">
        <v>0</v>
      </c>
      <c r="T1072" s="2">
        <v>1</v>
      </c>
      <c r="U1072" s="2">
        <v>1</v>
      </c>
      <c r="V1072" s="2">
        <v>0</v>
      </c>
      <c r="W1072" s="2">
        <v>0</v>
      </c>
      <c r="X1072" s="2">
        <v>3</v>
      </c>
      <c r="Y1072" s="2">
        <v>1</v>
      </c>
      <c r="Z1072" s="27">
        <v>1984.1</v>
      </c>
      <c r="AA1072" s="31">
        <v>1985.05</v>
      </c>
    </row>
    <row r="1073" spans="1:27" x14ac:dyDescent="0.2">
      <c r="A1073" s="3" t="s">
        <v>2971</v>
      </c>
      <c r="B1073" s="2" t="s">
        <v>2972</v>
      </c>
      <c r="C1073" s="8">
        <v>31138</v>
      </c>
      <c r="D1073" s="2">
        <v>1985</v>
      </c>
      <c r="E1073" s="2">
        <v>1980</v>
      </c>
      <c r="F1073" s="2">
        <v>0</v>
      </c>
      <c r="G1073" s="2">
        <v>0</v>
      </c>
      <c r="H1073" s="3" t="s">
        <v>27</v>
      </c>
      <c r="I1073" s="3" t="s">
        <v>5018</v>
      </c>
      <c r="J1073" s="3" t="s">
        <v>2973</v>
      </c>
      <c r="K1073" s="21" t="s">
        <v>5017</v>
      </c>
      <c r="L1073" s="10">
        <v>28054</v>
      </c>
      <c r="M1073" s="4">
        <f>6+(12*7)</f>
        <v>90</v>
      </c>
      <c r="N1073" s="2">
        <v>94</v>
      </c>
      <c r="O1073" s="2">
        <v>1</v>
      </c>
      <c r="Q1073" s="2">
        <v>1</v>
      </c>
      <c r="R1073" s="2">
        <v>0</v>
      </c>
      <c r="S1073" s="2">
        <v>1</v>
      </c>
      <c r="T1073" s="2">
        <v>0</v>
      </c>
      <c r="U1073" s="2">
        <v>1</v>
      </c>
      <c r="V1073" s="2">
        <v>0</v>
      </c>
      <c r="W1073" s="2">
        <v>1</v>
      </c>
      <c r="X1073" s="2">
        <v>3</v>
      </c>
      <c r="Y1073" s="2">
        <v>1</v>
      </c>
      <c r="Z1073" s="27">
        <v>1984.0709999999999</v>
      </c>
      <c r="AA1073" s="31">
        <v>1985.06</v>
      </c>
    </row>
    <row r="1074" spans="1:27" x14ac:dyDescent="0.2">
      <c r="A1074" s="3" t="s">
        <v>4233</v>
      </c>
      <c r="B1074" s="2" t="s">
        <v>4234</v>
      </c>
      <c r="C1074" s="8">
        <v>31208</v>
      </c>
      <c r="D1074" s="2">
        <v>1985</v>
      </c>
      <c r="E1074" s="2">
        <v>1980</v>
      </c>
      <c r="F1074" s="2">
        <v>1</v>
      </c>
      <c r="G1074" s="2">
        <v>1</v>
      </c>
      <c r="H1074" s="3" t="s">
        <v>3442</v>
      </c>
      <c r="I1074" s="3" t="s">
        <v>4855</v>
      </c>
      <c r="J1074" s="3" t="s">
        <v>4235</v>
      </c>
      <c r="K1074" s="21" t="s">
        <v>4236</v>
      </c>
      <c r="L1074" s="10">
        <v>14845</v>
      </c>
      <c r="M1074" s="4">
        <f>10+(44*12)</f>
        <v>538</v>
      </c>
      <c r="N1074" s="2">
        <v>76</v>
      </c>
      <c r="O1074" s="2">
        <v>2</v>
      </c>
      <c r="Q1074" s="2">
        <v>0</v>
      </c>
      <c r="R1074" s="2">
        <v>0</v>
      </c>
      <c r="S1074" s="2">
        <v>1</v>
      </c>
      <c r="T1074" s="2">
        <v>1</v>
      </c>
      <c r="U1074" s="2">
        <v>1</v>
      </c>
      <c r="V1074" s="2">
        <v>0</v>
      </c>
      <c r="W1074" s="2">
        <v>1</v>
      </c>
      <c r="X1074" s="2">
        <v>0</v>
      </c>
      <c r="Y1074" s="2">
        <v>1</v>
      </c>
      <c r="Z1074" s="27">
        <v>1984.1179999999999</v>
      </c>
      <c r="AA1074" s="31">
        <v>1985.07</v>
      </c>
    </row>
    <row r="1075" spans="1:27" x14ac:dyDescent="0.2">
      <c r="A1075" s="3" t="s">
        <v>2968</v>
      </c>
      <c r="B1075" s="2" t="s">
        <v>2969</v>
      </c>
      <c r="C1075" s="8">
        <v>31222</v>
      </c>
      <c r="D1075" s="2">
        <v>1985</v>
      </c>
      <c r="E1075" s="2">
        <v>1980</v>
      </c>
      <c r="F1075" s="2">
        <v>0</v>
      </c>
      <c r="G1075" s="2">
        <v>0</v>
      </c>
      <c r="H1075" s="3" t="s">
        <v>27</v>
      </c>
      <c r="I1075" s="3" t="s">
        <v>5048</v>
      </c>
      <c r="J1075" s="3" t="s">
        <v>2970</v>
      </c>
      <c r="K1075" s="21" t="s">
        <v>1236</v>
      </c>
      <c r="L1075" s="10">
        <v>3351</v>
      </c>
      <c r="M1075" s="4">
        <f>3+(12*76)</f>
        <v>915</v>
      </c>
      <c r="N1075" s="2">
        <v>60</v>
      </c>
      <c r="O1075" s="2">
        <v>2</v>
      </c>
      <c r="Q1075" s="2">
        <v>1</v>
      </c>
      <c r="R1075" s="2">
        <v>0</v>
      </c>
      <c r="S1075" s="2">
        <v>1</v>
      </c>
      <c r="T1075" s="2">
        <v>1</v>
      </c>
      <c r="U1075" s="2">
        <v>1</v>
      </c>
      <c r="V1075" s="2">
        <v>0</v>
      </c>
      <c r="W1075" s="2">
        <v>1</v>
      </c>
      <c r="X1075" s="2">
        <v>3</v>
      </c>
      <c r="Y1075" s="2">
        <v>0</v>
      </c>
      <c r="Z1075" s="27">
        <v>1984.1389999999999</v>
      </c>
      <c r="AA1075" s="31">
        <v>1985.08</v>
      </c>
    </row>
    <row r="1076" spans="1:27" x14ac:dyDescent="0.2">
      <c r="A1076" s="3" t="s">
        <v>2974</v>
      </c>
      <c r="B1076" s="8" t="s">
        <v>2975</v>
      </c>
      <c r="C1076" s="8">
        <v>31226</v>
      </c>
      <c r="D1076" s="2">
        <v>1985</v>
      </c>
      <c r="E1076" s="2">
        <v>1980</v>
      </c>
      <c r="F1076" s="2">
        <v>0</v>
      </c>
      <c r="G1076" s="2">
        <v>0</v>
      </c>
      <c r="H1076" s="3" t="s">
        <v>27</v>
      </c>
      <c r="I1076" s="3" t="s">
        <v>2976</v>
      </c>
      <c r="J1076" s="3" t="s">
        <v>2976</v>
      </c>
      <c r="K1076" s="15"/>
      <c r="L1076" s="4" t="s">
        <v>2977</v>
      </c>
      <c r="M1076" s="4">
        <f>11+(121*12)</f>
        <v>1463</v>
      </c>
      <c r="N1076" s="2">
        <v>38</v>
      </c>
      <c r="O1076" s="2">
        <v>4</v>
      </c>
      <c r="P1076" s="2">
        <v>2</v>
      </c>
      <c r="Q1076" s="2">
        <v>0</v>
      </c>
      <c r="R1076" s="2">
        <v>0</v>
      </c>
      <c r="S1076" s="2">
        <v>1</v>
      </c>
      <c r="T1076" s="2">
        <v>0</v>
      </c>
      <c r="U1076" s="2">
        <v>1</v>
      </c>
      <c r="V1076" s="2">
        <v>0</v>
      </c>
      <c r="W1076" s="2">
        <v>1</v>
      </c>
      <c r="X1076" s="2">
        <v>3</v>
      </c>
      <c r="Y1076" s="2">
        <v>0</v>
      </c>
      <c r="Z1076" s="27">
        <v>1984.155</v>
      </c>
      <c r="AA1076" s="31">
        <v>1985.09</v>
      </c>
    </row>
    <row r="1077" spans="1:27" x14ac:dyDescent="0.2">
      <c r="A1077" s="3" t="s">
        <v>4225</v>
      </c>
      <c r="B1077" s="2" t="s">
        <v>4226</v>
      </c>
      <c r="C1077" s="8">
        <v>31229</v>
      </c>
      <c r="D1077" s="2">
        <v>1985</v>
      </c>
      <c r="E1077" s="2">
        <v>1980</v>
      </c>
      <c r="F1077" s="2">
        <v>1</v>
      </c>
      <c r="G1077" s="2">
        <v>1</v>
      </c>
      <c r="H1077" s="3" t="s">
        <v>3442</v>
      </c>
      <c r="I1077" s="3" t="s">
        <v>4854</v>
      </c>
      <c r="J1077" s="3" t="s">
        <v>4227</v>
      </c>
      <c r="K1077" s="21" t="s">
        <v>4228</v>
      </c>
      <c r="L1077" s="10">
        <v>23843</v>
      </c>
      <c r="M1077" s="4">
        <f>3+(12*20)</f>
        <v>243</v>
      </c>
      <c r="N1077" s="2">
        <v>89</v>
      </c>
      <c r="O1077" s="2">
        <v>2</v>
      </c>
      <c r="Q1077" s="2">
        <v>1</v>
      </c>
      <c r="R1077" s="2">
        <v>1</v>
      </c>
      <c r="S1077" s="2">
        <v>1</v>
      </c>
      <c r="T1077" s="2">
        <v>0</v>
      </c>
      <c r="U1077" s="2">
        <v>0</v>
      </c>
      <c r="V1077" s="2">
        <v>0</v>
      </c>
      <c r="W1077" s="2">
        <v>1</v>
      </c>
      <c r="X1077" s="2">
        <v>4</v>
      </c>
      <c r="Y1077" s="2">
        <v>1</v>
      </c>
      <c r="Z1077" s="27">
        <v>1984.1569999999999</v>
      </c>
      <c r="AA1077" s="31">
        <v>1985.1</v>
      </c>
    </row>
    <row r="1078" spans="1:27" x14ac:dyDescent="0.2">
      <c r="A1078" s="3" t="s">
        <v>2964</v>
      </c>
      <c r="B1078" s="2" t="s">
        <v>2965</v>
      </c>
      <c r="C1078" s="8">
        <v>31229</v>
      </c>
      <c r="D1078" s="2">
        <v>1985</v>
      </c>
      <c r="E1078" s="2">
        <v>1980</v>
      </c>
      <c r="F1078" s="2">
        <v>0</v>
      </c>
      <c r="G1078" s="2">
        <v>0</v>
      </c>
      <c r="H1078" s="3" t="s">
        <v>27</v>
      </c>
      <c r="I1078" s="3" t="s">
        <v>4853</v>
      </c>
      <c r="J1078" s="3" t="s">
        <v>2941</v>
      </c>
      <c r="K1078" s="21" t="s">
        <v>2942</v>
      </c>
      <c r="L1078" s="10">
        <v>28763</v>
      </c>
      <c r="M1078" s="4">
        <f>10+(12*6)</f>
        <v>82</v>
      </c>
      <c r="N1078" s="2">
        <v>95</v>
      </c>
      <c r="O1078" s="2">
        <v>6</v>
      </c>
      <c r="Q1078" s="2">
        <v>0</v>
      </c>
      <c r="R1078" s="2">
        <v>0</v>
      </c>
      <c r="S1078" s="2">
        <v>1</v>
      </c>
      <c r="T1078" s="2">
        <v>1</v>
      </c>
      <c r="U1078" s="2">
        <v>1</v>
      </c>
      <c r="V1078" s="2">
        <v>0</v>
      </c>
      <c r="W1078" s="2">
        <v>1</v>
      </c>
      <c r="X1078" s="2">
        <v>0</v>
      </c>
      <c r="Y1078" s="2">
        <v>1</v>
      </c>
      <c r="Z1078" s="27">
        <v>1984.1610000000001</v>
      </c>
      <c r="AA1078" s="31">
        <v>1985.11</v>
      </c>
    </row>
    <row r="1079" spans="1:27" x14ac:dyDescent="0.2">
      <c r="A1079" s="3" t="s">
        <v>2993</v>
      </c>
      <c r="B1079" s="2" t="s">
        <v>2994</v>
      </c>
      <c r="C1079" s="8">
        <v>31469</v>
      </c>
      <c r="D1079" s="2">
        <v>1986</v>
      </c>
      <c r="E1079" s="2">
        <v>1980</v>
      </c>
      <c r="F1079" s="2">
        <v>0</v>
      </c>
      <c r="G1079" s="2">
        <v>0</v>
      </c>
      <c r="H1079" s="3" t="s">
        <v>27</v>
      </c>
      <c r="I1079" s="3" t="s">
        <v>4819</v>
      </c>
      <c r="J1079" s="3" t="s">
        <v>2934</v>
      </c>
      <c r="K1079" s="21" t="s">
        <v>2935</v>
      </c>
      <c r="L1079" s="10">
        <v>29490</v>
      </c>
      <c r="M1079" s="4">
        <f>5+60</f>
        <v>65</v>
      </c>
      <c r="N1079" s="2">
        <v>96</v>
      </c>
      <c r="O1079" s="2">
        <v>4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1</v>
      </c>
      <c r="X1079" s="2">
        <v>0</v>
      </c>
      <c r="Y1079" s="2">
        <v>1</v>
      </c>
      <c r="Z1079" s="27">
        <v>1985.0419999999999</v>
      </c>
      <c r="AA1079" s="31">
        <v>1986.01</v>
      </c>
    </row>
    <row r="1080" spans="1:27" x14ac:dyDescent="0.2">
      <c r="A1080" s="3" t="s">
        <v>2995</v>
      </c>
      <c r="B1080" s="2" t="s">
        <v>2996</v>
      </c>
      <c r="C1080" s="8">
        <v>31551</v>
      </c>
      <c r="D1080" s="2">
        <v>1986</v>
      </c>
      <c r="E1080" s="2">
        <v>1980</v>
      </c>
      <c r="F1080" s="2">
        <v>0</v>
      </c>
      <c r="G1080" s="2">
        <v>0</v>
      </c>
      <c r="H1080" s="3" t="s">
        <v>27</v>
      </c>
      <c r="I1080" s="3" t="s">
        <v>4722</v>
      </c>
      <c r="J1080" s="3" t="s">
        <v>2997</v>
      </c>
      <c r="K1080" s="21" t="s">
        <v>2998</v>
      </c>
      <c r="L1080" s="10">
        <v>25933</v>
      </c>
      <c r="M1080" s="4">
        <f>5+(12*15)</f>
        <v>185</v>
      </c>
      <c r="N1080" s="2">
        <v>91</v>
      </c>
      <c r="O1080" s="2">
        <v>1</v>
      </c>
      <c r="Q1080" s="2">
        <v>1</v>
      </c>
      <c r="R1080" s="2">
        <v>1</v>
      </c>
      <c r="S1080" s="2">
        <v>1</v>
      </c>
      <c r="T1080" s="2">
        <v>1</v>
      </c>
      <c r="U1080" s="2">
        <v>0</v>
      </c>
      <c r="V1080" s="2">
        <v>0</v>
      </c>
      <c r="W1080" s="2">
        <v>1</v>
      </c>
      <c r="X1080" s="2">
        <v>4</v>
      </c>
      <c r="Y1080" s="2">
        <v>1</v>
      </c>
      <c r="Z1080" s="27">
        <v>1985.0830000000001</v>
      </c>
      <c r="AA1080" s="31">
        <v>1986.02</v>
      </c>
    </row>
    <row r="1081" spans="1:27" x14ac:dyDescent="0.2">
      <c r="A1081" s="3" t="s">
        <v>2985</v>
      </c>
      <c r="B1081" s="2" t="s">
        <v>2986</v>
      </c>
      <c r="C1081" s="8">
        <v>31551</v>
      </c>
      <c r="D1081" s="2">
        <v>1986</v>
      </c>
      <c r="E1081" s="2">
        <v>1980</v>
      </c>
      <c r="F1081" s="2">
        <v>0</v>
      </c>
      <c r="G1081" s="2">
        <v>0</v>
      </c>
      <c r="H1081" s="3" t="s">
        <v>27</v>
      </c>
      <c r="I1081" s="3" t="s">
        <v>4852</v>
      </c>
      <c r="J1081" s="3" t="s">
        <v>2987</v>
      </c>
      <c r="K1081" s="21" t="s">
        <v>2988</v>
      </c>
      <c r="L1081" s="10">
        <v>28479</v>
      </c>
      <c r="M1081" s="4">
        <f>5+(12*8)</f>
        <v>101</v>
      </c>
      <c r="N1081" s="2">
        <v>95</v>
      </c>
      <c r="O1081" s="2">
        <v>3</v>
      </c>
      <c r="Q1081" s="2">
        <v>0</v>
      </c>
      <c r="R1081" s="2">
        <v>0</v>
      </c>
      <c r="S1081" s="2">
        <v>1</v>
      </c>
      <c r="T1081" s="2">
        <v>0</v>
      </c>
      <c r="U1081" s="2">
        <v>1</v>
      </c>
      <c r="V1081" s="2">
        <v>0</v>
      </c>
      <c r="W1081" s="2">
        <v>1</v>
      </c>
      <c r="X1081" s="2">
        <v>3</v>
      </c>
      <c r="Y1081" s="2">
        <v>1</v>
      </c>
      <c r="Z1081" s="27">
        <v>1985.087</v>
      </c>
      <c r="AA1081" s="31">
        <v>1986.03</v>
      </c>
    </row>
    <row r="1082" spans="1:27" x14ac:dyDescent="0.2">
      <c r="A1082" s="3" t="s">
        <v>3006</v>
      </c>
      <c r="B1082" s="2" t="s">
        <v>3007</v>
      </c>
      <c r="C1082" s="8">
        <v>31566</v>
      </c>
      <c r="D1082" s="2">
        <v>1986</v>
      </c>
      <c r="E1082" s="2">
        <v>1980</v>
      </c>
      <c r="F1082" s="2">
        <v>0</v>
      </c>
      <c r="G1082" s="2">
        <v>0</v>
      </c>
      <c r="H1082" s="3" t="s">
        <v>27</v>
      </c>
      <c r="I1082" s="3" t="s">
        <v>4851</v>
      </c>
      <c r="J1082" s="3" t="s">
        <v>3008</v>
      </c>
      <c r="K1082" s="21" t="s">
        <v>2769</v>
      </c>
      <c r="L1082" s="10">
        <v>28037</v>
      </c>
      <c r="M1082" s="4">
        <f>8+(12*9)</f>
        <v>116</v>
      </c>
      <c r="N1082" s="2">
        <v>94</v>
      </c>
      <c r="O1082" s="2">
        <v>1</v>
      </c>
      <c r="Q1082" s="2">
        <v>1</v>
      </c>
      <c r="R1082" s="2">
        <v>1</v>
      </c>
      <c r="S1082" s="2">
        <v>1</v>
      </c>
      <c r="T1082" s="2">
        <v>0</v>
      </c>
      <c r="U1082" s="2">
        <v>1</v>
      </c>
      <c r="V1082" s="2">
        <v>0</v>
      </c>
      <c r="W1082" s="2">
        <v>1</v>
      </c>
      <c r="X1082" s="2">
        <v>0</v>
      </c>
      <c r="Y1082" s="2">
        <v>1</v>
      </c>
      <c r="Z1082" s="27">
        <v>1985.098</v>
      </c>
      <c r="AA1082" s="31">
        <v>1986.04</v>
      </c>
    </row>
    <row r="1083" spans="1:27" x14ac:dyDescent="0.2">
      <c r="A1083" s="3" t="s">
        <v>2981</v>
      </c>
      <c r="B1083" s="2" t="s">
        <v>2982</v>
      </c>
      <c r="C1083" s="8">
        <v>31574</v>
      </c>
      <c r="D1083" s="2">
        <v>1986</v>
      </c>
      <c r="E1083" s="2">
        <v>1980</v>
      </c>
      <c r="F1083" s="2">
        <v>0</v>
      </c>
      <c r="G1083" s="2">
        <v>0</v>
      </c>
      <c r="H1083" s="3" t="s">
        <v>27</v>
      </c>
      <c r="I1083" s="3" t="s">
        <v>4826</v>
      </c>
      <c r="J1083" s="3" t="s">
        <v>2983</v>
      </c>
      <c r="K1083" s="21" t="s">
        <v>2984</v>
      </c>
      <c r="L1083" s="10">
        <v>30881</v>
      </c>
      <c r="M1083" s="4">
        <f>12+11</f>
        <v>23</v>
      </c>
      <c r="N1083" s="2">
        <v>98</v>
      </c>
      <c r="O1083" s="2">
        <v>2</v>
      </c>
      <c r="Q1083" s="2">
        <v>0</v>
      </c>
      <c r="R1083" s="2">
        <v>0</v>
      </c>
      <c r="S1083" s="2">
        <v>1</v>
      </c>
      <c r="T1083" s="2">
        <v>0</v>
      </c>
      <c r="U1083" s="2">
        <v>0</v>
      </c>
      <c r="V1083" s="2">
        <v>0</v>
      </c>
      <c r="W1083" s="2">
        <v>1</v>
      </c>
      <c r="X1083" s="2">
        <v>4</v>
      </c>
      <c r="Y1083" s="2">
        <v>1</v>
      </c>
      <c r="Z1083" s="27">
        <v>1985.104</v>
      </c>
      <c r="AA1083" s="31">
        <v>1986.05</v>
      </c>
    </row>
    <row r="1084" spans="1:27" x14ac:dyDescent="0.2">
      <c r="A1084" s="3" t="s">
        <v>2978</v>
      </c>
      <c r="B1084" s="2" t="s">
        <v>2979</v>
      </c>
      <c r="C1084" s="8">
        <v>31582</v>
      </c>
      <c r="D1084" s="2">
        <v>1986</v>
      </c>
      <c r="E1084" s="2">
        <v>1980</v>
      </c>
      <c r="F1084" s="2">
        <v>0</v>
      </c>
      <c r="G1084" s="2">
        <v>0</v>
      </c>
      <c r="H1084" s="3" t="s">
        <v>27</v>
      </c>
      <c r="I1084" s="3" t="s">
        <v>5021</v>
      </c>
      <c r="J1084" s="3" t="s">
        <v>5022</v>
      </c>
      <c r="K1084" s="21" t="s">
        <v>5023</v>
      </c>
      <c r="L1084" s="10">
        <v>30426</v>
      </c>
      <c r="M1084" s="4">
        <f>2+36</f>
        <v>38</v>
      </c>
      <c r="N1084" s="2">
        <v>98</v>
      </c>
      <c r="O1084" s="2">
        <v>4</v>
      </c>
      <c r="Q1084" s="2">
        <v>0</v>
      </c>
      <c r="R1084" s="2">
        <v>0</v>
      </c>
      <c r="S1084" s="2">
        <v>1</v>
      </c>
      <c r="T1084" s="2">
        <v>0</v>
      </c>
      <c r="U1084" s="2">
        <v>1</v>
      </c>
      <c r="V1084" s="2">
        <v>0</v>
      </c>
      <c r="W1084" s="2">
        <v>1</v>
      </c>
      <c r="X1084" s="2">
        <v>0</v>
      </c>
      <c r="Y1084" s="2">
        <v>1</v>
      </c>
      <c r="Z1084" s="27">
        <v>1985.117</v>
      </c>
      <c r="AA1084" s="31">
        <v>1986.06</v>
      </c>
    </row>
    <row r="1085" spans="1:27" x14ac:dyDescent="0.2">
      <c r="A1085" s="3" t="s">
        <v>3002</v>
      </c>
      <c r="B1085" s="2" t="s">
        <v>3003</v>
      </c>
      <c r="C1085" s="8">
        <v>31590</v>
      </c>
      <c r="D1085" s="2">
        <v>1986</v>
      </c>
      <c r="E1085" s="2">
        <v>1980</v>
      </c>
      <c r="F1085" s="2">
        <v>0</v>
      </c>
      <c r="G1085" s="2">
        <v>0</v>
      </c>
      <c r="H1085" s="3" t="s">
        <v>27</v>
      </c>
      <c r="I1085" s="3" t="s">
        <v>4850</v>
      </c>
      <c r="J1085" s="3" t="s">
        <v>3004</v>
      </c>
      <c r="K1085" s="21" t="s">
        <v>3005</v>
      </c>
      <c r="L1085" s="10">
        <v>30202</v>
      </c>
      <c r="M1085" s="4">
        <f>9+(12*3)</f>
        <v>45</v>
      </c>
      <c r="N1085" s="2">
        <v>97</v>
      </c>
      <c r="O1085" s="2">
        <v>3</v>
      </c>
      <c r="Q1085" s="2">
        <v>0</v>
      </c>
      <c r="R1085" s="2">
        <v>0</v>
      </c>
      <c r="S1085" s="2">
        <v>1</v>
      </c>
      <c r="T1085" s="2">
        <v>0</v>
      </c>
      <c r="U1085" s="2">
        <v>1</v>
      </c>
      <c r="V1085" s="2">
        <v>0</v>
      </c>
      <c r="W1085" s="2">
        <v>1</v>
      </c>
      <c r="X1085" s="2">
        <v>3</v>
      </c>
      <c r="Y1085" s="2">
        <v>1</v>
      </c>
      <c r="Z1085" s="27">
        <v>1985.1389999999999</v>
      </c>
      <c r="AA1085" s="31">
        <v>1986.07</v>
      </c>
    </row>
    <row r="1086" spans="1:27" x14ac:dyDescent="0.2">
      <c r="A1086" s="3" t="s">
        <v>2999</v>
      </c>
      <c r="B1086" s="2" t="s">
        <v>3000</v>
      </c>
      <c r="C1086" s="8">
        <v>31595</v>
      </c>
      <c r="D1086" s="2">
        <v>1986</v>
      </c>
      <c r="E1086" s="2">
        <v>1980</v>
      </c>
      <c r="F1086" s="2">
        <v>0</v>
      </c>
      <c r="G1086" s="2">
        <v>0</v>
      </c>
      <c r="H1086" s="3" t="s">
        <v>27</v>
      </c>
      <c r="I1086" s="3" t="s">
        <v>4831</v>
      </c>
      <c r="J1086" s="3" t="s">
        <v>3001</v>
      </c>
      <c r="K1086" s="21" t="s">
        <v>2386</v>
      </c>
      <c r="L1086" s="10">
        <v>23560</v>
      </c>
      <c r="M1086" s="4">
        <f>12*22</f>
        <v>264</v>
      </c>
      <c r="N1086" s="2">
        <v>88</v>
      </c>
      <c r="O1086" s="2">
        <v>3</v>
      </c>
      <c r="Q1086" s="2">
        <v>1</v>
      </c>
      <c r="R1086" s="2">
        <v>1</v>
      </c>
      <c r="S1086" s="2">
        <v>1</v>
      </c>
      <c r="T1086" s="2">
        <v>1</v>
      </c>
      <c r="U1086" s="2">
        <v>0</v>
      </c>
      <c r="V1086" s="2">
        <v>0</v>
      </c>
      <c r="W1086" s="2">
        <v>1</v>
      </c>
      <c r="X1086" s="2">
        <v>4</v>
      </c>
      <c r="Y1086" s="2">
        <v>1</v>
      </c>
      <c r="Z1086" s="27">
        <v>1985.153</v>
      </c>
      <c r="AA1086" s="31">
        <v>1986.08</v>
      </c>
    </row>
    <row r="1087" spans="1:27" x14ac:dyDescent="0.2">
      <c r="A1087" s="3" t="s">
        <v>4237</v>
      </c>
      <c r="B1087" s="2" t="s">
        <v>4238</v>
      </c>
      <c r="C1087" s="8">
        <v>31600</v>
      </c>
      <c r="D1087" s="2">
        <v>1986</v>
      </c>
      <c r="E1087" s="2">
        <v>1980</v>
      </c>
      <c r="F1087" s="2">
        <v>2</v>
      </c>
      <c r="G1087" s="2">
        <v>1</v>
      </c>
      <c r="H1087" s="3" t="s">
        <v>3434</v>
      </c>
      <c r="I1087" t="s">
        <v>5069</v>
      </c>
      <c r="J1087" s="3" t="s">
        <v>4239</v>
      </c>
      <c r="K1087" s="21" t="s">
        <v>4240</v>
      </c>
      <c r="L1087" s="10">
        <v>31393</v>
      </c>
      <c r="M1087" s="4">
        <f>7</f>
        <v>7</v>
      </c>
      <c r="N1087" s="2">
        <v>99</v>
      </c>
      <c r="O1087" s="2">
        <v>6</v>
      </c>
      <c r="Q1087" s="2">
        <v>1</v>
      </c>
      <c r="R1087" s="2">
        <v>0</v>
      </c>
      <c r="S1087" s="2">
        <v>0</v>
      </c>
      <c r="T1087" s="2">
        <v>0</v>
      </c>
      <c r="U1087" s="2">
        <v>0</v>
      </c>
      <c r="V1087" s="2">
        <v>1</v>
      </c>
      <c r="W1087" s="2">
        <v>1</v>
      </c>
      <c r="X1087" s="2">
        <v>2</v>
      </c>
      <c r="Y1087" s="2">
        <v>1</v>
      </c>
      <c r="Z1087" s="27">
        <v>1985.162</v>
      </c>
      <c r="AA1087" s="31">
        <v>1986.09</v>
      </c>
    </row>
    <row r="1088" spans="1:27" x14ac:dyDescent="0.2">
      <c r="A1088" s="3" t="s">
        <v>2989</v>
      </c>
      <c r="B1088" s="2" t="s">
        <v>2990</v>
      </c>
      <c r="C1088" s="8">
        <v>31600</v>
      </c>
      <c r="D1088" s="2">
        <v>1986</v>
      </c>
      <c r="E1088" s="2">
        <v>1980</v>
      </c>
      <c r="F1088" s="2">
        <v>0</v>
      </c>
      <c r="G1088" s="2">
        <v>0</v>
      </c>
      <c r="H1088" s="3" t="s">
        <v>27</v>
      </c>
      <c r="I1088" s="3" t="s">
        <v>4849</v>
      </c>
      <c r="J1088" s="3" t="s">
        <v>2991</v>
      </c>
      <c r="K1088" s="21" t="s">
        <v>2992</v>
      </c>
      <c r="L1088" s="10">
        <v>27325</v>
      </c>
      <c r="M1088" s="4">
        <f>9+(12*11)</f>
        <v>141</v>
      </c>
      <c r="N1088" s="2">
        <v>93</v>
      </c>
      <c r="O1088" s="2">
        <v>6</v>
      </c>
      <c r="P1088" s="2">
        <v>5</v>
      </c>
      <c r="Q1088" s="2">
        <v>0</v>
      </c>
      <c r="R1088" s="2">
        <v>0</v>
      </c>
      <c r="S1088" s="2">
        <v>1</v>
      </c>
      <c r="T1088" s="2">
        <v>1</v>
      </c>
      <c r="U1088" s="2">
        <v>1</v>
      </c>
      <c r="V1088" s="2">
        <v>0</v>
      </c>
      <c r="W1088" s="2">
        <v>1</v>
      </c>
      <c r="X1088" s="2">
        <v>2</v>
      </c>
      <c r="Y1088" s="2">
        <v>1</v>
      </c>
      <c r="Z1088" s="27">
        <v>1985.165</v>
      </c>
      <c r="AA1088" s="31">
        <v>1986.1</v>
      </c>
    </row>
    <row r="1089" spans="1:27" x14ac:dyDescent="0.2">
      <c r="A1089" s="3" t="s">
        <v>4241</v>
      </c>
      <c r="B1089" s="2" t="s">
        <v>4242</v>
      </c>
      <c r="C1089" s="8">
        <v>31761</v>
      </c>
      <c r="D1089" s="2">
        <v>1986</v>
      </c>
      <c r="E1089" s="2">
        <v>1980</v>
      </c>
      <c r="F1089" s="2">
        <v>1</v>
      </c>
      <c r="G1089" s="2">
        <v>1</v>
      </c>
      <c r="H1089" s="3" t="s">
        <v>3442</v>
      </c>
      <c r="I1089" s="3" t="s">
        <v>4707</v>
      </c>
      <c r="J1089" s="3" t="s">
        <v>2875</v>
      </c>
      <c r="K1089" s="21" t="s">
        <v>2876</v>
      </c>
      <c r="L1089" s="10">
        <v>27891</v>
      </c>
      <c r="M1089" s="4">
        <f>7+120</f>
        <v>127</v>
      </c>
      <c r="N1089" s="2">
        <v>94</v>
      </c>
      <c r="O1089" s="2">
        <v>2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</v>
      </c>
      <c r="W1089" s="2">
        <v>1</v>
      </c>
      <c r="X1089" s="2">
        <v>4</v>
      </c>
      <c r="Y1089" s="2">
        <v>1</v>
      </c>
      <c r="Z1089" s="27">
        <v>1986.0150000000001</v>
      </c>
      <c r="AA1089" s="31">
        <v>1986.11</v>
      </c>
    </row>
    <row r="1090" spans="1:27" x14ac:dyDescent="0.2">
      <c r="A1090" s="3" t="s">
        <v>3015</v>
      </c>
      <c r="B1090" s="2" t="s">
        <v>3016</v>
      </c>
      <c r="C1090" s="8">
        <v>31833</v>
      </c>
      <c r="D1090" s="2">
        <v>1987</v>
      </c>
      <c r="E1090" s="2">
        <v>1980</v>
      </c>
      <c r="F1090" s="2">
        <v>0</v>
      </c>
      <c r="G1090" s="2">
        <v>0</v>
      </c>
      <c r="H1090" s="3" t="s">
        <v>27</v>
      </c>
      <c r="I1090" s="3" t="s">
        <v>4848</v>
      </c>
      <c r="J1090" s="3" t="s">
        <v>3017</v>
      </c>
      <c r="K1090" s="21" t="s">
        <v>3018</v>
      </c>
      <c r="L1090" s="10">
        <v>28542</v>
      </c>
      <c r="M1090" s="4">
        <f>12*9</f>
        <v>108</v>
      </c>
      <c r="N1090" s="2">
        <v>95</v>
      </c>
      <c r="O1090" s="2">
        <v>4</v>
      </c>
      <c r="Q1090" s="2">
        <v>0</v>
      </c>
      <c r="R1090" s="2">
        <v>0</v>
      </c>
      <c r="S1090" s="2">
        <v>1</v>
      </c>
      <c r="T1090" s="2">
        <v>0</v>
      </c>
      <c r="U1090" s="2">
        <v>1</v>
      </c>
      <c r="V1090" s="2">
        <v>0</v>
      </c>
      <c r="W1090" s="2">
        <v>1</v>
      </c>
      <c r="X1090" s="2">
        <v>0</v>
      </c>
      <c r="Y1090" s="2">
        <v>1</v>
      </c>
      <c r="Z1090" s="27">
        <v>1986.0429999999999</v>
      </c>
      <c r="AA1090" s="31">
        <v>1987.01</v>
      </c>
    </row>
    <row r="1091" spans="1:27" x14ac:dyDescent="0.2">
      <c r="A1091" s="3" t="s">
        <v>3040</v>
      </c>
      <c r="B1091" s="2" t="s">
        <v>3041</v>
      </c>
      <c r="C1091" s="8">
        <v>31867</v>
      </c>
      <c r="D1091" s="2">
        <v>1987</v>
      </c>
      <c r="E1091" s="2">
        <v>1980</v>
      </c>
      <c r="F1091" s="2">
        <v>0</v>
      </c>
      <c r="G1091" s="2">
        <v>0</v>
      </c>
      <c r="H1091" s="3" t="s">
        <v>27</v>
      </c>
      <c r="I1091" s="3" t="s">
        <v>3042</v>
      </c>
      <c r="J1091" s="3" t="s">
        <v>3042</v>
      </c>
      <c r="K1091" s="21" t="s">
        <v>3043</v>
      </c>
      <c r="L1091" s="10">
        <v>17007</v>
      </c>
      <c r="M1091" s="4">
        <f>8+(12*40)</f>
        <v>488</v>
      </c>
      <c r="N1091" s="2">
        <v>79</v>
      </c>
      <c r="O1091" s="2">
        <v>4</v>
      </c>
      <c r="Q1091" s="2">
        <v>0</v>
      </c>
      <c r="R1091" s="2">
        <v>0</v>
      </c>
      <c r="S1091" s="2">
        <v>1</v>
      </c>
      <c r="T1091" s="2">
        <v>1</v>
      </c>
      <c r="U1091" s="2">
        <v>1</v>
      </c>
      <c r="V1091" s="2">
        <v>0</v>
      </c>
      <c r="W1091" s="2">
        <v>1</v>
      </c>
      <c r="X1091" s="2">
        <v>0</v>
      </c>
      <c r="Y1091" s="2">
        <v>1</v>
      </c>
      <c r="Z1091" s="27">
        <v>1986.0630000000001</v>
      </c>
      <c r="AA1091" s="31">
        <v>1987.02</v>
      </c>
    </row>
    <row r="1092" spans="1:27" x14ac:dyDescent="0.2">
      <c r="A1092" s="3" t="s">
        <v>4243</v>
      </c>
      <c r="B1092" s="2" t="s">
        <v>4244</v>
      </c>
      <c r="C1092" s="8">
        <v>31889</v>
      </c>
      <c r="D1092" s="2">
        <v>1987</v>
      </c>
      <c r="E1092" s="2">
        <v>1980</v>
      </c>
      <c r="F1092" s="2">
        <v>1</v>
      </c>
      <c r="G1092" s="2">
        <v>1</v>
      </c>
      <c r="H1092" s="3" t="s">
        <v>3442</v>
      </c>
      <c r="I1092" s="3" t="s">
        <v>4847</v>
      </c>
      <c r="J1092" s="3" t="s">
        <v>4245</v>
      </c>
      <c r="K1092" s="21" t="s">
        <v>4246</v>
      </c>
      <c r="L1092" s="10">
        <v>30322</v>
      </c>
      <c r="M1092" s="4">
        <f>15</f>
        <v>15</v>
      </c>
      <c r="N1092" s="2">
        <v>97</v>
      </c>
      <c r="O1092" s="2">
        <v>1</v>
      </c>
      <c r="Q1092" s="2">
        <v>1</v>
      </c>
      <c r="R1092" s="2">
        <v>0</v>
      </c>
      <c r="S1092" s="2">
        <v>1</v>
      </c>
      <c r="T1092" s="2">
        <v>0</v>
      </c>
      <c r="U1092" s="2">
        <v>1</v>
      </c>
      <c r="V1092" s="2">
        <v>0</v>
      </c>
      <c r="W1092" s="2">
        <v>1</v>
      </c>
      <c r="X1092" s="2">
        <v>5</v>
      </c>
      <c r="Y1092" s="2">
        <v>1</v>
      </c>
      <c r="Z1092" s="27">
        <v>1986.077</v>
      </c>
      <c r="AA1092" s="31">
        <v>1987.03</v>
      </c>
    </row>
    <row r="1093" spans="1:27" x14ac:dyDescent="0.2">
      <c r="A1093" s="3" t="s">
        <v>4251</v>
      </c>
      <c r="B1093" s="2" t="s">
        <v>4252</v>
      </c>
      <c r="C1093" s="8">
        <v>31895</v>
      </c>
      <c r="D1093" s="2">
        <v>1987</v>
      </c>
      <c r="E1093" s="2">
        <v>1980</v>
      </c>
      <c r="F1093" s="2">
        <v>1</v>
      </c>
      <c r="G1093" s="2">
        <v>1</v>
      </c>
      <c r="H1093" s="3" t="s">
        <v>3442</v>
      </c>
      <c r="I1093" s="3" t="s">
        <v>4723</v>
      </c>
      <c r="J1093" s="3" t="s">
        <v>4253</v>
      </c>
      <c r="K1093" s="21" t="s">
        <v>4254</v>
      </c>
      <c r="L1093" s="10">
        <v>26590</v>
      </c>
      <c r="M1093" s="4">
        <f>6+(12*14)</f>
        <v>174</v>
      </c>
      <c r="N1093" s="2">
        <v>92</v>
      </c>
      <c r="O1093" s="2">
        <v>1</v>
      </c>
      <c r="Q1093" s="2">
        <v>1</v>
      </c>
      <c r="R1093" s="2">
        <v>0</v>
      </c>
      <c r="S1093" s="2">
        <v>1</v>
      </c>
      <c r="T1093" s="2">
        <v>1</v>
      </c>
      <c r="U1093" s="2">
        <v>1</v>
      </c>
      <c r="V1093" s="2">
        <v>0</v>
      </c>
      <c r="W1093" s="2">
        <v>1</v>
      </c>
      <c r="X1093" s="2">
        <v>2</v>
      </c>
      <c r="Y1093" s="2">
        <v>1</v>
      </c>
      <c r="Z1093" s="27">
        <v>1986.0840000000001</v>
      </c>
      <c r="AA1093" s="31">
        <v>1987.04</v>
      </c>
    </row>
    <row r="1094" spans="1:27" x14ac:dyDescent="0.2">
      <c r="A1094" s="3" t="s">
        <v>3019</v>
      </c>
      <c r="B1094" s="2" t="s">
        <v>3020</v>
      </c>
      <c r="C1094" s="8">
        <v>31895</v>
      </c>
      <c r="D1094" s="2">
        <v>1987</v>
      </c>
      <c r="E1094" s="2">
        <v>1980</v>
      </c>
      <c r="F1094" s="2">
        <v>0</v>
      </c>
      <c r="G1094" s="2">
        <v>0</v>
      </c>
      <c r="H1094" s="3" t="s">
        <v>27</v>
      </c>
      <c r="I1094" s="3" t="s">
        <v>3021</v>
      </c>
      <c r="J1094" s="3" t="s">
        <v>3021</v>
      </c>
      <c r="K1094" s="21" t="s">
        <v>3022</v>
      </c>
      <c r="L1094" s="10">
        <v>14039</v>
      </c>
      <c r="M1094" s="4">
        <f>10+(12*48)</f>
        <v>586</v>
      </c>
      <c r="N1094" s="2">
        <v>75</v>
      </c>
      <c r="O1094" s="2">
        <v>2</v>
      </c>
      <c r="Q1094" s="2">
        <v>0</v>
      </c>
      <c r="R1094" s="2">
        <v>0</v>
      </c>
      <c r="S1094" s="2">
        <v>1</v>
      </c>
      <c r="T1094" s="2">
        <v>0</v>
      </c>
      <c r="U1094" s="2">
        <v>1</v>
      </c>
      <c r="V1094" s="2">
        <v>0</v>
      </c>
      <c r="W1094" s="2">
        <v>1</v>
      </c>
      <c r="X1094" s="2">
        <v>3</v>
      </c>
      <c r="Y1094" s="2">
        <v>1</v>
      </c>
      <c r="Z1094" s="27">
        <v>1986.087</v>
      </c>
      <c r="AA1094" s="31">
        <v>1987.05</v>
      </c>
    </row>
    <row r="1095" spans="1:27" x14ac:dyDescent="0.2">
      <c r="A1095" s="3" t="s">
        <v>4247</v>
      </c>
      <c r="B1095" s="2" t="s">
        <v>4248</v>
      </c>
      <c r="C1095" s="8">
        <v>31915</v>
      </c>
      <c r="D1095" s="2">
        <v>1987</v>
      </c>
      <c r="E1095" s="2">
        <v>1980</v>
      </c>
      <c r="F1095" s="2">
        <v>2</v>
      </c>
      <c r="G1095" s="2">
        <v>1</v>
      </c>
      <c r="H1095" s="3" t="s">
        <v>3434</v>
      </c>
      <c r="I1095" s="3" t="s">
        <v>4249</v>
      </c>
      <c r="J1095" s="3" t="s">
        <v>4249</v>
      </c>
      <c r="K1095" s="21" t="s">
        <v>4250</v>
      </c>
      <c r="L1095" s="10">
        <v>30328</v>
      </c>
      <c r="M1095" s="4">
        <f>4+48</f>
        <v>52</v>
      </c>
      <c r="N1095" s="2">
        <v>97</v>
      </c>
      <c r="O1095" s="2">
        <v>4</v>
      </c>
      <c r="Q1095" s="2">
        <v>0</v>
      </c>
      <c r="R1095" s="2">
        <v>0</v>
      </c>
      <c r="S1095" s="2">
        <v>1</v>
      </c>
      <c r="T1095" s="2">
        <v>0</v>
      </c>
      <c r="U1095" s="2">
        <v>0</v>
      </c>
      <c r="V1095" s="2">
        <v>1</v>
      </c>
      <c r="W1095" s="2">
        <v>1</v>
      </c>
      <c r="X1095" s="2">
        <v>0</v>
      </c>
      <c r="Y1095" s="2">
        <v>1</v>
      </c>
      <c r="Z1095" s="27">
        <v>1986.098</v>
      </c>
      <c r="AA1095" s="31">
        <v>1987.06</v>
      </c>
    </row>
    <row r="1096" spans="1:27" x14ac:dyDescent="0.2">
      <c r="A1096" s="3" t="s">
        <v>3044</v>
      </c>
      <c r="B1096" s="2" t="s">
        <v>3045</v>
      </c>
      <c r="C1096" s="8">
        <v>31923</v>
      </c>
      <c r="D1096" s="2">
        <v>1987</v>
      </c>
      <c r="E1096" s="2">
        <v>1980</v>
      </c>
      <c r="F1096" s="2">
        <v>0</v>
      </c>
      <c r="G1096" s="2">
        <v>0</v>
      </c>
      <c r="H1096" s="3" t="s">
        <v>27</v>
      </c>
      <c r="I1096" s="3" t="s">
        <v>5074</v>
      </c>
      <c r="J1096" s="3" t="s">
        <v>3046</v>
      </c>
      <c r="K1096" s="21" t="s">
        <v>3047</v>
      </c>
      <c r="L1096" s="10">
        <v>30967</v>
      </c>
      <c r="M1096" s="4">
        <f>7+24</f>
        <v>31</v>
      </c>
      <c r="N1096" s="2">
        <v>98</v>
      </c>
      <c r="O1096" s="2">
        <v>1</v>
      </c>
      <c r="Q1096" s="2">
        <v>1</v>
      </c>
      <c r="R1096" s="2">
        <v>0</v>
      </c>
      <c r="S1096" s="2">
        <v>1</v>
      </c>
      <c r="T1096" s="2">
        <v>1</v>
      </c>
      <c r="U1096" s="2">
        <v>1</v>
      </c>
      <c r="V1096" s="2">
        <v>0</v>
      </c>
      <c r="W1096" s="2">
        <v>1</v>
      </c>
      <c r="X1096" s="2">
        <v>3</v>
      </c>
      <c r="Y1096" s="2">
        <v>1</v>
      </c>
      <c r="Z1096" s="27">
        <v>1986.1020000000001</v>
      </c>
      <c r="AA1096" s="31">
        <v>1987.07</v>
      </c>
    </row>
    <row r="1097" spans="1:27" x14ac:dyDescent="0.2">
      <c r="A1097" s="3" t="s">
        <v>3035</v>
      </c>
      <c r="B1097" s="2" t="s">
        <v>3036</v>
      </c>
      <c r="C1097" s="8">
        <v>31950</v>
      </c>
      <c r="D1097" s="2">
        <v>1987</v>
      </c>
      <c r="E1097" s="2">
        <v>1980</v>
      </c>
      <c r="F1097" s="2">
        <v>0</v>
      </c>
      <c r="G1097" s="2">
        <v>0</v>
      </c>
      <c r="H1097" s="3" t="s">
        <v>27</v>
      </c>
      <c r="I1097" s="3" t="s">
        <v>3037</v>
      </c>
      <c r="J1097" s="3" t="s">
        <v>3038</v>
      </c>
      <c r="K1097" s="3" t="s">
        <v>3039</v>
      </c>
      <c r="L1097" s="10">
        <v>27740</v>
      </c>
      <c r="M1097" s="4">
        <f>11*12+7</f>
        <v>139</v>
      </c>
      <c r="N1097" s="2">
        <v>94</v>
      </c>
      <c r="O1097" s="2">
        <v>1</v>
      </c>
      <c r="Q1097" s="2">
        <v>0</v>
      </c>
      <c r="R1097" s="2">
        <v>0</v>
      </c>
      <c r="S1097" s="2">
        <v>1</v>
      </c>
      <c r="T1097" s="2">
        <v>1</v>
      </c>
      <c r="U1097" s="2">
        <v>0</v>
      </c>
      <c r="V1097" s="2">
        <v>0</v>
      </c>
      <c r="W1097" s="2">
        <v>1</v>
      </c>
      <c r="X1097" s="2">
        <v>4</v>
      </c>
      <c r="Y1097" s="2">
        <v>1</v>
      </c>
      <c r="Z1097" s="27">
        <v>1986.1410000000001</v>
      </c>
      <c r="AA1097" s="31">
        <v>1987.08</v>
      </c>
    </row>
    <row r="1098" spans="1:27" x14ac:dyDescent="0.2">
      <c r="A1098" s="3" t="s">
        <v>3031</v>
      </c>
      <c r="B1098" s="2" t="s">
        <v>3032</v>
      </c>
      <c r="C1098" s="8">
        <v>31951</v>
      </c>
      <c r="D1098" s="2">
        <v>1987</v>
      </c>
      <c r="E1098" s="2">
        <v>1980</v>
      </c>
      <c r="F1098" s="2">
        <v>0</v>
      </c>
      <c r="G1098" s="2">
        <v>0</v>
      </c>
      <c r="H1098" s="3" t="s">
        <v>27</v>
      </c>
      <c r="I1098" t="s">
        <v>5088</v>
      </c>
      <c r="J1098" s="3" t="s">
        <v>3033</v>
      </c>
      <c r="K1098" s="21" t="s">
        <v>3034</v>
      </c>
      <c r="L1098" s="10">
        <v>30880</v>
      </c>
      <c r="M1098" s="4">
        <f>11+24</f>
        <v>35</v>
      </c>
      <c r="N1098" s="2">
        <v>98</v>
      </c>
      <c r="O1098" s="2">
        <v>5</v>
      </c>
      <c r="Q1098" s="2">
        <v>1</v>
      </c>
      <c r="R1098" s="2">
        <v>1</v>
      </c>
      <c r="S1098" s="2">
        <v>1</v>
      </c>
      <c r="T1098" s="2">
        <v>1</v>
      </c>
      <c r="U1098" s="2">
        <v>0</v>
      </c>
      <c r="V1098" s="2">
        <v>0</v>
      </c>
      <c r="W1098" s="2">
        <v>0</v>
      </c>
      <c r="X1098" s="2">
        <v>2</v>
      </c>
      <c r="Y1098" s="2">
        <v>1</v>
      </c>
      <c r="Z1098" s="27">
        <v>1986.144</v>
      </c>
      <c r="AA1098" s="31">
        <v>1987.09</v>
      </c>
    </row>
    <row r="1099" spans="1:27" x14ac:dyDescent="0.2">
      <c r="A1099" s="3" t="s">
        <v>3023</v>
      </c>
      <c r="B1099" s="2" t="s">
        <v>3024</v>
      </c>
      <c r="C1099" s="8">
        <v>31951</v>
      </c>
      <c r="D1099" s="2">
        <v>1987</v>
      </c>
      <c r="E1099" s="2">
        <v>1980</v>
      </c>
      <c r="F1099" s="2">
        <v>0</v>
      </c>
      <c r="G1099" s="2">
        <v>0</v>
      </c>
      <c r="H1099" s="3" t="s">
        <v>27</v>
      </c>
      <c r="I1099" s="3" t="s">
        <v>159</v>
      </c>
      <c r="J1099" s="3" t="s">
        <v>160</v>
      </c>
      <c r="K1099" s="18" t="s">
        <v>161</v>
      </c>
      <c r="L1099" s="4" t="s">
        <v>162</v>
      </c>
      <c r="M1099" s="4">
        <f>4+(12*194)</f>
        <v>2332</v>
      </c>
      <c r="N1099" s="2">
        <v>2</v>
      </c>
      <c r="O1099" s="2">
        <v>5</v>
      </c>
      <c r="Q1099" s="2">
        <v>1</v>
      </c>
      <c r="R1099" s="2">
        <v>0</v>
      </c>
      <c r="S1099" s="2">
        <v>0</v>
      </c>
      <c r="T1099" s="2">
        <v>1</v>
      </c>
      <c r="U1099" s="2">
        <v>1</v>
      </c>
      <c r="V1099" s="2">
        <v>0</v>
      </c>
      <c r="W1099" s="2">
        <v>0</v>
      </c>
      <c r="X1099" s="2">
        <v>0</v>
      </c>
      <c r="Y1099" s="2">
        <v>1</v>
      </c>
      <c r="Z1099" s="27">
        <v>1986.145</v>
      </c>
      <c r="AA1099" s="31">
        <v>1987.1</v>
      </c>
    </row>
    <row r="1100" spans="1:27" x14ac:dyDescent="0.2">
      <c r="A1100" s="3" t="s">
        <v>3012</v>
      </c>
      <c r="B1100" s="2" t="s">
        <v>3013</v>
      </c>
      <c r="C1100" s="8">
        <v>31952</v>
      </c>
      <c r="D1100" s="2">
        <v>1987</v>
      </c>
      <c r="E1100" s="2">
        <v>1980</v>
      </c>
      <c r="F1100" s="2">
        <v>0</v>
      </c>
      <c r="G1100" s="2">
        <v>0</v>
      </c>
      <c r="H1100" s="3" t="s">
        <v>27</v>
      </c>
      <c r="I1100" s="3" t="s">
        <v>4831</v>
      </c>
      <c r="J1100" s="3" t="s">
        <v>3014</v>
      </c>
      <c r="K1100" s="21" t="s">
        <v>2386</v>
      </c>
      <c r="L1100" s="10">
        <v>23560</v>
      </c>
      <c r="M1100" s="4">
        <f>11+(22*12)</f>
        <v>275</v>
      </c>
      <c r="N1100" s="2">
        <v>88</v>
      </c>
      <c r="O1100" s="2">
        <v>2</v>
      </c>
      <c r="Q1100" s="2">
        <v>1</v>
      </c>
      <c r="R1100" s="2">
        <v>0</v>
      </c>
      <c r="S1100" s="2">
        <v>1</v>
      </c>
      <c r="T1100" s="2">
        <v>0</v>
      </c>
      <c r="U1100" s="2">
        <v>1</v>
      </c>
      <c r="V1100" s="2">
        <v>0</v>
      </c>
      <c r="W1100" s="2">
        <v>1</v>
      </c>
      <c r="X1100" s="2">
        <v>0</v>
      </c>
      <c r="Y1100" s="2">
        <v>1</v>
      </c>
      <c r="Z1100" s="27">
        <v>1986.1489999999999</v>
      </c>
      <c r="AA1100" s="31">
        <v>1987.11</v>
      </c>
    </row>
    <row r="1101" spans="1:27" x14ac:dyDescent="0.2">
      <c r="A1101" s="3" t="s">
        <v>3029</v>
      </c>
      <c r="B1101" s="2" t="s">
        <v>3030</v>
      </c>
      <c r="C1101" s="8">
        <v>31953</v>
      </c>
      <c r="D1101" s="2">
        <v>1987</v>
      </c>
      <c r="E1101" s="2">
        <v>1980</v>
      </c>
      <c r="F1101" s="2">
        <v>0</v>
      </c>
      <c r="G1101" s="2">
        <v>0</v>
      </c>
      <c r="H1101" s="3" t="s">
        <v>27</v>
      </c>
      <c r="I1101" s="3" t="s">
        <v>4845</v>
      </c>
      <c r="J1101" s="3" t="s">
        <v>2513</v>
      </c>
      <c r="K1101" s="21" t="s">
        <v>2250</v>
      </c>
      <c r="L1101" s="10">
        <v>18388</v>
      </c>
      <c r="M1101" s="4">
        <f>1+(12*37)</f>
        <v>445</v>
      </c>
      <c r="N1101" s="2">
        <v>81</v>
      </c>
      <c r="O1101" s="2">
        <v>1</v>
      </c>
      <c r="P1101" s="2">
        <v>6</v>
      </c>
      <c r="Q1101" s="2">
        <v>0</v>
      </c>
      <c r="R1101" s="2">
        <v>0</v>
      </c>
      <c r="S1101" s="2">
        <v>1</v>
      </c>
      <c r="T1101" s="2">
        <v>1</v>
      </c>
      <c r="U1101" s="2">
        <v>0</v>
      </c>
      <c r="V1101" s="2">
        <v>0</v>
      </c>
      <c r="W1101" s="2">
        <v>1</v>
      </c>
      <c r="X1101" s="2">
        <v>3</v>
      </c>
      <c r="Y1101" s="2">
        <v>1</v>
      </c>
      <c r="Z1101" s="27">
        <v>1986.153</v>
      </c>
      <c r="AA1101" s="31">
        <v>1987.12</v>
      </c>
    </row>
    <row r="1102" spans="1:27" x14ac:dyDescent="0.2">
      <c r="A1102" s="3" t="s">
        <v>3025</v>
      </c>
      <c r="B1102" s="2" t="s">
        <v>3026</v>
      </c>
      <c r="C1102" s="8">
        <v>31953</v>
      </c>
      <c r="D1102" s="2">
        <v>1987</v>
      </c>
      <c r="E1102" s="2">
        <v>1980</v>
      </c>
      <c r="F1102" s="2">
        <v>0</v>
      </c>
      <c r="G1102" s="2">
        <v>0</v>
      </c>
      <c r="H1102" s="3" t="s">
        <v>27</v>
      </c>
      <c r="I1102" s="3" t="s">
        <v>4844</v>
      </c>
      <c r="J1102" s="3" t="s">
        <v>3027</v>
      </c>
      <c r="K1102" s="21" t="s">
        <v>3028</v>
      </c>
      <c r="L1102" s="10">
        <v>28802</v>
      </c>
      <c r="M1102" s="4">
        <f>7+(12*8)</f>
        <v>103</v>
      </c>
      <c r="N1102" s="2">
        <v>95</v>
      </c>
      <c r="O1102" s="2">
        <v>2</v>
      </c>
      <c r="Q1102" s="2">
        <v>0</v>
      </c>
      <c r="R1102" s="2">
        <v>0</v>
      </c>
      <c r="S1102" s="2">
        <v>0</v>
      </c>
      <c r="T1102" s="2">
        <v>1</v>
      </c>
      <c r="U1102" s="2">
        <v>0</v>
      </c>
      <c r="V1102" s="2">
        <v>0</v>
      </c>
      <c r="W1102" s="2">
        <v>0</v>
      </c>
      <c r="X1102" s="2">
        <v>4</v>
      </c>
      <c r="Y1102" s="2">
        <v>1</v>
      </c>
      <c r="Z1102" s="27">
        <v>1986.155</v>
      </c>
      <c r="AA1102" s="31">
        <v>1987.13</v>
      </c>
    </row>
    <row r="1103" spans="1:27" x14ac:dyDescent="0.2">
      <c r="A1103" s="3" t="s">
        <v>3009</v>
      </c>
      <c r="B1103" s="2" t="s">
        <v>3010</v>
      </c>
      <c r="C1103" s="8">
        <v>31953</v>
      </c>
      <c r="D1103" s="2">
        <v>1987</v>
      </c>
      <c r="E1103" s="2">
        <v>1980</v>
      </c>
      <c r="F1103" s="2">
        <v>0</v>
      </c>
      <c r="G1103" s="2">
        <v>0</v>
      </c>
      <c r="H1103" s="3" t="s">
        <v>27</v>
      </c>
      <c r="I1103" s="3" t="s">
        <v>4826</v>
      </c>
      <c r="J1103" s="3" t="s">
        <v>3011</v>
      </c>
      <c r="K1103" s="21" t="s">
        <v>2984</v>
      </c>
      <c r="L1103" s="10">
        <v>30881</v>
      </c>
      <c r="M1103" s="4">
        <f>11+24</f>
        <v>35</v>
      </c>
      <c r="N1103" s="2">
        <v>98</v>
      </c>
      <c r="O1103" s="2">
        <v>2</v>
      </c>
      <c r="P1103" s="2">
        <v>4</v>
      </c>
      <c r="Q1103" s="2">
        <v>0</v>
      </c>
      <c r="R1103" s="2">
        <v>0</v>
      </c>
      <c r="S1103" s="2">
        <v>1</v>
      </c>
      <c r="T1103" s="2">
        <v>0</v>
      </c>
      <c r="U1103" s="2">
        <v>1</v>
      </c>
      <c r="V1103" s="2">
        <v>0</v>
      </c>
      <c r="W1103" s="2">
        <v>1</v>
      </c>
      <c r="X1103" s="2">
        <v>3</v>
      </c>
      <c r="Y1103" s="2">
        <v>1</v>
      </c>
      <c r="Z1103" s="27">
        <v>1986.1569999999999</v>
      </c>
      <c r="AA1103" s="31">
        <v>1987.14</v>
      </c>
    </row>
    <row r="1104" spans="1:27" x14ac:dyDescent="0.2">
      <c r="A1104" s="3" t="s">
        <v>4255</v>
      </c>
      <c r="B1104" s="2" t="s">
        <v>4256</v>
      </c>
      <c r="C1104" s="8">
        <v>32224</v>
      </c>
      <c r="D1104" s="2">
        <v>1988</v>
      </c>
      <c r="E1104" s="2">
        <v>1980</v>
      </c>
      <c r="F1104" s="2">
        <v>2</v>
      </c>
      <c r="G1104" s="2">
        <v>1</v>
      </c>
      <c r="H1104" s="3" t="s">
        <v>3434</v>
      </c>
      <c r="I1104" t="s">
        <v>5070</v>
      </c>
      <c r="J1104" s="3" t="s">
        <v>4257</v>
      </c>
      <c r="K1104" s="21" t="s">
        <v>4258</v>
      </c>
      <c r="L1104" s="10">
        <v>13926</v>
      </c>
      <c r="M1104" s="4">
        <f>1+(12*49)</f>
        <v>589</v>
      </c>
      <c r="N1104" s="2">
        <v>75</v>
      </c>
      <c r="O1104" s="2">
        <v>2</v>
      </c>
      <c r="Q1104" s="2">
        <v>0</v>
      </c>
      <c r="R1104" s="2">
        <v>0</v>
      </c>
      <c r="S1104" s="2">
        <v>1</v>
      </c>
      <c r="T1104" s="2">
        <v>1</v>
      </c>
      <c r="U1104" s="2">
        <v>1</v>
      </c>
      <c r="V1104" s="2">
        <v>1</v>
      </c>
      <c r="W1104" s="2">
        <v>0</v>
      </c>
      <c r="X1104" s="2">
        <v>3</v>
      </c>
      <c r="Y1104" s="2">
        <v>1</v>
      </c>
      <c r="Z1104" s="27">
        <v>1987.0509999999999</v>
      </c>
      <c r="AA1104" s="31">
        <v>1988.01</v>
      </c>
    </row>
    <row r="1105" spans="1:27" x14ac:dyDescent="0.2">
      <c r="A1105" s="3" t="s">
        <v>3056</v>
      </c>
      <c r="B1105" s="2" t="s">
        <v>3057</v>
      </c>
      <c r="C1105" s="8">
        <v>32225</v>
      </c>
      <c r="D1105" s="2">
        <v>1988</v>
      </c>
      <c r="E1105" s="2">
        <v>1980</v>
      </c>
      <c r="F1105" s="2">
        <v>0</v>
      </c>
      <c r="G1105" s="2">
        <v>0</v>
      </c>
      <c r="H1105" s="3" t="s">
        <v>27</v>
      </c>
      <c r="I1105" s="3" t="s">
        <v>4724</v>
      </c>
      <c r="J1105" s="3" t="s">
        <v>3058</v>
      </c>
      <c r="K1105" s="21" t="s">
        <v>3051</v>
      </c>
      <c r="L1105" s="10">
        <v>29811</v>
      </c>
      <c r="M1105" s="4">
        <f>7+(12*5)</f>
        <v>67</v>
      </c>
      <c r="N1105" s="2">
        <v>97</v>
      </c>
      <c r="O1105" s="2">
        <v>2</v>
      </c>
      <c r="P1105" s="2">
        <v>4</v>
      </c>
      <c r="Q1105" s="2">
        <v>1</v>
      </c>
      <c r="R1105" s="2">
        <v>1</v>
      </c>
      <c r="S1105" s="2">
        <v>1</v>
      </c>
      <c r="T1105" s="2">
        <v>0</v>
      </c>
      <c r="U1105" s="2">
        <v>1</v>
      </c>
      <c r="V1105" s="2">
        <v>0</v>
      </c>
      <c r="W1105" s="2">
        <v>1</v>
      </c>
      <c r="X1105" s="2">
        <v>3</v>
      </c>
      <c r="Y1105" s="2">
        <v>1</v>
      </c>
      <c r="Z1105" s="27">
        <v>1987.0540000000001</v>
      </c>
      <c r="AA1105" s="31">
        <v>1988.02</v>
      </c>
    </row>
    <row r="1106" spans="1:27" x14ac:dyDescent="0.2">
      <c r="A1106" s="3" t="s">
        <v>3059</v>
      </c>
      <c r="B1106" s="2" t="s">
        <v>3060</v>
      </c>
      <c r="C1106" s="8">
        <v>32252</v>
      </c>
      <c r="D1106" s="2">
        <v>1988</v>
      </c>
      <c r="E1106" s="2">
        <v>1980</v>
      </c>
      <c r="F1106" s="2">
        <v>0</v>
      </c>
      <c r="G1106" s="2">
        <v>0</v>
      </c>
      <c r="H1106" s="3" t="s">
        <v>27</v>
      </c>
      <c r="I1106" s="3" t="s">
        <v>4843</v>
      </c>
      <c r="J1106" s="3" t="s">
        <v>3061</v>
      </c>
      <c r="K1106" s="21" t="s">
        <v>3062</v>
      </c>
      <c r="L1106" s="10">
        <v>30953</v>
      </c>
      <c r="M1106" s="4">
        <f>7+36</f>
        <v>43</v>
      </c>
      <c r="N1106" s="2">
        <v>98</v>
      </c>
      <c r="O1106" s="2">
        <v>2</v>
      </c>
      <c r="Q1106" s="2">
        <v>0</v>
      </c>
      <c r="R1106" s="2">
        <v>0</v>
      </c>
      <c r="S1106" s="2">
        <v>1</v>
      </c>
      <c r="T1106" s="2">
        <v>1</v>
      </c>
      <c r="U1106" s="2">
        <v>1</v>
      </c>
      <c r="V1106" s="2">
        <v>0</v>
      </c>
      <c r="W1106" s="2">
        <v>1</v>
      </c>
      <c r="X1106" s="2">
        <v>3</v>
      </c>
      <c r="Y1106" s="2">
        <v>1</v>
      </c>
      <c r="Z1106" s="27">
        <v>1987.0609999999999</v>
      </c>
      <c r="AA1106" s="31">
        <v>1988.03</v>
      </c>
    </row>
    <row r="1107" spans="1:27" x14ac:dyDescent="0.2">
      <c r="A1107" s="3" t="s">
        <v>3067</v>
      </c>
      <c r="B1107" s="2" t="s">
        <v>3068</v>
      </c>
      <c r="C1107" s="8">
        <v>32253</v>
      </c>
      <c r="D1107" s="2">
        <v>1988</v>
      </c>
      <c r="E1107" s="2">
        <v>1980</v>
      </c>
      <c r="F1107" s="2">
        <v>0</v>
      </c>
      <c r="G1107" s="2">
        <v>0</v>
      </c>
      <c r="H1107" s="3" t="s">
        <v>27</v>
      </c>
      <c r="I1107" s="3" t="s">
        <v>4842</v>
      </c>
      <c r="J1107" s="3" t="s">
        <v>3069</v>
      </c>
      <c r="K1107" s="21" t="s">
        <v>3070</v>
      </c>
      <c r="L1107" s="10">
        <v>30197</v>
      </c>
      <c r="M1107" s="4">
        <f>7+(5*12)</f>
        <v>67</v>
      </c>
      <c r="N1107" s="2">
        <v>97</v>
      </c>
      <c r="O1107" s="2">
        <v>5</v>
      </c>
      <c r="Q1107" s="2">
        <v>1</v>
      </c>
      <c r="R1107" s="2">
        <v>0</v>
      </c>
      <c r="S1107" s="2">
        <v>1</v>
      </c>
      <c r="T1107" s="2">
        <v>0</v>
      </c>
      <c r="U1107" s="2">
        <v>0</v>
      </c>
      <c r="V1107" s="2">
        <v>0</v>
      </c>
      <c r="W1107" s="2">
        <v>1</v>
      </c>
      <c r="X1107" s="2">
        <v>1</v>
      </c>
      <c r="Y1107" s="2">
        <v>1</v>
      </c>
      <c r="Z1107" s="27">
        <v>1987.0640000000001</v>
      </c>
      <c r="AA1107" s="31">
        <v>1988.04</v>
      </c>
    </row>
    <row r="1108" spans="1:27" x14ac:dyDescent="0.2">
      <c r="A1108" s="3" t="s">
        <v>4259</v>
      </c>
      <c r="B1108" s="2" t="s">
        <v>4260</v>
      </c>
      <c r="C1108" s="8">
        <v>32253</v>
      </c>
      <c r="D1108" s="2">
        <v>1988</v>
      </c>
      <c r="E1108" s="2">
        <v>1980</v>
      </c>
      <c r="F1108" s="2">
        <v>1</v>
      </c>
      <c r="G1108" s="2">
        <v>1</v>
      </c>
      <c r="H1108" s="3" t="s">
        <v>3442</v>
      </c>
      <c r="I1108" s="3" t="s">
        <v>4841</v>
      </c>
      <c r="J1108" s="3" t="s">
        <v>2811</v>
      </c>
      <c r="K1108" s="21" t="s">
        <v>2812</v>
      </c>
      <c r="L1108" s="10">
        <v>21807</v>
      </c>
      <c r="M1108" s="4">
        <f>7+(28*12)</f>
        <v>343</v>
      </c>
      <c r="N1108" s="2">
        <v>86</v>
      </c>
      <c r="O1108" s="2">
        <v>2</v>
      </c>
      <c r="Q1108" s="2">
        <v>1</v>
      </c>
      <c r="R1108" s="2">
        <v>1</v>
      </c>
      <c r="S1108" s="2">
        <v>1</v>
      </c>
      <c r="T1108" s="2">
        <v>1</v>
      </c>
      <c r="U1108" s="2">
        <v>0</v>
      </c>
      <c r="V1108" s="2">
        <v>0</v>
      </c>
      <c r="W1108" s="2">
        <v>0</v>
      </c>
      <c r="X1108" s="2">
        <v>0</v>
      </c>
      <c r="Y1108" s="2">
        <v>1</v>
      </c>
      <c r="Z1108" s="27">
        <v>1987.066</v>
      </c>
      <c r="AA1108" s="31">
        <v>1988.05</v>
      </c>
    </row>
    <row r="1109" spans="1:27" x14ac:dyDescent="0.2">
      <c r="A1109" s="3" t="s">
        <v>3052</v>
      </c>
      <c r="B1109" s="2" t="s">
        <v>3053</v>
      </c>
      <c r="C1109" s="8">
        <v>32294</v>
      </c>
      <c r="D1109" s="2">
        <v>1988</v>
      </c>
      <c r="E1109" s="2">
        <v>1980</v>
      </c>
      <c r="F1109" s="2">
        <v>0</v>
      </c>
      <c r="G1109" s="2">
        <v>0</v>
      </c>
      <c r="H1109" s="3" t="s">
        <v>27</v>
      </c>
      <c r="I1109" s="3" t="s">
        <v>4840</v>
      </c>
      <c r="J1109" s="3" t="s">
        <v>3054</v>
      </c>
      <c r="K1109" s="21" t="s">
        <v>3055</v>
      </c>
      <c r="L1109" s="10">
        <v>24396</v>
      </c>
      <c r="M1109" s="4">
        <f>7+(12*21)</f>
        <v>259</v>
      </c>
      <c r="N1109" s="2">
        <v>89</v>
      </c>
      <c r="O1109" s="2">
        <v>1</v>
      </c>
      <c r="Q1109" s="2">
        <v>0</v>
      </c>
      <c r="R1109" s="2">
        <v>0</v>
      </c>
      <c r="S1109" s="2">
        <v>1</v>
      </c>
      <c r="T1109" s="2">
        <v>0</v>
      </c>
      <c r="U1109" s="2">
        <v>1</v>
      </c>
      <c r="V1109" s="2">
        <v>0</v>
      </c>
      <c r="W1109" s="2">
        <v>1</v>
      </c>
      <c r="X1109" s="2">
        <v>0</v>
      </c>
      <c r="Y1109" s="2">
        <v>1</v>
      </c>
      <c r="Z1109" s="27">
        <v>1987.0909999999999</v>
      </c>
      <c r="AA1109" s="31">
        <v>1988.06</v>
      </c>
    </row>
    <row r="1110" spans="1:27" x14ac:dyDescent="0.2">
      <c r="A1110" s="3" t="s">
        <v>3048</v>
      </c>
      <c r="B1110" s="2" t="s">
        <v>3049</v>
      </c>
      <c r="C1110" s="8">
        <v>32323</v>
      </c>
      <c r="D1110" s="2">
        <v>1988</v>
      </c>
      <c r="E1110" s="2">
        <v>1980</v>
      </c>
      <c r="F1110" s="2">
        <v>0</v>
      </c>
      <c r="G1110" s="2">
        <v>0</v>
      </c>
      <c r="H1110" s="3" t="s">
        <v>27</v>
      </c>
      <c r="I1110" s="3" t="s">
        <v>4724</v>
      </c>
      <c r="J1110" s="3" t="s">
        <v>3050</v>
      </c>
      <c r="K1110" s="21" t="s">
        <v>3051</v>
      </c>
      <c r="L1110" s="10">
        <v>29811</v>
      </c>
      <c r="M1110" s="4">
        <f>10+(12*6)</f>
        <v>82</v>
      </c>
      <c r="N1110" s="2">
        <v>97</v>
      </c>
      <c r="O1110" s="2">
        <v>2</v>
      </c>
      <c r="Q1110" s="2">
        <v>1</v>
      </c>
      <c r="R1110" s="2">
        <v>0</v>
      </c>
      <c r="S1110" s="2">
        <v>1</v>
      </c>
      <c r="T1110" s="2">
        <v>0</v>
      </c>
      <c r="U1110" s="2">
        <v>1</v>
      </c>
      <c r="V1110" s="2">
        <v>0</v>
      </c>
      <c r="W1110" s="2">
        <v>1</v>
      </c>
      <c r="X1110" s="2">
        <v>4</v>
      </c>
      <c r="Y1110" s="2">
        <v>1</v>
      </c>
      <c r="Z1110" s="27">
        <v>1987.1479999999999</v>
      </c>
      <c r="AA1110" s="31">
        <v>1988.07</v>
      </c>
    </row>
    <row r="1111" spans="1:27" x14ac:dyDescent="0.2">
      <c r="A1111" s="3" t="s">
        <v>3063</v>
      </c>
      <c r="B1111" s="2" t="s">
        <v>3064</v>
      </c>
      <c r="C1111" s="8">
        <v>32321</v>
      </c>
      <c r="D1111" s="2">
        <v>1988</v>
      </c>
      <c r="E1111" s="2">
        <v>1980</v>
      </c>
      <c r="F1111" s="2">
        <v>0</v>
      </c>
      <c r="G1111" s="2">
        <v>0</v>
      </c>
      <c r="H1111" s="3" t="s">
        <v>27</v>
      </c>
      <c r="I1111" s="3" t="s">
        <v>4839</v>
      </c>
      <c r="J1111" s="3" t="s">
        <v>3065</v>
      </c>
      <c r="K1111" s="21" t="s">
        <v>3066</v>
      </c>
      <c r="L1111" s="10">
        <v>28789</v>
      </c>
      <c r="M1111" s="4">
        <f>8+(9*12)</f>
        <v>116</v>
      </c>
      <c r="N1111" s="2">
        <v>95</v>
      </c>
      <c r="O1111" s="2">
        <v>6</v>
      </c>
      <c r="Q1111" s="2">
        <v>1</v>
      </c>
      <c r="R1111" s="2">
        <v>0</v>
      </c>
      <c r="S1111" s="2">
        <v>1</v>
      </c>
      <c r="T1111" s="2">
        <v>0</v>
      </c>
      <c r="U1111" s="2">
        <v>1</v>
      </c>
      <c r="V1111" s="2">
        <v>0</v>
      </c>
      <c r="W1111" s="2">
        <v>1</v>
      </c>
      <c r="X1111" s="2">
        <v>1</v>
      </c>
      <c r="Y1111" s="2">
        <v>1</v>
      </c>
      <c r="Z1111" s="27">
        <v>1987.1489999999999</v>
      </c>
      <c r="AA1111" s="31">
        <v>1988.08</v>
      </c>
    </row>
    <row r="1112" spans="1:27" x14ac:dyDescent="0.2">
      <c r="A1112" s="3" t="s">
        <v>3080</v>
      </c>
      <c r="B1112" s="2" t="s">
        <v>3081</v>
      </c>
      <c r="C1112" s="8">
        <v>32526</v>
      </c>
      <c r="D1112" s="2">
        <v>1989</v>
      </c>
      <c r="E1112" s="2">
        <v>1980</v>
      </c>
      <c r="F1112" s="2">
        <v>0</v>
      </c>
      <c r="G1112" s="2">
        <v>0</v>
      </c>
      <c r="H1112" s="3" t="s">
        <v>27</v>
      </c>
      <c r="I1112" s="3" t="s">
        <v>5074</v>
      </c>
      <c r="J1112" s="3" t="s">
        <v>3082</v>
      </c>
      <c r="K1112" s="21" t="s">
        <v>3047</v>
      </c>
      <c r="L1112" s="10">
        <v>30967</v>
      </c>
      <c r="M1112" s="4">
        <f>3+48</f>
        <v>51</v>
      </c>
      <c r="N1112" s="2">
        <v>98</v>
      </c>
      <c r="O1112" s="2">
        <v>6</v>
      </c>
      <c r="Q1112" s="2">
        <v>1</v>
      </c>
      <c r="R1112" s="2">
        <v>1</v>
      </c>
      <c r="S1112" s="2">
        <v>1</v>
      </c>
      <c r="T1112" s="2">
        <v>1</v>
      </c>
      <c r="U1112" s="2">
        <v>0</v>
      </c>
      <c r="V1112" s="2">
        <v>0</v>
      </c>
      <c r="W1112" s="2">
        <v>1</v>
      </c>
      <c r="X1112" s="2">
        <v>1</v>
      </c>
      <c r="Y1112" s="2">
        <v>1</v>
      </c>
      <c r="Z1112" s="27">
        <v>1988.0229999999999</v>
      </c>
      <c r="AA1112" s="31">
        <v>1989.01</v>
      </c>
    </row>
    <row r="1113" spans="1:27" x14ac:dyDescent="0.2">
      <c r="A1113" s="3" t="s">
        <v>4274</v>
      </c>
      <c r="B1113" s="2" t="s">
        <v>4275</v>
      </c>
      <c r="C1113" s="8">
        <v>32560</v>
      </c>
      <c r="D1113" s="2">
        <v>1989</v>
      </c>
      <c r="E1113" s="2">
        <v>1980</v>
      </c>
      <c r="F1113" s="2">
        <v>1</v>
      </c>
      <c r="G1113" s="2">
        <v>1</v>
      </c>
      <c r="H1113" s="3" t="s">
        <v>3442</v>
      </c>
      <c r="I1113" s="3" t="s">
        <v>5084</v>
      </c>
      <c r="J1113" s="3" t="s">
        <v>4276</v>
      </c>
      <c r="K1113" s="3" t="s">
        <v>2403</v>
      </c>
      <c r="L1113" s="10">
        <v>17709</v>
      </c>
      <c r="M1113" s="4">
        <f>8+(12*50)</f>
        <v>608</v>
      </c>
      <c r="N1113" s="2">
        <v>80</v>
      </c>
      <c r="O1113" s="2">
        <v>5</v>
      </c>
      <c r="Q1113" s="2">
        <v>0</v>
      </c>
      <c r="R1113" s="2">
        <v>0</v>
      </c>
      <c r="S1113" s="2">
        <v>1</v>
      </c>
      <c r="T1113" s="2">
        <v>1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7">
        <v>1988.0329999999999</v>
      </c>
      <c r="AA1113" s="31">
        <v>1989.02</v>
      </c>
    </row>
    <row r="1114" spans="1:27" x14ac:dyDescent="0.2">
      <c r="A1114" s="3" t="s">
        <v>4261</v>
      </c>
      <c r="B1114" s="2" t="s">
        <v>4262</v>
      </c>
      <c r="C1114" s="8">
        <v>32588</v>
      </c>
      <c r="D1114" s="2">
        <v>1989</v>
      </c>
      <c r="E1114" s="2">
        <v>1980</v>
      </c>
      <c r="F1114" s="2">
        <v>1</v>
      </c>
      <c r="G1114" s="2">
        <v>1</v>
      </c>
      <c r="H1114" s="3" t="s">
        <v>3442</v>
      </c>
      <c r="I1114" s="3" t="s">
        <v>4838</v>
      </c>
      <c r="J1114" s="3" t="s">
        <v>4263</v>
      </c>
      <c r="K1114" s="21" t="s">
        <v>4264</v>
      </c>
      <c r="L1114" s="10">
        <v>12597</v>
      </c>
      <c r="M1114" s="4">
        <f>9+(12*54)</f>
        <v>657</v>
      </c>
      <c r="N1114" s="2">
        <v>73</v>
      </c>
      <c r="O1114" s="2">
        <v>6</v>
      </c>
      <c r="Q1114" s="2">
        <v>1</v>
      </c>
      <c r="R1114" s="2">
        <v>0</v>
      </c>
      <c r="S1114" s="2">
        <v>1</v>
      </c>
      <c r="T1114" s="2">
        <v>1</v>
      </c>
      <c r="U1114" s="2">
        <v>1</v>
      </c>
      <c r="V1114" s="2">
        <v>0</v>
      </c>
      <c r="W1114" s="2">
        <v>1</v>
      </c>
      <c r="X1114" s="2">
        <v>0</v>
      </c>
      <c r="Y1114" s="2">
        <v>1</v>
      </c>
      <c r="Z1114" s="27">
        <v>1988.0519999999999</v>
      </c>
      <c r="AA1114" s="31">
        <v>1989.03</v>
      </c>
    </row>
    <row r="1115" spans="1:27" x14ac:dyDescent="0.2">
      <c r="A1115" s="3" t="s">
        <v>3087</v>
      </c>
      <c r="B1115" s="2" t="s">
        <v>3088</v>
      </c>
      <c r="C1115" s="8">
        <v>32623</v>
      </c>
      <c r="D1115" s="2">
        <v>1989</v>
      </c>
      <c r="E1115" s="2">
        <v>1980</v>
      </c>
      <c r="F1115" s="2">
        <v>0</v>
      </c>
      <c r="G1115" s="2">
        <v>0</v>
      </c>
      <c r="H1115" s="3" t="s">
        <v>27</v>
      </c>
      <c r="I1115" s="3" t="s">
        <v>4837</v>
      </c>
      <c r="J1115" s="3" t="s">
        <v>3089</v>
      </c>
      <c r="K1115" s="21" t="s">
        <v>3090</v>
      </c>
      <c r="L1115" s="10">
        <v>31509</v>
      </c>
      <c r="M1115" s="4">
        <f>36</f>
        <v>36</v>
      </c>
      <c r="N1115" s="2">
        <v>99</v>
      </c>
      <c r="O1115" s="2">
        <v>6</v>
      </c>
      <c r="Q1115" s="2">
        <v>0</v>
      </c>
      <c r="R1115" s="2">
        <v>0</v>
      </c>
      <c r="S1115" s="2">
        <v>1</v>
      </c>
      <c r="T1115" s="2">
        <v>0</v>
      </c>
      <c r="U1115" s="2">
        <v>1</v>
      </c>
      <c r="V1115" s="2">
        <v>0</v>
      </c>
      <c r="W1115" s="2">
        <v>1</v>
      </c>
      <c r="X1115" s="2">
        <v>0</v>
      </c>
      <c r="Y1115" s="2">
        <v>1</v>
      </c>
      <c r="Z1115" s="27">
        <v>1988.077</v>
      </c>
      <c r="AA1115" s="31">
        <v>1989.04</v>
      </c>
    </row>
    <row r="1116" spans="1:27" x14ac:dyDescent="0.2">
      <c r="A1116" s="3" t="s">
        <v>4284</v>
      </c>
      <c r="B1116" s="2" t="s">
        <v>4285</v>
      </c>
      <c r="C1116" s="8">
        <v>32643</v>
      </c>
      <c r="D1116" s="2">
        <v>1989</v>
      </c>
      <c r="E1116" s="2">
        <v>1980</v>
      </c>
      <c r="F1116" s="2">
        <v>1</v>
      </c>
      <c r="G1116" s="2">
        <v>1</v>
      </c>
      <c r="H1116" s="3" t="s">
        <v>3442</v>
      </c>
      <c r="I1116" s="3" t="s">
        <v>4286</v>
      </c>
      <c r="J1116" s="3" t="s">
        <v>4286</v>
      </c>
      <c r="K1116" s="21" t="s">
        <v>4287</v>
      </c>
      <c r="L1116" s="10">
        <v>30207</v>
      </c>
      <c r="M1116" s="4">
        <f>8+(12*6)</f>
        <v>80</v>
      </c>
      <c r="N1116" s="2">
        <v>97</v>
      </c>
      <c r="O1116" s="2">
        <v>1</v>
      </c>
      <c r="Q1116" s="2">
        <v>0</v>
      </c>
      <c r="R1116" s="2">
        <v>0</v>
      </c>
      <c r="S1116" s="2">
        <v>1</v>
      </c>
      <c r="T1116" s="2">
        <v>0</v>
      </c>
      <c r="U1116" s="2">
        <v>0</v>
      </c>
      <c r="V1116" s="2">
        <v>0</v>
      </c>
      <c r="W1116" s="2">
        <v>1</v>
      </c>
      <c r="X1116" s="2">
        <v>0</v>
      </c>
      <c r="Y1116" s="2">
        <v>1</v>
      </c>
      <c r="Z1116" s="27">
        <v>1988.086</v>
      </c>
      <c r="AA1116" s="31">
        <v>1989.05</v>
      </c>
    </row>
    <row r="1117" spans="1:27" x14ac:dyDescent="0.2">
      <c r="A1117" s="3" t="s">
        <v>3074</v>
      </c>
      <c r="B1117" s="2" t="s">
        <v>3075</v>
      </c>
      <c r="C1117" s="8">
        <v>32664</v>
      </c>
      <c r="D1117" s="2">
        <v>1989</v>
      </c>
      <c r="E1117" s="2">
        <v>1980</v>
      </c>
      <c r="F1117" s="2">
        <v>0</v>
      </c>
      <c r="G1117" s="2">
        <v>0</v>
      </c>
      <c r="H1117" s="3" t="s">
        <v>27</v>
      </c>
      <c r="I1117" s="3" t="s">
        <v>4836</v>
      </c>
      <c r="J1117" s="3" t="s">
        <v>3076</v>
      </c>
      <c r="K1117" s="3" t="s">
        <v>3077</v>
      </c>
      <c r="L1117" s="10">
        <v>16127</v>
      </c>
      <c r="M1117" s="4">
        <f>4+(12*45)</f>
        <v>544</v>
      </c>
      <c r="N1117" s="2">
        <v>78</v>
      </c>
      <c r="O1117" s="2">
        <v>2</v>
      </c>
      <c r="Q1117" s="2">
        <v>1</v>
      </c>
      <c r="R1117" s="2">
        <v>0</v>
      </c>
      <c r="S1117" s="2">
        <v>1</v>
      </c>
      <c r="T1117" s="2">
        <v>1</v>
      </c>
      <c r="U1117" s="2">
        <v>0</v>
      </c>
      <c r="V1117" s="2">
        <v>0</v>
      </c>
      <c r="W1117" s="2">
        <v>1</v>
      </c>
      <c r="X1117" s="2">
        <v>2</v>
      </c>
      <c r="Y1117" s="2">
        <v>1</v>
      </c>
      <c r="Z1117" s="27">
        <v>1988.098</v>
      </c>
      <c r="AA1117" s="31">
        <v>1989.06</v>
      </c>
    </row>
    <row r="1118" spans="1:27" x14ac:dyDescent="0.2">
      <c r="A1118" s="3" t="s">
        <v>4265</v>
      </c>
      <c r="B1118" s="2" t="s">
        <v>4266</v>
      </c>
      <c r="C1118" s="8">
        <v>32671</v>
      </c>
      <c r="D1118" s="2">
        <v>1989</v>
      </c>
      <c r="E1118" s="2">
        <v>1980</v>
      </c>
      <c r="F1118" s="2">
        <v>1</v>
      </c>
      <c r="G1118" s="2">
        <v>1</v>
      </c>
      <c r="H1118" s="3" t="s">
        <v>3442</v>
      </c>
      <c r="I1118" s="3" t="s">
        <v>4823</v>
      </c>
      <c r="J1118" s="3" t="s">
        <v>4267</v>
      </c>
      <c r="K1118" s="21" t="s">
        <v>3141</v>
      </c>
      <c r="L1118" s="10">
        <v>25128</v>
      </c>
      <c r="M1118" s="4">
        <f>8+(12*20)</f>
        <v>248</v>
      </c>
      <c r="N1118" s="2">
        <v>90</v>
      </c>
      <c r="O1118" s="2">
        <v>6</v>
      </c>
      <c r="P1118" s="2">
        <v>1</v>
      </c>
      <c r="Q1118" s="2">
        <v>0</v>
      </c>
      <c r="R1118" s="2">
        <v>0</v>
      </c>
      <c r="S1118" s="2">
        <v>1</v>
      </c>
      <c r="T1118" s="2">
        <v>1</v>
      </c>
      <c r="U1118" s="2">
        <v>1</v>
      </c>
      <c r="V1118" s="2">
        <v>0</v>
      </c>
      <c r="W1118" s="2">
        <v>1</v>
      </c>
      <c r="X1118" s="2">
        <v>0</v>
      </c>
      <c r="Y1118" s="2">
        <v>1</v>
      </c>
      <c r="Z1118" s="27">
        <v>1988.107</v>
      </c>
      <c r="AA1118" s="31">
        <v>1989.07</v>
      </c>
    </row>
    <row r="1119" spans="1:27" x14ac:dyDescent="0.2">
      <c r="A1119" s="3" t="s">
        <v>3083</v>
      </c>
      <c r="B1119" s="2" t="s">
        <v>3084</v>
      </c>
      <c r="C1119" s="8">
        <v>32674</v>
      </c>
      <c r="D1119" s="2">
        <v>1989</v>
      </c>
      <c r="E1119" s="2">
        <v>1980</v>
      </c>
      <c r="F1119" s="2">
        <v>0</v>
      </c>
      <c r="G1119" s="2">
        <v>0</v>
      </c>
      <c r="H1119" s="3" t="s">
        <v>27</v>
      </c>
      <c r="I1119" s="3" t="s">
        <v>4835</v>
      </c>
      <c r="J1119" s="3" t="s">
        <v>3085</v>
      </c>
      <c r="K1119" s="21" t="s">
        <v>3086</v>
      </c>
      <c r="L1119" s="10">
        <v>29566</v>
      </c>
      <c r="M1119" s="4">
        <f>6+(12*8)</f>
        <v>102</v>
      </c>
      <c r="N1119" s="2">
        <v>96</v>
      </c>
      <c r="O1119" s="2">
        <v>5</v>
      </c>
      <c r="Q1119" s="2">
        <v>1</v>
      </c>
      <c r="R1119" s="2">
        <v>0</v>
      </c>
      <c r="S1119" s="2">
        <v>0</v>
      </c>
      <c r="T1119" s="2">
        <v>1</v>
      </c>
      <c r="U1119" s="2">
        <v>0</v>
      </c>
      <c r="V1119" s="2">
        <v>0</v>
      </c>
      <c r="W1119" s="2">
        <v>0</v>
      </c>
      <c r="X1119" s="2">
        <v>4</v>
      </c>
      <c r="Y1119" s="2">
        <v>1</v>
      </c>
      <c r="Z1119" s="27">
        <v>1988.1110000000001</v>
      </c>
      <c r="AA1119" s="31">
        <v>1989.08</v>
      </c>
    </row>
    <row r="1120" spans="1:27" x14ac:dyDescent="0.2">
      <c r="A1120" s="3" t="s">
        <v>3078</v>
      </c>
      <c r="B1120" s="2" t="s">
        <v>3079</v>
      </c>
      <c r="C1120" s="8">
        <v>32678</v>
      </c>
      <c r="D1120" s="2">
        <v>1989</v>
      </c>
      <c r="E1120" s="2">
        <v>1980</v>
      </c>
      <c r="F1120" s="2">
        <v>0</v>
      </c>
      <c r="G1120" s="2">
        <v>0</v>
      </c>
      <c r="H1120" s="3" t="s">
        <v>27</v>
      </c>
      <c r="I1120" s="3" t="s">
        <v>4834</v>
      </c>
      <c r="J1120" s="3" t="s">
        <v>2804</v>
      </c>
      <c r="K1120" s="21" t="s">
        <v>2805</v>
      </c>
      <c r="L1120" s="10">
        <v>28052</v>
      </c>
      <c r="M1120" s="4">
        <f>8+(12*12)</f>
        <v>152</v>
      </c>
      <c r="N1120" s="2">
        <v>94</v>
      </c>
      <c r="O1120" s="2">
        <v>5</v>
      </c>
      <c r="Q1120" s="2">
        <v>0</v>
      </c>
      <c r="R1120" s="2">
        <v>0</v>
      </c>
      <c r="S1120" s="2">
        <v>0</v>
      </c>
      <c r="T1120" s="2">
        <v>1</v>
      </c>
      <c r="U1120" s="2">
        <v>0</v>
      </c>
      <c r="V1120" s="2">
        <v>0</v>
      </c>
      <c r="W1120" s="2">
        <v>0</v>
      </c>
      <c r="X1120" s="2">
        <v>3</v>
      </c>
      <c r="Y1120" s="2">
        <v>1</v>
      </c>
      <c r="Z1120" s="27">
        <v>1988.1189999999999</v>
      </c>
      <c r="AA1120" s="31">
        <v>1989.09</v>
      </c>
    </row>
    <row r="1121" spans="1:27" x14ac:dyDescent="0.2">
      <c r="A1121" s="3" t="s">
        <v>4277</v>
      </c>
      <c r="B1121" s="2" t="s">
        <v>4278</v>
      </c>
      <c r="C1121" s="8">
        <v>32680</v>
      </c>
      <c r="D1121" s="2">
        <v>1989</v>
      </c>
      <c r="E1121" s="2">
        <v>1980</v>
      </c>
      <c r="F1121" s="2">
        <v>1</v>
      </c>
      <c r="G1121" s="2">
        <v>1</v>
      </c>
      <c r="H1121" s="3" t="s">
        <v>3442</v>
      </c>
      <c r="I1121" s="3" t="s">
        <v>4833</v>
      </c>
      <c r="J1121" s="3" t="s">
        <v>4279</v>
      </c>
      <c r="K1121" s="21" t="s">
        <v>4280</v>
      </c>
      <c r="L1121" s="10">
        <v>26578</v>
      </c>
      <c r="M1121" s="4">
        <f>8+(12*16)</f>
        <v>200</v>
      </c>
      <c r="N1121" s="2">
        <v>92</v>
      </c>
      <c r="O1121" s="2">
        <v>6</v>
      </c>
      <c r="Q1121" s="2">
        <v>0</v>
      </c>
      <c r="R1121" s="2">
        <v>0</v>
      </c>
      <c r="S1121" s="2">
        <v>1</v>
      </c>
      <c r="T1121" s="2">
        <v>0</v>
      </c>
      <c r="U1121" s="2">
        <v>0</v>
      </c>
      <c r="V1121" s="2">
        <v>0</v>
      </c>
      <c r="W1121" s="2">
        <v>1</v>
      </c>
      <c r="X1121" s="2">
        <v>0</v>
      </c>
      <c r="Y1121" s="2">
        <v>1</v>
      </c>
      <c r="Z1121" s="27">
        <v>1988.125</v>
      </c>
      <c r="AA1121" s="31">
        <v>1989.1</v>
      </c>
    </row>
    <row r="1122" spans="1:27" x14ac:dyDescent="0.2">
      <c r="A1122" s="3" t="s">
        <v>3091</v>
      </c>
      <c r="B1122" s="2" t="s">
        <v>3092</v>
      </c>
      <c r="C1122" s="8">
        <v>32681</v>
      </c>
      <c r="D1122" s="2">
        <v>1989</v>
      </c>
      <c r="E1122" s="2">
        <v>1980</v>
      </c>
      <c r="F1122" s="2">
        <v>0</v>
      </c>
      <c r="G1122" s="2">
        <v>0</v>
      </c>
      <c r="H1122" s="3" t="s">
        <v>27</v>
      </c>
      <c r="I1122" s="3" t="s">
        <v>5074</v>
      </c>
      <c r="J1122" s="3" t="s">
        <v>3093</v>
      </c>
      <c r="K1122" s="21" t="s">
        <v>3047</v>
      </c>
      <c r="L1122" s="10">
        <v>30967</v>
      </c>
      <c r="M1122" s="4">
        <f>8+(12*4)</f>
        <v>56</v>
      </c>
      <c r="N1122" s="2">
        <v>98</v>
      </c>
      <c r="O1122" s="2">
        <v>1</v>
      </c>
      <c r="Q1122" s="2">
        <v>0</v>
      </c>
      <c r="R1122" s="2">
        <v>0</v>
      </c>
      <c r="S1122" s="2">
        <v>1</v>
      </c>
      <c r="T1122" s="2">
        <v>1</v>
      </c>
      <c r="U1122" s="2">
        <v>1</v>
      </c>
      <c r="V1122" s="2">
        <v>0</v>
      </c>
      <c r="W1122" s="2">
        <v>1</v>
      </c>
      <c r="X1122" s="2">
        <v>4</v>
      </c>
      <c r="Y1122" s="2">
        <v>1</v>
      </c>
      <c r="Z1122" s="27">
        <v>1988.13</v>
      </c>
      <c r="AA1122" s="31">
        <v>1989.11</v>
      </c>
    </row>
    <row r="1123" spans="1:27" x14ac:dyDescent="0.2">
      <c r="A1123" s="3" t="s">
        <v>3071</v>
      </c>
      <c r="B1123" s="2" t="s">
        <v>3072</v>
      </c>
      <c r="C1123" s="8">
        <v>32681</v>
      </c>
      <c r="D1123" s="2">
        <v>1989</v>
      </c>
      <c r="E1123" s="2">
        <v>1980</v>
      </c>
      <c r="F1123" s="2">
        <v>0</v>
      </c>
      <c r="G1123" s="2">
        <v>0</v>
      </c>
      <c r="H1123" s="3" t="s">
        <v>27</v>
      </c>
      <c r="I1123" s="3" t="s">
        <v>4696</v>
      </c>
      <c r="J1123" s="3" t="s">
        <v>3073</v>
      </c>
      <c r="K1123" s="21" t="s">
        <v>2839</v>
      </c>
      <c r="L1123" s="10">
        <v>25868</v>
      </c>
      <c r="M1123" s="4">
        <f>8+(12*18)</f>
        <v>224</v>
      </c>
      <c r="N1123" s="2">
        <v>91</v>
      </c>
      <c r="O1123" s="2">
        <v>1</v>
      </c>
      <c r="Q1123" s="2">
        <v>1</v>
      </c>
      <c r="R1123" s="2">
        <v>0</v>
      </c>
      <c r="S1123" s="2">
        <v>1</v>
      </c>
      <c r="T1123" s="2">
        <v>1</v>
      </c>
      <c r="U1123" s="2">
        <v>0</v>
      </c>
      <c r="V1123" s="2">
        <v>0</v>
      </c>
      <c r="W1123" s="2">
        <v>1</v>
      </c>
      <c r="X1123" s="2">
        <v>4</v>
      </c>
      <c r="Y1123" s="2">
        <v>1</v>
      </c>
      <c r="Z1123" s="27">
        <v>1988.1310000000001</v>
      </c>
      <c r="AA1123" s="31">
        <v>1989.12</v>
      </c>
    </row>
    <row r="1124" spans="1:27" x14ac:dyDescent="0.2">
      <c r="A1124" s="3" t="s">
        <v>4281</v>
      </c>
      <c r="B1124" s="2" t="s">
        <v>4282</v>
      </c>
      <c r="C1124" s="8">
        <v>32682</v>
      </c>
      <c r="D1124" s="2">
        <v>1989</v>
      </c>
      <c r="E1124" s="2">
        <v>1980</v>
      </c>
      <c r="F1124" s="2">
        <v>1</v>
      </c>
      <c r="G1124" s="2">
        <v>1</v>
      </c>
      <c r="H1124" s="3" t="s">
        <v>3442</v>
      </c>
      <c r="I1124" s="3" t="s">
        <v>4715</v>
      </c>
      <c r="J1124" s="3" t="s">
        <v>4283</v>
      </c>
      <c r="K1124" s="21" t="s">
        <v>3241</v>
      </c>
      <c r="L1124" s="10">
        <v>32465</v>
      </c>
      <c r="M1124" s="4">
        <v>7</v>
      </c>
      <c r="N1124" s="2">
        <v>100</v>
      </c>
      <c r="O1124" s="2">
        <v>2</v>
      </c>
      <c r="Q1124" s="2">
        <v>1</v>
      </c>
      <c r="R1124" s="2">
        <v>0</v>
      </c>
      <c r="S1124" s="2">
        <v>1</v>
      </c>
      <c r="T1124" s="2">
        <v>0</v>
      </c>
      <c r="U1124" s="2">
        <v>0</v>
      </c>
      <c r="V1124" s="2">
        <v>1</v>
      </c>
      <c r="W1124" s="2">
        <v>1</v>
      </c>
      <c r="X1124" s="2">
        <v>3</v>
      </c>
      <c r="Y1124" s="2">
        <v>1</v>
      </c>
      <c r="Z1124" s="27">
        <v>1988.1389999999999</v>
      </c>
      <c r="AA1124" s="31">
        <v>1989.13</v>
      </c>
    </row>
    <row r="1125" spans="1:27" x14ac:dyDescent="0.2">
      <c r="A1125" s="3" t="s">
        <v>4268</v>
      </c>
      <c r="B1125" s="2" t="s">
        <v>4269</v>
      </c>
      <c r="C1125" s="8">
        <v>32682</v>
      </c>
      <c r="D1125" s="2">
        <v>1989</v>
      </c>
      <c r="E1125" s="2">
        <v>1980</v>
      </c>
      <c r="F1125" s="2">
        <v>1</v>
      </c>
      <c r="G1125" s="2">
        <v>1</v>
      </c>
      <c r="H1125" s="3" t="s">
        <v>3442</v>
      </c>
      <c r="I1125" s="3" t="s">
        <v>4846</v>
      </c>
      <c r="J1125" s="3" t="s">
        <v>4270</v>
      </c>
      <c r="K1125" s="21" t="s">
        <v>3417</v>
      </c>
      <c r="L1125" s="10">
        <v>30873</v>
      </c>
      <c r="M1125" s="4">
        <f>11+48</f>
        <v>59</v>
      </c>
      <c r="N1125" s="2">
        <v>98</v>
      </c>
      <c r="O1125" s="2">
        <v>1</v>
      </c>
      <c r="P1125" s="2">
        <v>6</v>
      </c>
      <c r="Q1125" s="2">
        <v>1</v>
      </c>
      <c r="R1125" s="2">
        <v>0</v>
      </c>
      <c r="S1125" s="2">
        <v>0</v>
      </c>
      <c r="T1125" s="2">
        <v>1</v>
      </c>
      <c r="U1125" s="2">
        <v>1</v>
      </c>
      <c r="V1125" s="2">
        <v>0</v>
      </c>
      <c r="W1125" s="2">
        <v>0</v>
      </c>
      <c r="X1125" s="2">
        <v>3</v>
      </c>
      <c r="Y1125" s="2">
        <v>1</v>
      </c>
      <c r="Z1125" s="27">
        <v>1988.1369999999999</v>
      </c>
      <c r="AA1125" s="31">
        <v>1989.14</v>
      </c>
    </row>
    <row r="1126" spans="1:27" x14ac:dyDescent="0.2">
      <c r="A1126" s="3" t="s">
        <v>4271</v>
      </c>
      <c r="B1126" s="2" t="s">
        <v>4272</v>
      </c>
      <c r="C1126" s="8">
        <v>32682</v>
      </c>
      <c r="D1126" s="2">
        <v>1989</v>
      </c>
      <c r="E1126" s="2">
        <v>1980</v>
      </c>
      <c r="F1126" s="2">
        <v>1</v>
      </c>
      <c r="G1126" s="2">
        <v>1</v>
      </c>
      <c r="H1126" s="3" t="s">
        <v>3442</v>
      </c>
      <c r="I1126" s="3" t="s">
        <v>5087</v>
      </c>
      <c r="J1126" s="3" t="s">
        <v>4273</v>
      </c>
      <c r="K1126" s="21" t="s">
        <v>3360</v>
      </c>
      <c r="L1126" s="10">
        <v>28800</v>
      </c>
      <c r="M1126" s="4">
        <f>7+120</f>
        <v>127</v>
      </c>
      <c r="N1126" s="2">
        <v>95</v>
      </c>
      <c r="O1126" s="2">
        <v>5</v>
      </c>
      <c r="Q1126" s="2">
        <v>1</v>
      </c>
      <c r="R1126" s="2">
        <v>0</v>
      </c>
      <c r="S1126" s="2">
        <v>1</v>
      </c>
      <c r="T1126" s="2">
        <v>1</v>
      </c>
      <c r="U1126" s="2">
        <v>0</v>
      </c>
      <c r="V1126" s="2">
        <v>0</v>
      </c>
      <c r="W1126" s="2">
        <v>0</v>
      </c>
      <c r="X1126" s="2">
        <v>4</v>
      </c>
      <c r="Y1126" s="2">
        <v>1</v>
      </c>
      <c r="Z1126" s="27">
        <v>1988.1379999999999</v>
      </c>
      <c r="AA1126" s="31">
        <v>1989.15</v>
      </c>
    </row>
    <row r="1127" spans="1:27" x14ac:dyDescent="0.2">
      <c r="A1127" s="3" t="s">
        <v>3094</v>
      </c>
      <c r="B1127" s="2" t="s">
        <v>3095</v>
      </c>
      <c r="C1127" s="8">
        <v>32840</v>
      </c>
      <c r="D1127" s="2">
        <v>1989</v>
      </c>
      <c r="E1127" s="2">
        <v>1980</v>
      </c>
      <c r="F1127" s="2">
        <v>0</v>
      </c>
      <c r="G1127" s="2">
        <v>0</v>
      </c>
      <c r="H1127" s="3" t="s">
        <v>27</v>
      </c>
      <c r="I1127" s="3" t="s">
        <v>4832</v>
      </c>
      <c r="J1127" s="3" t="s">
        <v>3096</v>
      </c>
      <c r="K1127" s="21" t="s">
        <v>3097</v>
      </c>
      <c r="L1127" s="10">
        <v>31275</v>
      </c>
      <c r="M1127" s="4">
        <f>3+48</f>
        <v>51</v>
      </c>
      <c r="N1127" s="2">
        <v>99</v>
      </c>
      <c r="O1127" s="2">
        <v>4</v>
      </c>
      <c r="P1127" s="2">
        <v>1</v>
      </c>
      <c r="Q1127" s="2">
        <v>0</v>
      </c>
      <c r="R1127" s="2">
        <v>0</v>
      </c>
      <c r="S1127" s="2">
        <v>1</v>
      </c>
      <c r="T1127" s="2">
        <v>0</v>
      </c>
      <c r="U1127" s="2">
        <v>1</v>
      </c>
      <c r="V1127" s="2">
        <v>0</v>
      </c>
      <c r="W1127" s="2">
        <v>1</v>
      </c>
      <c r="X1127" s="2">
        <v>0</v>
      </c>
      <c r="Y1127" s="2">
        <v>1</v>
      </c>
      <c r="Z1127" s="27">
        <v>1989.0070000000001</v>
      </c>
      <c r="AA1127" s="31">
        <v>1989.16</v>
      </c>
    </row>
    <row r="1128" spans="1:27" x14ac:dyDescent="0.2">
      <c r="A1128" s="3" t="s">
        <v>3128</v>
      </c>
      <c r="B1128" s="2" t="s">
        <v>3129</v>
      </c>
      <c r="C1128" s="8">
        <v>32882</v>
      </c>
      <c r="D1128" s="2">
        <v>1990</v>
      </c>
      <c r="E1128" s="2">
        <v>1990</v>
      </c>
      <c r="F1128" s="2">
        <v>0</v>
      </c>
      <c r="G1128" s="2">
        <v>0</v>
      </c>
      <c r="H1128" s="3" t="s">
        <v>27</v>
      </c>
      <c r="I1128" s="3" t="s">
        <v>4831</v>
      </c>
      <c r="J1128" s="3" t="s">
        <v>3001</v>
      </c>
      <c r="K1128" s="21" t="s">
        <v>2386</v>
      </c>
      <c r="L1128" s="10">
        <v>23560</v>
      </c>
      <c r="M1128" s="4">
        <f>5+(12*25)</f>
        <v>305</v>
      </c>
      <c r="N1128" s="2">
        <v>88</v>
      </c>
      <c r="O1128" s="2">
        <v>2</v>
      </c>
      <c r="Q1128" s="2">
        <v>1</v>
      </c>
      <c r="R1128" s="2">
        <v>0</v>
      </c>
      <c r="S1128" s="2">
        <v>1</v>
      </c>
      <c r="T1128" s="2">
        <v>1</v>
      </c>
      <c r="U1128" s="2">
        <v>0</v>
      </c>
      <c r="V1128" s="2">
        <v>0</v>
      </c>
      <c r="W1128" s="2">
        <v>1</v>
      </c>
      <c r="X1128" s="2">
        <v>0</v>
      </c>
      <c r="Y1128" s="2">
        <v>1</v>
      </c>
      <c r="Z1128" s="27">
        <v>1989.0139999999999</v>
      </c>
      <c r="AA1128" s="31">
        <v>1990.01</v>
      </c>
    </row>
    <row r="1129" spans="1:27" x14ac:dyDescent="0.2">
      <c r="A1129" s="3" t="s">
        <v>3102</v>
      </c>
      <c r="B1129" s="2" t="s">
        <v>3103</v>
      </c>
      <c r="C1129" s="8">
        <v>32895</v>
      </c>
      <c r="D1129" s="2">
        <v>1990</v>
      </c>
      <c r="E1129" s="2">
        <v>1990</v>
      </c>
      <c r="F1129" s="2">
        <v>0</v>
      </c>
      <c r="G1129" s="2">
        <v>0</v>
      </c>
      <c r="H1129" s="3" t="s">
        <v>27</v>
      </c>
      <c r="I1129" s="3" t="s">
        <v>3784</v>
      </c>
      <c r="J1129" s="21" t="s">
        <v>1637</v>
      </c>
      <c r="K1129" s="21" t="s">
        <v>1638</v>
      </c>
      <c r="L1129" s="10">
        <v>5383</v>
      </c>
      <c r="M1129" s="4">
        <f>4+(12*75)</f>
        <v>904</v>
      </c>
      <c r="N1129" s="2">
        <v>63</v>
      </c>
      <c r="O1129" s="2">
        <v>2</v>
      </c>
      <c r="Q1129" s="2">
        <v>1</v>
      </c>
      <c r="R1129" s="2">
        <v>1</v>
      </c>
      <c r="S1129" s="2">
        <v>1</v>
      </c>
      <c r="T1129" s="2">
        <v>1</v>
      </c>
      <c r="U1129" s="2">
        <v>1</v>
      </c>
      <c r="V1129" s="2">
        <v>0</v>
      </c>
      <c r="W1129" s="2">
        <v>1</v>
      </c>
      <c r="X1129" s="2">
        <v>3</v>
      </c>
      <c r="Y1129" s="2">
        <v>1</v>
      </c>
      <c r="Z1129" s="27">
        <v>1989.0239999999999</v>
      </c>
      <c r="AA1129" s="31">
        <v>1990.02</v>
      </c>
    </row>
    <row r="1130" spans="1:27" x14ac:dyDescent="0.2">
      <c r="A1130" s="3" t="s">
        <v>3115</v>
      </c>
      <c r="B1130" s="2" t="s">
        <v>3116</v>
      </c>
      <c r="C1130" s="8">
        <v>32925</v>
      </c>
      <c r="D1130" s="2">
        <v>1990</v>
      </c>
      <c r="E1130" s="2">
        <v>1990</v>
      </c>
      <c r="F1130" s="2">
        <v>0</v>
      </c>
      <c r="G1130" s="2">
        <v>0</v>
      </c>
      <c r="H1130" s="3" t="s">
        <v>27</v>
      </c>
      <c r="I1130" s="3" t="s">
        <v>5025</v>
      </c>
      <c r="J1130" s="3" t="s">
        <v>3117</v>
      </c>
      <c r="K1130" s="21" t="s">
        <v>5024</v>
      </c>
      <c r="L1130" s="10">
        <v>30403</v>
      </c>
      <c r="M1130" s="4">
        <f>11+(12*6)</f>
        <v>83</v>
      </c>
      <c r="N1130" s="2">
        <v>98</v>
      </c>
      <c r="O1130" s="2">
        <v>5</v>
      </c>
      <c r="Q1130" s="2">
        <v>0</v>
      </c>
      <c r="R1130" s="2">
        <v>0</v>
      </c>
      <c r="S1130" s="2">
        <v>1</v>
      </c>
      <c r="T1130" s="2">
        <v>1</v>
      </c>
      <c r="U1130" s="2">
        <v>0</v>
      </c>
      <c r="V1130" s="2">
        <v>0</v>
      </c>
      <c r="W1130" s="2">
        <v>1</v>
      </c>
      <c r="X1130" s="2">
        <v>0</v>
      </c>
      <c r="Y1130" s="2">
        <v>1</v>
      </c>
      <c r="Z1130" s="27">
        <v>1989.029</v>
      </c>
      <c r="AA1130" s="31">
        <v>1990.03</v>
      </c>
    </row>
    <row r="1131" spans="1:27" x14ac:dyDescent="0.2">
      <c r="A1131" s="3" t="s">
        <v>4288</v>
      </c>
      <c r="B1131" s="2" t="s">
        <v>4289</v>
      </c>
      <c r="C1131" s="8">
        <v>32952</v>
      </c>
      <c r="D1131" s="2">
        <v>1990</v>
      </c>
      <c r="E1131" s="2">
        <v>1990</v>
      </c>
      <c r="F1131" s="2">
        <v>1</v>
      </c>
      <c r="G1131" s="2">
        <v>1</v>
      </c>
      <c r="H1131" s="3" t="s">
        <v>3442</v>
      </c>
      <c r="I1131" s="3" t="s">
        <v>5068</v>
      </c>
      <c r="J1131" s="3" t="s">
        <v>4290</v>
      </c>
      <c r="K1131" s="21" t="s">
        <v>2133</v>
      </c>
      <c r="L1131" s="10">
        <v>17341</v>
      </c>
      <c r="M1131" s="4">
        <f>9+(12*42)</f>
        <v>513</v>
      </c>
      <c r="N1131" s="2">
        <v>80</v>
      </c>
      <c r="O1131" s="2">
        <v>1</v>
      </c>
      <c r="Q1131" s="2">
        <v>1</v>
      </c>
      <c r="R1131" s="2">
        <v>0</v>
      </c>
      <c r="S1131" s="2">
        <v>0</v>
      </c>
      <c r="T1131" s="2">
        <v>1</v>
      </c>
      <c r="U1131" s="2">
        <v>0</v>
      </c>
      <c r="V1131" s="2">
        <v>0</v>
      </c>
      <c r="W1131" s="2">
        <v>0</v>
      </c>
      <c r="X1131" s="2">
        <v>3</v>
      </c>
      <c r="Y1131" s="2">
        <v>0</v>
      </c>
      <c r="Z1131" s="27">
        <v>1989.0509999999999</v>
      </c>
      <c r="AA1131" s="31">
        <v>1990.04</v>
      </c>
    </row>
    <row r="1132" spans="1:27" x14ac:dyDescent="0.2">
      <c r="A1132" s="3" t="s">
        <v>3121</v>
      </c>
      <c r="B1132" s="2" t="s">
        <v>3122</v>
      </c>
      <c r="C1132" s="8">
        <v>32959</v>
      </c>
      <c r="D1132" s="2">
        <v>1990</v>
      </c>
      <c r="E1132" s="2">
        <v>1990</v>
      </c>
      <c r="F1132" s="2">
        <v>0</v>
      </c>
      <c r="G1132" s="2">
        <v>0</v>
      </c>
      <c r="H1132" s="3" t="s">
        <v>27</v>
      </c>
      <c r="I1132" s="3" t="s">
        <v>4830</v>
      </c>
      <c r="J1132" s="3" t="s">
        <v>3123</v>
      </c>
      <c r="K1132" s="21" t="s">
        <v>3124</v>
      </c>
      <c r="L1132" s="10">
        <v>25567</v>
      </c>
      <c r="M1132" s="4">
        <f>3+(12*20)</f>
        <v>243</v>
      </c>
      <c r="N1132" s="2">
        <v>91</v>
      </c>
      <c r="O1132" s="2">
        <v>1</v>
      </c>
      <c r="Q1132" s="2">
        <v>0</v>
      </c>
      <c r="R1132" s="2">
        <v>0</v>
      </c>
      <c r="S1132" s="2">
        <v>1</v>
      </c>
      <c r="T1132" s="2">
        <v>1</v>
      </c>
      <c r="U1132" s="2">
        <v>1</v>
      </c>
      <c r="V1132" s="2">
        <v>0</v>
      </c>
      <c r="W1132" s="2">
        <v>1</v>
      </c>
      <c r="X1132" s="2">
        <v>0</v>
      </c>
      <c r="Y1132" s="2">
        <v>1</v>
      </c>
      <c r="Z1132" s="27">
        <v>1989.056</v>
      </c>
      <c r="AA1132" s="31">
        <v>1990.05</v>
      </c>
    </row>
    <row r="1133" spans="1:27" x14ac:dyDescent="0.2">
      <c r="A1133" s="3" t="s">
        <v>3125</v>
      </c>
      <c r="B1133" s="2" t="s">
        <v>3126</v>
      </c>
      <c r="C1133" s="8">
        <v>33014</v>
      </c>
      <c r="D1133" s="2">
        <v>1990</v>
      </c>
      <c r="E1133" s="2">
        <v>1990</v>
      </c>
      <c r="F1133" s="2">
        <v>0</v>
      </c>
      <c r="G1133" s="2">
        <v>0</v>
      </c>
      <c r="H1133" s="3" t="s">
        <v>27</v>
      </c>
      <c r="I1133" s="3" t="s">
        <v>5074</v>
      </c>
      <c r="J1133" s="3" t="s">
        <v>3127</v>
      </c>
      <c r="K1133" s="21" t="s">
        <v>3047</v>
      </c>
      <c r="L1133" s="10">
        <v>30967</v>
      </c>
      <c r="M1133" s="4">
        <f>7+60</f>
        <v>67</v>
      </c>
      <c r="N1133" s="2">
        <v>98</v>
      </c>
      <c r="O1133" s="2">
        <v>6</v>
      </c>
      <c r="Q1133" s="2">
        <v>0</v>
      </c>
      <c r="R1133" s="2">
        <v>0</v>
      </c>
      <c r="S1133" s="2">
        <v>1</v>
      </c>
      <c r="T1133" s="2">
        <v>1</v>
      </c>
      <c r="U1133" s="2">
        <v>1</v>
      </c>
      <c r="V1133" s="2">
        <v>0</v>
      </c>
      <c r="W1133" s="2">
        <v>1</v>
      </c>
      <c r="X1133" s="2">
        <v>0</v>
      </c>
      <c r="Y1133" s="2">
        <v>1</v>
      </c>
      <c r="Z1133" s="27">
        <v>1989.078</v>
      </c>
      <c r="AA1133" s="31">
        <v>1990.06</v>
      </c>
    </row>
    <row r="1134" spans="1:27" x14ac:dyDescent="0.2">
      <c r="A1134" s="3" t="s">
        <v>3098</v>
      </c>
      <c r="B1134" s="2" t="s">
        <v>3099</v>
      </c>
      <c r="C1134" s="8">
        <v>33028</v>
      </c>
      <c r="D1134" s="2">
        <v>1990</v>
      </c>
      <c r="E1134" s="2">
        <v>1990</v>
      </c>
      <c r="F1134" s="2">
        <v>0</v>
      </c>
      <c r="G1134" s="2">
        <v>0</v>
      </c>
      <c r="H1134" s="3" t="s">
        <v>27</v>
      </c>
      <c r="I1134" s="3" t="s">
        <v>4829</v>
      </c>
      <c r="J1134" s="3" t="s">
        <v>3100</v>
      </c>
      <c r="K1134" s="21" t="s">
        <v>3101</v>
      </c>
      <c r="L1134" s="10">
        <v>30905</v>
      </c>
      <c r="M1134" s="4">
        <f>10+(12*5)</f>
        <v>70</v>
      </c>
      <c r="N1134" s="2">
        <v>98</v>
      </c>
      <c r="O1134" s="2">
        <v>2</v>
      </c>
      <c r="Q1134" s="2">
        <v>0</v>
      </c>
      <c r="R1134" s="2">
        <v>0</v>
      </c>
      <c r="S1134" s="2">
        <v>1</v>
      </c>
      <c r="T1134" s="2">
        <v>1</v>
      </c>
      <c r="U1134" s="2">
        <v>0</v>
      </c>
      <c r="V1134" s="2">
        <v>0</v>
      </c>
      <c r="W1134" s="2">
        <v>0</v>
      </c>
      <c r="X1134" s="2">
        <v>1</v>
      </c>
      <c r="Y1134" s="2">
        <v>1</v>
      </c>
      <c r="Z1134" s="27">
        <v>1989.1010000000001</v>
      </c>
      <c r="AA1134" s="31">
        <v>1990.07</v>
      </c>
    </row>
    <row r="1135" spans="1:27" x14ac:dyDescent="0.2">
      <c r="A1135" s="3" t="s">
        <v>4291</v>
      </c>
      <c r="B1135" s="2" t="s">
        <v>4292</v>
      </c>
      <c r="C1135" s="8">
        <v>33035</v>
      </c>
      <c r="D1135" s="2">
        <v>1990</v>
      </c>
      <c r="E1135" s="2">
        <v>1990</v>
      </c>
      <c r="F1135" s="2">
        <v>2</v>
      </c>
      <c r="G1135" s="2">
        <v>1</v>
      </c>
      <c r="H1135" s="3" t="s">
        <v>3434</v>
      </c>
      <c r="I1135" s="3" t="s">
        <v>4828</v>
      </c>
      <c r="J1135" s="3" t="s">
        <v>4293</v>
      </c>
      <c r="K1135" s="21" t="s">
        <v>4294</v>
      </c>
      <c r="L1135" s="10">
        <v>32809</v>
      </c>
      <c r="M1135" s="4">
        <f>8</f>
        <v>8</v>
      </c>
      <c r="N1135" s="2">
        <v>101</v>
      </c>
      <c r="O1135" s="2">
        <v>2</v>
      </c>
      <c r="Q1135" s="2">
        <v>0</v>
      </c>
      <c r="R1135" s="2">
        <v>0</v>
      </c>
      <c r="S1135" s="2">
        <v>1</v>
      </c>
      <c r="T1135" s="2">
        <v>0</v>
      </c>
      <c r="U1135" s="2">
        <v>0</v>
      </c>
      <c r="V1135" s="2">
        <v>1</v>
      </c>
      <c r="W1135" s="2">
        <v>1</v>
      </c>
      <c r="X1135" s="2">
        <v>4</v>
      </c>
      <c r="Y1135" s="2">
        <v>1</v>
      </c>
      <c r="Z1135" s="27">
        <v>1989.1030000000001</v>
      </c>
      <c r="AA1135" s="31">
        <v>1990.08</v>
      </c>
    </row>
    <row r="1136" spans="1:27" x14ac:dyDescent="0.2">
      <c r="A1136" s="3" t="s">
        <v>3111</v>
      </c>
      <c r="B1136" s="2" t="s">
        <v>3112</v>
      </c>
      <c r="C1136" s="8">
        <v>33035</v>
      </c>
      <c r="D1136" s="2">
        <v>1990</v>
      </c>
      <c r="E1136" s="2">
        <v>1990</v>
      </c>
      <c r="F1136" s="2">
        <v>0</v>
      </c>
      <c r="G1136" s="2">
        <v>0</v>
      </c>
      <c r="H1136" s="3" t="s">
        <v>27</v>
      </c>
      <c r="I1136" s="3" t="s">
        <v>4827</v>
      </c>
      <c r="J1136" s="3" t="s">
        <v>3113</v>
      </c>
      <c r="K1136" s="21" t="s">
        <v>3114</v>
      </c>
      <c r="L1136" s="10">
        <v>31730</v>
      </c>
      <c r="M1136" s="4">
        <f>7+36</f>
        <v>43</v>
      </c>
      <c r="N1136" s="2">
        <v>99</v>
      </c>
      <c r="O1136" s="2">
        <v>5</v>
      </c>
      <c r="Q1136" s="2">
        <v>0</v>
      </c>
      <c r="R1136" s="2">
        <v>0</v>
      </c>
      <c r="S1136" s="2">
        <v>1</v>
      </c>
      <c r="T1136" s="2">
        <v>1</v>
      </c>
      <c r="U1136" s="2">
        <v>0</v>
      </c>
      <c r="V1136" s="2">
        <v>0</v>
      </c>
      <c r="W1136" s="2">
        <v>1</v>
      </c>
      <c r="X1136" s="2">
        <v>0</v>
      </c>
      <c r="Y1136" s="2">
        <v>1</v>
      </c>
      <c r="Z1136" s="27">
        <v>1989.105</v>
      </c>
      <c r="AA1136" s="31">
        <v>1990.09</v>
      </c>
    </row>
    <row r="1137" spans="1:27" x14ac:dyDescent="0.2">
      <c r="A1137" s="3" t="s">
        <v>3108</v>
      </c>
      <c r="B1137" s="2" t="s">
        <v>3109</v>
      </c>
      <c r="C1137" s="8">
        <v>33035</v>
      </c>
      <c r="D1137" s="2">
        <v>1990</v>
      </c>
      <c r="E1137" s="2">
        <v>1990</v>
      </c>
      <c r="F1137" s="2">
        <v>0</v>
      </c>
      <c r="G1137" s="2">
        <v>0</v>
      </c>
      <c r="H1137" s="3" t="s">
        <v>27</v>
      </c>
      <c r="I1137" s="3" t="s">
        <v>3110</v>
      </c>
      <c r="J1137" s="3" t="s">
        <v>3110</v>
      </c>
      <c r="K1137" s="21" t="s">
        <v>2575</v>
      </c>
      <c r="L1137" s="10">
        <v>24356</v>
      </c>
      <c r="M1137" s="4">
        <f>9+(23*12)</f>
        <v>285</v>
      </c>
      <c r="N1137" s="2">
        <v>89</v>
      </c>
      <c r="O1137" s="2">
        <v>6</v>
      </c>
      <c r="Q1137" s="2">
        <v>0</v>
      </c>
      <c r="R1137" s="2">
        <v>0</v>
      </c>
      <c r="S1137" s="2">
        <v>1</v>
      </c>
      <c r="T1137" s="2">
        <v>1</v>
      </c>
      <c r="U1137" s="2">
        <v>1</v>
      </c>
      <c r="V1137" s="2">
        <v>0</v>
      </c>
      <c r="W1137" s="2">
        <v>1</v>
      </c>
      <c r="X1137" s="2">
        <v>2</v>
      </c>
      <c r="Y1137" s="2">
        <v>1</v>
      </c>
      <c r="Z1137" s="27">
        <v>1989.1079999999999</v>
      </c>
      <c r="AA1137" s="31">
        <v>1990.1</v>
      </c>
    </row>
    <row r="1138" spans="1:27" x14ac:dyDescent="0.2">
      <c r="A1138" s="3" t="s">
        <v>3118</v>
      </c>
      <c r="B1138" s="2" t="s">
        <v>3119</v>
      </c>
      <c r="C1138" s="8">
        <v>33038</v>
      </c>
      <c r="D1138" s="2">
        <v>1990</v>
      </c>
      <c r="E1138" s="2">
        <v>1990</v>
      </c>
      <c r="F1138" s="2">
        <v>0</v>
      </c>
      <c r="G1138" s="2">
        <v>0</v>
      </c>
      <c r="H1138" s="3" t="s">
        <v>27</v>
      </c>
      <c r="I1138" s="3" t="s">
        <v>4826</v>
      </c>
      <c r="J1138" s="3" t="s">
        <v>3120</v>
      </c>
      <c r="K1138" s="21" t="s">
        <v>2984</v>
      </c>
      <c r="L1138" s="10">
        <v>30881</v>
      </c>
      <c r="M1138" s="4">
        <f>11+(12*5)</f>
        <v>71</v>
      </c>
      <c r="N1138" s="2">
        <v>98</v>
      </c>
      <c r="O1138" s="2">
        <v>3</v>
      </c>
      <c r="Q1138" s="2">
        <v>0</v>
      </c>
      <c r="R1138" s="2">
        <v>0</v>
      </c>
      <c r="S1138" s="2">
        <v>1</v>
      </c>
      <c r="T1138" s="2">
        <v>1</v>
      </c>
      <c r="U1138" s="2">
        <v>1</v>
      </c>
      <c r="V1138" s="2">
        <v>0</v>
      </c>
      <c r="W1138" s="2">
        <v>1</v>
      </c>
      <c r="X1138" s="2">
        <v>4</v>
      </c>
      <c r="Y1138" s="2">
        <v>1</v>
      </c>
      <c r="Z1138" s="27">
        <v>1989.11</v>
      </c>
      <c r="AA1138" s="31">
        <v>1990.11</v>
      </c>
    </row>
    <row r="1139" spans="1:27" x14ac:dyDescent="0.2">
      <c r="A1139" s="3" t="s">
        <v>3104</v>
      </c>
      <c r="B1139" s="2" t="s">
        <v>3105</v>
      </c>
      <c r="C1139" s="8">
        <v>33051</v>
      </c>
      <c r="D1139" s="2">
        <v>1990</v>
      </c>
      <c r="E1139" s="2">
        <v>1990</v>
      </c>
      <c r="F1139" s="2">
        <v>0</v>
      </c>
      <c r="G1139" s="2">
        <v>0</v>
      </c>
      <c r="H1139" s="3" t="s">
        <v>27</v>
      </c>
      <c r="I1139" s="3" t="s">
        <v>3106</v>
      </c>
      <c r="J1139" s="3" t="s">
        <v>3106</v>
      </c>
      <c r="K1139" s="21" t="s">
        <v>3107</v>
      </c>
      <c r="L1139" s="10">
        <v>32133</v>
      </c>
      <c r="M1139" s="4">
        <f>6+24</f>
        <v>30</v>
      </c>
      <c r="N1139" s="2">
        <v>100</v>
      </c>
      <c r="O1139" s="2">
        <v>3</v>
      </c>
      <c r="Q1139" s="2">
        <v>0</v>
      </c>
      <c r="R1139" s="2">
        <v>0</v>
      </c>
      <c r="S1139" s="2">
        <v>1</v>
      </c>
      <c r="T1139" s="2">
        <v>1</v>
      </c>
      <c r="U1139" s="2">
        <v>1</v>
      </c>
      <c r="V1139" s="2">
        <v>0</v>
      </c>
      <c r="W1139" s="2">
        <v>1</v>
      </c>
      <c r="X1139" s="2">
        <v>4</v>
      </c>
      <c r="Y1139" s="2">
        <v>1</v>
      </c>
      <c r="Z1139" s="27">
        <v>1989.136</v>
      </c>
      <c r="AA1139" s="31">
        <v>1990.12</v>
      </c>
    </row>
    <row r="1140" spans="1:27" x14ac:dyDescent="0.2">
      <c r="A1140" s="3" t="s">
        <v>3146</v>
      </c>
      <c r="B1140" s="2" t="s">
        <v>3147</v>
      </c>
      <c r="C1140" s="8">
        <v>33378</v>
      </c>
      <c r="D1140" s="2">
        <v>1991</v>
      </c>
      <c r="E1140" s="2">
        <v>1990</v>
      </c>
      <c r="F1140" s="2">
        <v>0</v>
      </c>
      <c r="G1140" s="2">
        <v>0</v>
      </c>
      <c r="H1140" s="3" t="s">
        <v>27</v>
      </c>
      <c r="I1140" s="3" t="s">
        <v>5074</v>
      </c>
      <c r="J1140" s="3" t="s">
        <v>3148</v>
      </c>
      <c r="K1140" s="21" t="s">
        <v>3047</v>
      </c>
      <c r="L1140" s="10">
        <v>30967</v>
      </c>
      <c r="M1140" s="4">
        <f>7+(12*6)</f>
        <v>79</v>
      </c>
      <c r="N1140" s="2">
        <v>98</v>
      </c>
      <c r="O1140" s="2">
        <v>6</v>
      </c>
      <c r="Q1140" s="2">
        <v>0</v>
      </c>
      <c r="R1140" s="2">
        <v>0</v>
      </c>
      <c r="S1140" s="2">
        <v>1</v>
      </c>
      <c r="T1140" s="2">
        <v>1</v>
      </c>
      <c r="U1140" s="2">
        <v>0</v>
      </c>
      <c r="V1140" s="2">
        <v>0</v>
      </c>
      <c r="W1140" s="2">
        <v>1</v>
      </c>
      <c r="X1140" s="2">
        <v>0</v>
      </c>
      <c r="Y1140" s="2">
        <v>1</v>
      </c>
      <c r="Z1140" s="27">
        <v>1990.075</v>
      </c>
      <c r="AA1140" s="31">
        <v>1991.01</v>
      </c>
    </row>
    <row r="1141" spans="1:27" x14ac:dyDescent="0.2">
      <c r="A1141" s="3" t="s">
        <v>3142</v>
      </c>
      <c r="B1141" s="2" t="s">
        <v>3143</v>
      </c>
      <c r="C1141" s="8">
        <v>33381</v>
      </c>
      <c r="D1141" s="2">
        <v>1991</v>
      </c>
      <c r="E1141" s="2">
        <v>1990</v>
      </c>
      <c r="F1141" s="2">
        <v>0</v>
      </c>
      <c r="G1141" s="2">
        <v>0</v>
      </c>
      <c r="H1141" s="3" t="s">
        <v>27</v>
      </c>
      <c r="I1141" s="3" t="s">
        <v>4825</v>
      </c>
      <c r="J1141" s="3" t="s">
        <v>3144</v>
      </c>
      <c r="K1141" s="21" t="s">
        <v>3145</v>
      </c>
      <c r="L1141" s="10">
        <v>25926</v>
      </c>
      <c r="M1141" s="4">
        <f>5+(12*20)</f>
        <v>245</v>
      </c>
      <c r="N1141" s="2">
        <v>91</v>
      </c>
      <c r="O1141" s="2">
        <v>2</v>
      </c>
      <c r="P1141" s="2">
        <v>3</v>
      </c>
      <c r="Q1141" s="2">
        <v>0</v>
      </c>
      <c r="R1141" s="2">
        <v>0</v>
      </c>
      <c r="S1141" s="2">
        <v>1</v>
      </c>
      <c r="T1141" s="2">
        <v>1</v>
      </c>
      <c r="U1141" s="2">
        <v>0</v>
      </c>
      <c r="V1141" s="2">
        <v>0</v>
      </c>
      <c r="W1141" s="2">
        <v>1</v>
      </c>
      <c r="X1141" s="2">
        <v>4</v>
      </c>
      <c r="Y1141" s="2">
        <v>1</v>
      </c>
      <c r="Z1141" s="27">
        <v>1990.077</v>
      </c>
      <c r="AA1141" s="31">
        <v>1991.02</v>
      </c>
    </row>
    <row r="1142" spans="1:27" x14ac:dyDescent="0.2">
      <c r="A1142" s="3" t="s">
        <v>3130</v>
      </c>
      <c r="B1142" s="2" t="s">
        <v>3131</v>
      </c>
      <c r="C1142" s="8">
        <v>33388</v>
      </c>
      <c r="D1142" s="2">
        <v>1991</v>
      </c>
      <c r="E1142" s="2">
        <v>1990</v>
      </c>
      <c r="F1142" s="2">
        <v>0</v>
      </c>
      <c r="G1142" s="2">
        <v>0</v>
      </c>
      <c r="H1142" s="3" t="s">
        <v>27</v>
      </c>
      <c r="I1142" s="3" t="s">
        <v>4737</v>
      </c>
      <c r="J1142" s="3" t="s">
        <v>3132</v>
      </c>
      <c r="K1142" s="21" t="s">
        <v>3133</v>
      </c>
      <c r="L1142" s="10">
        <v>31712</v>
      </c>
      <c r="M1142" s="4">
        <f>7+(12*4)</f>
        <v>55</v>
      </c>
      <c r="N1142" s="2">
        <v>99</v>
      </c>
      <c r="O1142" s="2">
        <v>1</v>
      </c>
      <c r="Q1142" s="2">
        <v>1</v>
      </c>
      <c r="R1142" s="2">
        <v>1</v>
      </c>
      <c r="S1142" s="2">
        <v>1</v>
      </c>
      <c r="T1142" s="2">
        <v>1</v>
      </c>
      <c r="U1142" s="2">
        <v>0</v>
      </c>
      <c r="V1142" s="2">
        <v>0</v>
      </c>
      <c r="W1142" s="2">
        <v>1</v>
      </c>
      <c r="X1142" s="2">
        <v>2</v>
      </c>
      <c r="Y1142" s="2">
        <v>1</v>
      </c>
      <c r="Z1142" s="27">
        <v>1990.0889999999999</v>
      </c>
      <c r="AA1142" s="31">
        <v>1991.03</v>
      </c>
    </row>
    <row r="1143" spans="1:27" x14ac:dyDescent="0.2">
      <c r="A1143" s="3" t="s">
        <v>4295</v>
      </c>
      <c r="B1143" s="2" t="s">
        <v>4296</v>
      </c>
      <c r="C1143" s="8">
        <v>33402</v>
      </c>
      <c r="D1143" s="2">
        <v>1991</v>
      </c>
      <c r="E1143" s="2">
        <v>1990</v>
      </c>
      <c r="F1143" s="2">
        <v>1</v>
      </c>
      <c r="G1143" s="2">
        <v>1</v>
      </c>
      <c r="H1143" s="3" t="s">
        <v>3442</v>
      </c>
      <c r="I1143" s="3" t="s">
        <v>5074</v>
      </c>
      <c r="J1143" s="3" t="s">
        <v>4297</v>
      </c>
      <c r="K1143" s="21" t="s">
        <v>3047</v>
      </c>
      <c r="L1143" s="10">
        <v>30967</v>
      </c>
      <c r="M1143" s="4">
        <f>8+(6*12)</f>
        <v>80</v>
      </c>
      <c r="N1143" s="2">
        <v>98</v>
      </c>
      <c r="O1143" s="2">
        <v>1</v>
      </c>
      <c r="Q1143" s="2">
        <v>1</v>
      </c>
      <c r="R1143" s="2">
        <v>0</v>
      </c>
      <c r="S1143" s="2">
        <v>1</v>
      </c>
      <c r="T1143" s="2">
        <v>1</v>
      </c>
      <c r="U1143" s="2">
        <v>1</v>
      </c>
      <c r="V1143" s="2">
        <v>0</v>
      </c>
      <c r="W1143" s="2">
        <v>1</v>
      </c>
      <c r="X1143" s="2">
        <v>4</v>
      </c>
      <c r="Y1143" s="2">
        <v>1</v>
      </c>
      <c r="Z1143" s="27">
        <v>1990.1020000000001</v>
      </c>
      <c r="AA1143" s="31">
        <v>1991.04</v>
      </c>
    </row>
    <row r="1144" spans="1:27" x14ac:dyDescent="0.2">
      <c r="A1144" s="3" t="s">
        <v>4301</v>
      </c>
      <c r="B1144" s="2" t="s">
        <v>4302</v>
      </c>
      <c r="C1144" s="8">
        <v>33406</v>
      </c>
      <c r="D1144" s="2">
        <v>1991</v>
      </c>
      <c r="E1144" s="2">
        <v>1990</v>
      </c>
      <c r="F1144" s="2">
        <v>2</v>
      </c>
      <c r="G1144" s="2">
        <v>1</v>
      </c>
      <c r="H1144" s="3" t="s">
        <v>3434</v>
      </c>
      <c r="I1144" s="3" t="s">
        <v>5071</v>
      </c>
      <c r="J1144" s="3" t="s">
        <v>4303</v>
      </c>
      <c r="K1144" s="21" t="s">
        <v>4304</v>
      </c>
      <c r="L1144" s="10">
        <v>31715</v>
      </c>
      <c r="M1144" s="4">
        <f>8+(12*4)</f>
        <v>56</v>
      </c>
      <c r="N1144" s="2">
        <v>99</v>
      </c>
      <c r="O1144" s="2">
        <v>6</v>
      </c>
      <c r="Q1144" s="2">
        <v>0</v>
      </c>
      <c r="R1144" s="2">
        <v>0</v>
      </c>
      <c r="S1144" s="2">
        <v>1</v>
      </c>
      <c r="T1144" s="2">
        <v>1</v>
      </c>
      <c r="U1144" s="2">
        <v>0</v>
      </c>
      <c r="V1144" s="2">
        <v>1</v>
      </c>
      <c r="W1144" s="2">
        <v>0</v>
      </c>
      <c r="X1144" s="2">
        <v>3</v>
      </c>
      <c r="Y1144" s="2">
        <v>1</v>
      </c>
      <c r="Z1144" s="27">
        <v>1990.107</v>
      </c>
      <c r="AA1144" s="31">
        <v>1991.05</v>
      </c>
    </row>
    <row r="1145" spans="1:27" x14ac:dyDescent="0.2">
      <c r="A1145" s="3" t="s">
        <v>4298</v>
      </c>
      <c r="B1145" s="2" t="s">
        <v>4299</v>
      </c>
      <c r="C1145" s="8">
        <v>33409</v>
      </c>
      <c r="D1145" s="2">
        <v>1991</v>
      </c>
      <c r="E1145" s="2">
        <v>1990</v>
      </c>
      <c r="F1145" s="2">
        <v>2</v>
      </c>
      <c r="G1145" s="2">
        <v>1</v>
      </c>
      <c r="H1145" s="3" t="s">
        <v>3434</v>
      </c>
      <c r="I1145" s="3" t="s">
        <v>4728</v>
      </c>
      <c r="J1145" s="3" t="s">
        <v>4300</v>
      </c>
      <c r="K1145" s="21" t="s">
        <v>2956</v>
      </c>
      <c r="L1145" s="10">
        <v>27127</v>
      </c>
      <c r="M1145" s="4">
        <f>2+(17*12)</f>
        <v>206</v>
      </c>
      <c r="N1145" s="2">
        <v>93</v>
      </c>
      <c r="O1145" s="2">
        <v>5</v>
      </c>
      <c r="Q1145" s="2">
        <v>0</v>
      </c>
      <c r="R1145" s="2">
        <v>0</v>
      </c>
      <c r="S1145" s="2">
        <v>0</v>
      </c>
      <c r="T1145" s="2">
        <v>1</v>
      </c>
      <c r="U1145" s="2">
        <v>0</v>
      </c>
      <c r="V1145" s="2">
        <v>0</v>
      </c>
      <c r="W1145" s="2">
        <v>0</v>
      </c>
      <c r="X1145" s="2">
        <v>4</v>
      </c>
      <c r="Y1145" s="2">
        <v>1</v>
      </c>
      <c r="Z1145" s="27">
        <v>1990.114</v>
      </c>
      <c r="AA1145" s="31">
        <v>1991.06</v>
      </c>
    </row>
    <row r="1146" spans="1:27" x14ac:dyDescent="0.2">
      <c r="A1146" s="3" t="s">
        <v>3134</v>
      </c>
      <c r="B1146" s="2" t="s">
        <v>3135</v>
      </c>
      <c r="C1146" s="8">
        <v>33416</v>
      </c>
      <c r="D1146" s="2">
        <v>1991</v>
      </c>
      <c r="E1146" s="2">
        <v>1990</v>
      </c>
      <c r="F1146" s="2">
        <v>0</v>
      </c>
      <c r="G1146" s="2">
        <v>0</v>
      </c>
      <c r="H1146" s="3" t="s">
        <v>27</v>
      </c>
      <c r="I1146" s="3" t="s">
        <v>4824</v>
      </c>
      <c r="J1146" s="3" t="s">
        <v>3136</v>
      </c>
      <c r="K1146" s="21" t="s">
        <v>3137</v>
      </c>
      <c r="L1146" s="10">
        <v>31707</v>
      </c>
      <c r="M1146" s="4">
        <f>8+(12*4)</f>
        <v>56</v>
      </c>
      <c r="N1146" s="2">
        <v>99</v>
      </c>
      <c r="O1146" s="2">
        <v>6</v>
      </c>
      <c r="Q1146" s="2">
        <v>1</v>
      </c>
      <c r="R1146" s="2">
        <v>0</v>
      </c>
      <c r="S1146" s="2">
        <v>1</v>
      </c>
      <c r="T1146" s="2">
        <v>1</v>
      </c>
      <c r="U1146" s="2">
        <v>0</v>
      </c>
      <c r="V1146" s="2">
        <v>0</v>
      </c>
      <c r="W1146" s="2">
        <v>1</v>
      </c>
      <c r="X1146" s="2">
        <v>0</v>
      </c>
      <c r="Y1146" s="2">
        <v>1</v>
      </c>
      <c r="Z1146" s="27">
        <v>1990.126</v>
      </c>
      <c r="AA1146" s="31">
        <v>1991.07</v>
      </c>
    </row>
    <row r="1147" spans="1:27" x14ac:dyDescent="0.2">
      <c r="A1147" s="3" t="s">
        <v>3138</v>
      </c>
      <c r="B1147" s="2" t="s">
        <v>3139</v>
      </c>
      <c r="C1147" s="8">
        <v>33416</v>
      </c>
      <c r="D1147" s="2">
        <v>1991</v>
      </c>
      <c r="E1147" s="2">
        <v>1990</v>
      </c>
      <c r="F1147" s="2">
        <v>0</v>
      </c>
      <c r="G1147" s="2">
        <v>0</v>
      </c>
      <c r="H1147" s="3" t="s">
        <v>27</v>
      </c>
      <c r="I1147" s="3" t="s">
        <v>4823</v>
      </c>
      <c r="J1147" s="3" t="s">
        <v>3140</v>
      </c>
      <c r="K1147" s="21" t="s">
        <v>3141</v>
      </c>
      <c r="L1147" s="10">
        <v>25128</v>
      </c>
      <c r="M1147" s="4">
        <f>8+(23*12)</f>
        <v>284</v>
      </c>
      <c r="N1147" s="2">
        <v>90</v>
      </c>
      <c r="O1147" s="2">
        <v>6</v>
      </c>
      <c r="Q1147" s="2">
        <v>0</v>
      </c>
      <c r="R1147" s="2">
        <v>0</v>
      </c>
      <c r="S1147" s="2">
        <v>1</v>
      </c>
      <c r="T1147" s="2">
        <v>1</v>
      </c>
      <c r="U1147" s="2">
        <v>0</v>
      </c>
      <c r="V1147" s="2">
        <v>0</v>
      </c>
      <c r="W1147" s="2">
        <v>1</v>
      </c>
      <c r="X1147" s="2">
        <v>4</v>
      </c>
      <c r="Y1147" s="2">
        <v>1</v>
      </c>
      <c r="Z1147" s="27">
        <v>1990.127</v>
      </c>
      <c r="AA1147" s="31">
        <v>1991.08</v>
      </c>
    </row>
    <row r="1148" spans="1:27" x14ac:dyDescent="0.2">
      <c r="A1148" s="3" t="s">
        <v>3164</v>
      </c>
      <c r="B1148" s="2" t="s">
        <v>3165</v>
      </c>
      <c r="C1148" s="8">
        <v>33666</v>
      </c>
      <c r="D1148" s="2">
        <v>1992</v>
      </c>
      <c r="E1148" s="2">
        <v>1990</v>
      </c>
      <c r="F1148" s="2">
        <v>0</v>
      </c>
      <c r="G1148" s="2">
        <v>0</v>
      </c>
      <c r="H1148" s="3" t="s">
        <v>27</v>
      </c>
      <c r="I1148" s="3" t="s">
        <v>5084</v>
      </c>
      <c r="J1148" s="3" t="s">
        <v>2402</v>
      </c>
      <c r="K1148" s="3" t="s">
        <v>2403</v>
      </c>
      <c r="L1148" s="10">
        <v>17709</v>
      </c>
      <c r="M1148" s="4">
        <f>9+(44*12)</f>
        <v>537</v>
      </c>
      <c r="N1148" s="2">
        <v>80</v>
      </c>
      <c r="O1148" s="2">
        <v>6</v>
      </c>
      <c r="Q1148" s="2">
        <v>0</v>
      </c>
      <c r="R1148" s="2">
        <v>0</v>
      </c>
      <c r="S1148" s="2">
        <v>0</v>
      </c>
      <c r="T1148" s="2">
        <v>1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7">
        <v>1991.039</v>
      </c>
      <c r="AA1148" s="31">
        <v>1992.01</v>
      </c>
    </row>
    <row r="1149" spans="1:27" x14ac:dyDescent="0.2">
      <c r="A1149" s="3" t="s">
        <v>3153</v>
      </c>
      <c r="B1149" s="2" t="s">
        <v>3154</v>
      </c>
      <c r="C1149" s="8">
        <v>33688</v>
      </c>
      <c r="D1149" s="2">
        <v>1992</v>
      </c>
      <c r="E1149" s="2">
        <v>1990</v>
      </c>
      <c r="F1149" s="2">
        <v>0</v>
      </c>
      <c r="G1149" s="2">
        <v>0</v>
      </c>
      <c r="H1149" s="3" t="s">
        <v>27</v>
      </c>
      <c r="I1149" s="3" t="s">
        <v>4753</v>
      </c>
      <c r="J1149" s="3" t="s">
        <v>3155</v>
      </c>
      <c r="K1149" s="21" t="s">
        <v>3156</v>
      </c>
      <c r="L1149" s="10">
        <v>25871</v>
      </c>
      <c r="M1149" s="4">
        <f>5+(22*12)</f>
        <v>269</v>
      </c>
      <c r="N1149" s="2">
        <v>91</v>
      </c>
      <c r="O1149" s="2">
        <v>4</v>
      </c>
      <c r="Q1149" s="2">
        <v>1</v>
      </c>
      <c r="R1149" s="2">
        <v>0</v>
      </c>
      <c r="S1149" s="2">
        <v>1</v>
      </c>
      <c r="T1149" s="2">
        <v>1</v>
      </c>
      <c r="U1149" s="2">
        <v>1</v>
      </c>
      <c r="V1149" s="2">
        <v>0</v>
      </c>
      <c r="W1149" s="2">
        <v>1</v>
      </c>
      <c r="X1149" s="2">
        <v>3</v>
      </c>
      <c r="Y1149" s="2">
        <v>1</v>
      </c>
      <c r="Z1149" s="27">
        <v>1991.0540000000001</v>
      </c>
      <c r="AA1149" s="31">
        <v>1992.02</v>
      </c>
    </row>
    <row r="1150" spans="1:27" x14ac:dyDescent="0.2">
      <c r="A1150" s="3" t="s">
        <v>3160</v>
      </c>
      <c r="B1150" s="2" t="s">
        <v>3161</v>
      </c>
      <c r="C1150" s="8">
        <v>33688</v>
      </c>
      <c r="D1150" s="2">
        <v>1992</v>
      </c>
      <c r="E1150" s="2">
        <v>1990</v>
      </c>
      <c r="F1150" s="2">
        <v>0</v>
      </c>
      <c r="G1150" s="2">
        <v>0</v>
      </c>
      <c r="H1150" s="3" t="s">
        <v>27</v>
      </c>
      <c r="I1150" s="3" t="s">
        <v>3162</v>
      </c>
      <c r="J1150" s="3" t="s">
        <v>3162</v>
      </c>
      <c r="K1150" s="21" t="s">
        <v>3163</v>
      </c>
      <c r="L1150" s="10">
        <v>32804</v>
      </c>
      <c r="M1150" s="4">
        <f>5+24</f>
        <v>29</v>
      </c>
      <c r="N1150" s="2">
        <v>101</v>
      </c>
      <c r="O1150" s="2">
        <v>6</v>
      </c>
      <c r="Q1150" s="2">
        <v>0</v>
      </c>
      <c r="R1150" s="2">
        <v>0</v>
      </c>
      <c r="S1150" s="2">
        <v>1</v>
      </c>
      <c r="T1150" s="2">
        <v>1</v>
      </c>
      <c r="U1150" s="2">
        <v>1</v>
      </c>
      <c r="V1150" s="2">
        <v>0</v>
      </c>
      <c r="W1150" s="2">
        <v>1</v>
      </c>
      <c r="X1150" s="2">
        <v>0</v>
      </c>
      <c r="Y1150" s="2">
        <v>1</v>
      </c>
      <c r="Z1150" s="27">
        <v>1991.0550000000001</v>
      </c>
      <c r="AA1150" s="31">
        <v>1992.03</v>
      </c>
    </row>
    <row r="1151" spans="1:27" x14ac:dyDescent="0.2">
      <c r="A1151" s="3" t="s">
        <v>3149</v>
      </c>
      <c r="B1151" s="2" t="s">
        <v>3150</v>
      </c>
      <c r="C1151" s="8">
        <v>33694</v>
      </c>
      <c r="D1151" s="2">
        <v>1992</v>
      </c>
      <c r="E1151" s="2">
        <v>1990</v>
      </c>
      <c r="F1151" s="2">
        <v>0</v>
      </c>
      <c r="G1151" s="2">
        <v>0</v>
      </c>
      <c r="H1151" s="3" t="s">
        <v>27</v>
      </c>
      <c r="I1151" s="3" t="s">
        <v>3151</v>
      </c>
      <c r="J1151" s="3" t="s">
        <v>3151</v>
      </c>
      <c r="K1151" s="21" t="s">
        <v>3152</v>
      </c>
      <c r="L1151" s="10">
        <v>15295</v>
      </c>
      <c r="M1151" s="4">
        <f>4+(12*51)</f>
        <v>616</v>
      </c>
      <c r="N1151" s="2">
        <v>77</v>
      </c>
      <c r="O1151" s="2">
        <v>3</v>
      </c>
      <c r="Q1151" s="2">
        <v>0</v>
      </c>
      <c r="R1151" s="2">
        <v>0</v>
      </c>
      <c r="S1151" s="2">
        <v>1</v>
      </c>
      <c r="T1151" s="2">
        <v>1</v>
      </c>
      <c r="U1151" s="2">
        <v>1</v>
      </c>
      <c r="V1151" s="2">
        <v>0</v>
      </c>
      <c r="W1151" s="2">
        <v>1</v>
      </c>
      <c r="X1151" s="2">
        <v>0</v>
      </c>
      <c r="Y1151" s="2">
        <v>1</v>
      </c>
      <c r="Z1151" s="27">
        <v>1991.056</v>
      </c>
      <c r="AA1151" s="31">
        <v>1992.04</v>
      </c>
    </row>
    <row r="1152" spans="1:27" x14ac:dyDescent="0.2">
      <c r="A1152" s="3" t="s">
        <v>4305</v>
      </c>
      <c r="B1152" s="2" t="s">
        <v>4306</v>
      </c>
      <c r="C1152" s="8">
        <v>33767</v>
      </c>
      <c r="D1152" s="2">
        <v>1992</v>
      </c>
      <c r="E1152" s="2">
        <v>1990</v>
      </c>
      <c r="F1152" s="2">
        <v>1</v>
      </c>
      <c r="G1152" s="2">
        <v>1</v>
      </c>
      <c r="H1152" s="3" t="s">
        <v>3442</v>
      </c>
      <c r="I1152" s="3" t="s">
        <v>4822</v>
      </c>
      <c r="J1152" s="3" t="s">
        <v>4307</v>
      </c>
      <c r="K1152" s="21" t="s">
        <v>4308</v>
      </c>
      <c r="L1152" s="10">
        <v>27026</v>
      </c>
      <c r="M1152" s="4">
        <f>6+(19*12)</f>
        <v>234</v>
      </c>
      <c r="N1152" s="2">
        <v>93</v>
      </c>
      <c r="O1152" s="2">
        <v>6</v>
      </c>
      <c r="Q1152" s="2">
        <v>1</v>
      </c>
      <c r="R1152" s="2">
        <v>0</v>
      </c>
      <c r="S1152" s="2">
        <v>1</v>
      </c>
      <c r="T1152" s="2">
        <v>1</v>
      </c>
      <c r="U1152" s="2">
        <v>1</v>
      </c>
      <c r="V1152" s="2">
        <v>0</v>
      </c>
      <c r="W1152" s="2">
        <v>1</v>
      </c>
      <c r="X1152" s="2">
        <v>2</v>
      </c>
      <c r="Y1152" s="2">
        <v>1</v>
      </c>
      <c r="Z1152" s="27">
        <v>1991.085</v>
      </c>
      <c r="AA1152" s="31">
        <v>1992.05</v>
      </c>
    </row>
    <row r="1153" spans="1:27" x14ac:dyDescent="0.2">
      <c r="A1153" s="3" t="s">
        <v>1300</v>
      </c>
      <c r="B1153" s="2" t="s">
        <v>4309</v>
      </c>
      <c r="C1153" s="8">
        <v>33774</v>
      </c>
      <c r="D1153" s="2">
        <v>1992</v>
      </c>
      <c r="E1153" s="2">
        <v>1990</v>
      </c>
      <c r="F1153" s="2">
        <v>2</v>
      </c>
      <c r="G1153" s="2">
        <v>1</v>
      </c>
      <c r="H1153" s="3" t="s">
        <v>3434</v>
      </c>
      <c r="I1153" s="3" t="s">
        <v>4821</v>
      </c>
      <c r="J1153" s="3" t="s">
        <v>4310</v>
      </c>
      <c r="K1153" s="21" t="s">
        <v>4311</v>
      </c>
      <c r="L1153" s="10">
        <v>31427</v>
      </c>
      <c r="M1153" s="4">
        <f>5+(12*6)</f>
        <v>77</v>
      </c>
      <c r="N1153" s="2">
        <v>99</v>
      </c>
      <c r="O1153" s="2">
        <v>5</v>
      </c>
      <c r="Q1153" s="2">
        <v>0</v>
      </c>
      <c r="R1153" s="2">
        <v>0</v>
      </c>
      <c r="S1153" s="2">
        <v>1</v>
      </c>
      <c r="T1153" s="2">
        <v>1</v>
      </c>
      <c r="U1153" s="2">
        <v>1</v>
      </c>
      <c r="V1153" s="2">
        <v>1</v>
      </c>
      <c r="W1153" s="2">
        <v>1</v>
      </c>
      <c r="X1153" s="2">
        <v>3</v>
      </c>
      <c r="Y1153" s="2">
        <v>1</v>
      </c>
      <c r="Z1153" s="27">
        <v>1991.0989999999999</v>
      </c>
      <c r="AA1153" s="31">
        <v>1992.06</v>
      </c>
    </row>
    <row r="1154" spans="1:27" x14ac:dyDescent="0.2">
      <c r="A1154" s="3" t="s">
        <v>3175</v>
      </c>
      <c r="B1154" s="2" t="s">
        <v>3176</v>
      </c>
      <c r="C1154" s="8">
        <v>33981</v>
      </c>
      <c r="D1154" s="2">
        <v>1993</v>
      </c>
      <c r="E1154" s="2">
        <v>1990</v>
      </c>
      <c r="F1154" s="2">
        <v>0</v>
      </c>
      <c r="G1154" s="2">
        <v>0</v>
      </c>
      <c r="H1154" s="3" t="s">
        <v>27</v>
      </c>
      <c r="I1154" s="3" t="s">
        <v>3177</v>
      </c>
      <c r="J1154" s="3" t="s">
        <v>3177</v>
      </c>
      <c r="K1154" s="21" t="s">
        <v>3178</v>
      </c>
      <c r="L1154" s="10">
        <v>21814</v>
      </c>
      <c r="M1154" s="4">
        <f>4+(12*33)</f>
        <v>400</v>
      </c>
      <c r="N1154" s="2">
        <v>86</v>
      </c>
      <c r="O1154" s="2">
        <v>2</v>
      </c>
      <c r="Q1154" s="2">
        <v>0</v>
      </c>
      <c r="R1154" s="2">
        <v>0</v>
      </c>
      <c r="S1154" s="2">
        <v>0</v>
      </c>
      <c r="T1154" s="2">
        <v>1</v>
      </c>
      <c r="U1154" s="2">
        <v>1</v>
      </c>
      <c r="V1154" s="2">
        <v>0</v>
      </c>
      <c r="W1154" s="2">
        <v>0</v>
      </c>
      <c r="X1154" s="2">
        <v>4</v>
      </c>
      <c r="Y1154" s="2">
        <v>1</v>
      </c>
      <c r="Z1154" s="27">
        <v>1992.0150000000001</v>
      </c>
      <c r="AA1154" s="31">
        <v>1993.01</v>
      </c>
    </row>
    <row r="1155" spans="1:27" x14ac:dyDescent="0.2">
      <c r="A1155" s="3" t="s">
        <v>3157</v>
      </c>
      <c r="B1155" s="2" t="s">
        <v>3158</v>
      </c>
      <c r="C1155" s="8">
        <v>34051</v>
      </c>
      <c r="D1155" s="2">
        <v>1993</v>
      </c>
      <c r="E1155" s="2">
        <v>1990</v>
      </c>
      <c r="F1155" s="2">
        <v>0</v>
      </c>
      <c r="G1155" s="2">
        <v>0</v>
      </c>
      <c r="H1155" s="3" t="s">
        <v>27</v>
      </c>
      <c r="I1155" s="3" t="s">
        <v>4538</v>
      </c>
      <c r="J1155" s="3" t="s">
        <v>3159</v>
      </c>
      <c r="K1155" s="21" t="s">
        <v>2238</v>
      </c>
      <c r="L1155" s="10">
        <v>19172</v>
      </c>
      <c r="M1155" s="4">
        <f>9+(39*12)</f>
        <v>477</v>
      </c>
      <c r="N1155" s="2">
        <v>82</v>
      </c>
      <c r="O1155" s="2">
        <v>1</v>
      </c>
      <c r="Q1155" s="2">
        <v>1</v>
      </c>
      <c r="R1155" s="2">
        <v>0</v>
      </c>
      <c r="S1155" s="2">
        <v>1</v>
      </c>
      <c r="T1155" s="2">
        <v>1</v>
      </c>
      <c r="U1155" s="2">
        <v>1</v>
      </c>
      <c r="V1155" s="2">
        <v>0</v>
      </c>
      <c r="W1155" s="2">
        <v>1</v>
      </c>
      <c r="X1155" s="2">
        <v>2</v>
      </c>
      <c r="Y1155" s="2">
        <v>1</v>
      </c>
      <c r="Z1155" s="27">
        <v>1992.0440000000001</v>
      </c>
      <c r="AA1155" s="31">
        <v>1993.02</v>
      </c>
    </row>
    <row r="1156" spans="1:27" x14ac:dyDescent="0.2">
      <c r="A1156" s="3" t="s">
        <v>3171</v>
      </c>
      <c r="B1156" s="2" t="s">
        <v>3172</v>
      </c>
      <c r="C1156" s="8">
        <v>34121</v>
      </c>
      <c r="D1156" s="2">
        <v>1993</v>
      </c>
      <c r="E1156" s="2">
        <v>1990</v>
      </c>
      <c r="F1156" s="2">
        <v>0</v>
      </c>
      <c r="G1156" s="2">
        <v>0</v>
      </c>
      <c r="H1156" s="3" t="s">
        <v>27</v>
      </c>
      <c r="I1156" s="3" t="s">
        <v>4820</v>
      </c>
      <c r="J1156" s="3" t="s">
        <v>3173</v>
      </c>
      <c r="K1156" s="21" t="s">
        <v>3174</v>
      </c>
      <c r="L1156" s="10">
        <v>30985</v>
      </c>
      <c r="M1156" s="4">
        <f>8+(12*8)</f>
        <v>104</v>
      </c>
      <c r="N1156" s="2">
        <v>98</v>
      </c>
      <c r="O1156" s="2">
        <v>3</v>
      </c>
      <c r="P1156" s="2">
        <v>4</v>
      </c>
      <c r="Q1156" s="2">
        <v>1</v>
      </c>
      <c r="R1156" s="2">
        <v>0</v>
      </c>
      <c r="S1156" s="2">
        <v>1</v>
      </c>
      <c r="T1156" s="2">
        <v>1</v>
      </c>
      <c r="U1156" s="2">
        <v>1</v>
      </c>
      <c r="V1156" s="2">
        <v>0</v>
      </c>
      <c r="W1156" s="2">
        <v>1</v>
      </c>
      <c r="X1156" s="2">
        <v>0</v>
      </c>
      <c r="Y1156" s="2">
        <v>1</v>
      </c>
      <c r="Z1156" s="27">
        <v>1992.0820000000001</v>
      </c>
      <c r="AA1156" s="31">
        <v>1993.03</v>
      </c>
    </row>
    <row r="1157" spans="1:27" x14ac:dyDescent="0.2">
      <c r="A1157" s="3" t="s">
        <v>3169</v>
      </c>
      <c r="B1157" s="2" t="s">
        <v>3170</v>
      </c>
      <c r="C1157" s="8">
        <v>34134</v>
      </c>
      <c r="D1157" s="2">
        <v>1993</v>
      </c>
      <c r="E1157" s="2">
        <v>1990</v>
      </c>
      <c r="F1157" s="2">
        <v>0</v>
      </c>
      <c r="G1157" s="2">
        <v>0</v>
      </c>
      <c r="H1157" s="3" t="s">
        <v>27</v>
      </c>
      <c r="I1157" s="3" t="s">
        <v>4819</v>
      </c>
      <c r="J1157" s="3" t="s">
        <v>2934</v>
      </c>
      <c r="K1157" s="21" t="s">
        <v>2935</v>
      </c>
      <c r="L1157" s="10">
        <v>29490</v>
      </c>
      <c r="M1157" s="4">
        <f>9+(12*12)</f>
        <v>153</v>
      </c>
      <c r="N1157" s="2">
        <v>96</v>
      </c>
      <c r="O1157" s="2">
        <v>1</v>
      </c>
      <c r="P1157" s="2">
        <v>4</v>
      </c>
      <c r="Q1157" s="2">
        <v>0</v>
      </c>
      <c r="R1157" s="2">
        <v>0</v>
      </c>
      <c r="S1157" s="2">
        <v>0</v>
      </c>
      <c r="T1157" s="2">
        <v>1</v>
      </c>
      <c r="U1157" s="2">
        <v>0</v>
      </c>
      <c r="V1157" s="2">
        <v>0</v>
      </c>
      <c r="W1157" s="2">
        <v>0</v>
      </c>
      <c r="X1157" s="2">
        <v>0</v>
      </c>
      <c r="Y1157" s="2">
        <v>1</v>
      </c>
      <c r="Z1157" s="27">
        <v>1992.095</v>
      </c>
      <c r="AA1157" s="31">
        <v>1993.04</v>
      </c>
    </row>
    <row r="1158" spans="1:27" x14ac:dyDescent="0.2">
      <c r="A1158" s="3" t="s">
        <v>3179</v>
      </c>
      <c r="B1158" s="2" t="s">
        <v>3180</v>
      </c>
      <c r="C1158" s="8">
        <v>34145</v>
      </c>
      <c r="D1158" s="2">
        <v>1993</v>
      </c>
      <c r="E1158" s="2">
        <v>1990</v>
      </c>
      <c r="F1158" s="2">
        <v>0</v>
      </c>
      <c r="G1158" s="2">
        <v>0</v>
      </c>
      <c r="H1158" s="3" t="s">
        <v>27</v>
      </c>
      <c r="I1158" s="3" t="s">
        <v>4731</v>
      </c>
      <c r="J1158" s="3" t="s">
        <v>3181</v>
      </c>
      <c r="K1158" s="21" t="s">
        <v>3182</v>
      </c>
      <c r="L1158" s="10">
        <v>32454</v>
      </c>
      <c r="M1158" s="4">
        <f>7+(12*4)</f>
        <v>55</v>
      </c>
      <c r="N1158" s="2">
        <v>100</v>
      </c>
      <c r="O1158" s="2">
        <v>2</v>
      </c>
      <c r="Q1158" s="2">
        <v>0</v>
      </c>
      <c r="R1158" s="2">
        <v>0</v>
      </c>
      <c r="S1158" s="2">
        <v>1</v>
      </c>
      <c r="T1158" s="2">
        <v>1</v>
      </c>
      <c r="U1158" s="2">
        <v>1</v>
      </c>
      <c r="V1158" s="2">
        <v>0</v>
      </c>
      <c r="W1158" s="2">
        <v>1</v>
      </c>
      <c r="X1158" s="2">
        <v>2</v>
      </c>
      <c r="Y1158" s="2">
        <v>1</v>
      </c>
      <c r="Z1158" s="27">
        <v>1992.11</v>
      </c>
      <c r="AA1158" s="31">
        <v>1993.05</v>
      </c>
    </row>
    <row r="1159" spans="1:27" x14ac:dyDescent="0.2">
      <c r="A1159" s="3" t="s">
        <v>3166</v>
      </c>
      <c r="B1159" s="2" t="s">
        <v>3167</v>
      </c>
      <c r="C1159" s="8">
        <v>34148</v>
      </c>
      <c r="D1159" s="2">
        <v>1993</v>
      </c>
      <c r="E1159" s="2">
        <v>1990</v>
      </c>
      <c r="F1159" s="2">
        <v>0</v>
      </c>
      <c r="G1159" s="2">
        <v>0</v>
      </c>
      <c r="H1159" s="3" t="s">
        <v>27</v>
      </c>
      <c r="I1159" s="3" t="s">
        <v>4742</v>
      </c>
      <c r="J1159" s="3" t="s">
        <v>3168</v>
      </c>
      <c r="K1159" s="21" t="s">
        <v>2541</v>
      </c>
      <c r="L1159" s="10">
        <v>25856</v>
      </c>
      <c r="M1159" s="4">
        <f>8+(12*22)</f>
        <v>272</v>
      </c>
      <c r="N1159" s="2">
        <v>91</v>
      </c>
      <c r="O1159" s="2">
        <v>2</v>
      </c>
      <c r="Q1159" s="2">
        <v>1</v>
      </c>
      <c r="R1159" s="2">
        <v>1</v>
      </c>
      <c r="S1159" s="2">
        <v>1</v>
      </c>
      <c r="T1159" s="2">
        <v>1</v>
      </c>
      <c r="U1159" s="2">
        <v>0</v>
      </c>
      <c r="V1159" s="2">
        <v>0</v>
      </c>
      <c r="W1159" s="2">
        <v>1</v>
      </c>
      <c r="X1159" s="2">
        <v>4</v>
      </c>
      <c r="Y1159" s="2">
        <v>1</v>
      </c>
      <c r="Z1159" s="27">
        <v>1992.1130000000001</v>
      </c>
      <c r="AA1159" s="31">
        <v>1993.06</v>
      </c>
    </row>
    <row r="1160" spans="1:27" x14ac:dyDescent="0.2">
      <c r="A1160" s="3" t="s">
        <v>1833</v>
      </c>
      <c r="B1160" s="2" t="s">
        <v>3198</v>
      </c>
      <c r="C1160" s="8">
        <v>34353</v>
      </c>
      <c r="D1160" s="2">
        <v>1994</v>
      </c>
      <c r="E1160" s="2">
        <v>1990</v>
      </c>
      <c r="F1160" s="2">
        <v>0</v>
      </c>
      <c r="G1160" s="2">
        <v>0</v>
      </c>
      <c r="H1160" s="3" t="s">
        <v>27</v>
      </c>
      <c r="I1160" s="3" t="s">
        <v>4818</v>
      </c>
      <c r="J1160" s="3" t="s">
        <v>3199</v>
      </c>
      <c r="K1160" s="21" t="s">
        <v>3200</v>
      </c>
      <c r="L1160" s="10">
        <v>25135</v>
      </c>
      <c r="M1160" s="4">
        <f>3+(25*12)</f>
        <v>303</v>
      </c>
      <c r="N1160" s="2">
        <v>90</v>
      </c>
      <c r="O1160" s="2">
        <v>6</v>
      </c>
      <c r="P1160" s="2">
        <v>1</v>
      </c>
      <c r="Q1160" s="2">
        <v>0</v>
      </c>
      <c r="R1160" s="2">
        <v>0</v>
      </c>
      <c r="S1160" s="2">
        <v>1</v>
      </c>
      <c r="T1160" s="2">
        <v>1</v>
      </c>
      <c r="U1160" s="2">
        <v>0</v>
      </c>
      <c r="V1160" s="2">
        <v>0</v>
      </c>
      <c r="W1160" s="2">
        <v>1</v>
      </c>
      <c r="X1160" s="2">
        <v>0</v>
      </c>
      <c r="Y1160" s="2">
        <v>1</v>
      </c>
      <c r="Z1160" s="27">
        <v>1993.0129999999999</v>
      </c>
      <c r="AA1160" s="31">
        <v>1994.01</v>
      </c>
    </row>
    <row r="1161" spans="1:27" x14ac:dyDescent="0.2">
      <c r="A1161" s="3" t="s">
        <v>3192</v>
      </c>
      <c r="B1161" s="2" t="s">
        <v>3193</v>
      </c>
      <c r="C1161" s="8">
        <v>34353</v>
      </c>
      <c r="D1161" s="2">
        <v>1994</v>
      </c>
      <c r="E1161" s="2">
        <v>1990</v>
      </c>
      <c r="F1161" s="2">
        <v>0</v>
      </c>
      <c r="G1161" s="2">
        <v>0</v>
      </c>
      <c r="H1161" s="3" t="s">
        <v>27</v>
      </c>
      <c r="I1161" s="3" t="s">
        <v>4817</v>
      </c>
      <c r="J1161" s="3" t="s">
        <v>2853</v>
      </c>
      <c r="K1161" s="21" t="s">
        <v>2854</v>
      </c>
      <c r="L1161" s="10">
        <v>28438</v>
      </c>
      <c r="M1161" s="4">
        <f>3+(16*12)</f>
        <v>195</v>
      </c>
      <c r="N1161" s="2">
        <v>95</v>
      </c>
      <c r="O1161" s="2">
        <v>1</v>
      </c>
      <c r="Q1161" s="2">
        <v>0</v>
      </c>
      <c r="R1161" s="2">
        <v>0</v>
      </c>
      <c r="S1161" s="2">
        <v>1</v>
      </c>
      <c r="T1161" s="2">
        <v>1</v>
      </c>
      <c r="U1161" s="2">
        <v>0</v>
      </c>
      <c r="V1161" s="2">
        <v>0</v>
      </c>
      <c r="W1161" s="2">
        <v>1</v>
      </c>
      <c r="X1161" s="2">
        <v>0</v>
      </c>
      <c r="Y1161" s="2">
        <v>1</v>
      </c>
      <c r="Z1161" s="27">
        <v>1993.0139999999999</v>
      </c>
      <c r="AA1161" s="31">
        <v>1994.02</v>
      </c>
    </row>
    <row r="1162" spans="1:27" x14ac:dyDescent="0.2">
      <c r="A1162" s="3" t="s">
        <v>3186</v>
      </c>
      <c r="B1162" s="2" t="s">
        <v>3187</v>
      </c>
      <c r="C1162" s="8">
        <v>34477</v>
      </c>
      <c r="D1162" s="2">
        <v>1994</v>
      </c>
      <c r="E1162" s="2">
        <v>1990</v>
      </c>
      <c r="F1162" s="2">
        <v>0</v>
      </c>
      <c r="G1162" s="2">
        <v>0</v>
      </c>
      <c r="H1162" s="3" t="s">
        <v>27</v>
      </c>
      <c r="I1162" s="3" t="s">
        <v>4737</v>
      </c>
      <c r="J1162" s="3" t="s">
        <v>3132</v>
      </c>
      <c r="K1162" s="21" t="s">
        <v>3133</v>
      </c>
      <c r="L1162" s="10">
        <v>31712</v>
      </c>
      <c r="M1162" s="4">
        <f>7+(7*12)</f>
        <v>91</v>
      </c>
      <c r="N1162" s="2">
        <v>99</v>
      </c>
      <c r="O1162" s="2">
        <v>1</v>
      </c>
      <c r="Q1162" s="2">
        <v>1</v>
      </c>
      <c r="R1162" s="2">
        <v>1</v>
      </c>
      <c r="S1162" s="2">
        <v>1</v>
      </c>
      <c r="T1162" s="2">
        <v>1</v>
      </c>
      <c r="U1162" s="2">
        <v>0</v>
      </c>
      <c r="V1162" s="2">
        <v>0</v>
      </c>
      <c r="W1162" s="2">
        <v>1</v>
      </c>
      <c r="X1162" s="2">
        <v>0</v>
      </c>
      <c r="Y1162" s="2">
        <v>1</v>
      </c>
      <c r="Z1162" s="27">
        <v>1993.0519999999999</v>
      </c>
      <c r="AA1162" s="31">
        <v>1994.03</v>
      </c>
    </row>
    <row r="1163" spans="1:27" x14ac:dyDescent="0.2">
      <c r="A1163" s="3" t="s">
        <v>3183</v>
      </c>
      <c r="B1163" s="2" t="s">
        <v>3184</v>
      </c>
      <c r="C1163" s="8">
        <v>34491</v>
      </c>
      <c r="D1163" s="2">
        <v>1994</v>
      </c>
      <c r="E1163" s="2">
        <v>1990</v>
      </c>
      <c r="F1163" s="2">
        <v>0</v>
      </c>
      <c r="G1163" s="2">
        <v>0</v>
      </c>
      <c r="H1163" s="3" t="s">
        <v>27</v>
      </c>
      <c r="I1163" s="3" t="s">
        <v>5074</v>
      </c>
      <c r="J1163" s="3" t="s">
        <v>3185</v>
      </c>
      <c r="K1163" s="21" t="s">
        <v>3047</v>
      </c>
      <c r="L1163" s="10">
        <v>30967</v>
      </c>
      <c r="M1163" s="4">
        <f>8+(9*12)</f>
        <v>116</v>
      </c>
      <c r="N1163" s="2">
        <v>98</v>
      </c>
      <c r="O1163" s="2">
        <v>1</v>
      </c>
      <c r="Q1163" s="2">
        <v>1</v>
      </c>
      <c r="R1163" s="2">
        <v>1</v>
      </c>
      <c r="S1163" s="2">
        <v>1</v>
      </c>
      <c r="T1163" s="2">
        <v>1</v>
      </c>
      <c r="U1163" s="2">
        <v>0</v>
      </c>
      <c r="V1163" s="2">
        <v>0</v>
      </c>
      <c r="W1163" s="2">
        <v>1</v>
      </c>
      <c r="X1163" s="2">
        <v>3</v>
      </c>
      <c r="Y1163" s="2">
        <v>1</v>
      </c>
      <c r="Z1163" s="27">
        <v>1993.0609999999999</v>
      </c>
      <c r="AA1163" s="31">
        <v>1994.04</v>
      </c>
    </row>
    <row r="1164" spans="1:27" x14ac:dyDescent="0.2">
      <c r="A1164" s="3" t="s">
        <v>3194</v>
      </c>
      <c r="B1164" s="2" t="s">
        <v>3195</v>
      </c>
      <c r="C1164" s="8">
        <v>34498</v>
      </c>
      <c r="D1164" s="2">
        <v>1994</v>
      </c>
      <c r="E1164" s="2">
        <v>1990</v>
      </c>
      <c r="F1164" s="2">
        <v>0</v>
      </c>
      <c r="G1164" s="2">
        <v>0</v>
      </c>
      <c r="H1164" s="3" t="s">
        <v>27</v>
      </c>
      <c r="I1164" s="3" t="s">
        <v>4816</v>
      </c>
      <c r="J1164" s="3" t="s">
        <v>3196</v>
      </c>
      <c r="K1164" s="21" t="s">
        <v>3197</v>
      </c>
      <c r="L1164" s="10">
        <v>32133</v>
      </c>
      <c r="M1164" s="4">
        <f>6+(6*12)</f>
        <v>78</v>
      </c>
      <c r="N1164" s="2">
        <v>100</v>
      </c>
      <c r="O1164" s="2">
        <v>1</v>
      </c>
      <c r="Q1164" s="2">
        <v>0</v>
      </c>
      <c r="R1164" s="2">
        <v>0</v>
      </c>
      <c r="S1164" s="2">
        <v>1</v>
      </c>
      <c r="T1164" s="2">
        <v>1</v>
      </c>
      <c r="U1164" s="2">
        <v>1</v>
      </c>
      <c r="V1164" s="2">
        <v>0</v>
      </c>
      <c r="W1164" s="2">
        <v>1</v>
      </c>
      <c r="X1164" s="2">
        <v>0</v>
      </c>
      <c r="Y1164" s="2">
        <v>1</v>
      </c>
      <c r="Z1164" s="27">
        <v>1993.067</v>
      </c>
      <c r="AA1164" s="31">
        <v>1994.05</v>
      </c>
    </row>
    <row r="1165" spans="1:27" x14ac:dyDescent="0.2">
      <c r="A1165" s="3" t="s">
        <v>3188</v>
      </c>
      <c r="B1165" s="2" t="s">
        <v>3189</v>
      </c>
      <c r="C1165" s="8">
        <v>34505</v>
      </c>
      <c r="D1165" s="2">
        <v>1994</v>
      </c>
      <c r="E1165" s="2">
        <v>1990</v>
      </c>
      <c r="F1165" s="2">
        <v>0</v>
      </c>
      <c r="G1165" s="2">
        <v>0</v>
      </c>
      <c r="H1165" s="3" t="s">
        <v>27</v>
      </c>
      <c r="I1165" s="3" t="s">
        <v>4755</v>
      </c>
      <c r="J1165" s="3" t="s">
        <v>3190</v>
      </c>
      <c r="K1165" s="21" t="s">
        <v>3191</v>
      </c>
      <c r="L1165" s="10">
        <v>25911</v>
      </c>
      <c r="M1165" s="4">
        <f>6+(12*23)</f>
        <v>282</v>
      </c>
      <c r="N1165" s="2">
        <v>91</v>
      </c>
      <c r="O1165" s="2">
        <v>1</v>
      </c>
      <c r="Q1165" s="2">
        <v>0</v>
      </c>
      <c r="R1165" s="2">
        <v>0</v>
      </c>
      <c r="S1165" s="2">
        <v>1</v>
      </c>
      <c r="T1165" s="2">
        <v>1</v>
      </c>
      <c r="U1165" s="2">
        <v>0</v>
      </c>
      <c r="V1165" s="2">
        <v>0</v>
      </c>
      <c r="W1165" s="2">
        <v>0</v>
      </c>
      <c r="X1165" s="2">
        <v>4</v>
      </c>
      <c r="Y1165" s="2">
        <v>1</v>
      </c>
      <c r="Z1165" s="27">
        <v>1993.08</v>
      </c>
      <c r="AA1165" s="31">
        <v>1994.06</v>
      </c>
    </row>
    <row r="1166" spans="1:27" x14ac:dyDescent="0.2">
      <c r="A1166" s="3" t="s">
        <v>4312</v>
      </c>
      <c r="B1166" s="2" t="s">
        <v>4313</v>
      </c>
      <c r="C1166" s="8">
        <v>34667</v>
      </c>
      <c r="D1166" s="2">
        <v>1994</v>
      </c>
      <c r="E1166" s="2">
        <v>1990</v>
      </c>
      <c r="F1166" s="2">
        <v>1</v>
      </c>
      <c r="G1166" s="2">
        <v>1</v>
      </c>
      <c r="H1166" s="3" t="s">
        <v>3442</v>
      </c>
      <c r="I1166" s="3" t="s">
        <v>4754</v>
      </c>
      <c r="J1166" s="3" t="s">
        <v>4314</v>
      </c>
      <c r="K1166" s="21" t="s">
        <v>4315</v>
      </c>
      <c r="L1166" s="10">
        <v>28527</v>
      </c>
      <c r="M1166" s="4">
        <f>9+(16*12)</f>
        <v>201</v>
      </c>
      <c r="N1166" s="2">
        <v>95</v>
      </c>
      <c r="O1166" s="2">
        <v>1</v>
      </c>
      <c r="P1166" s="2">
        <v>2</v>
      </c>
      <c r="Q1166" s="2">
        <v>0</v>
      </c>
      <c r="R1166" s="2">
        <v>0</v>
      </c>
      <c r="S1166" s="2">
        <v>1</v>
      </c>
      <c r="T1166" s="2">
        <v>1</v>
      </c>
      <c r="U1166" s="2">
        <v>1</v>
      </c>
      <c r="V1166" s="2">
        <v>0</v>
      </c>
      <c r="W1166" s="2">
        <v>1</v>
      </c>
      <c r="X1166" s="2">
        <v>2</v>
      </c>
      <c r="Y1166" s="2">
        <v>1</v>
      </c>
      <c r="Z1166" s="27">
        <v>1994.0060000000001</v>
      </c>
      <c r="AA1166" s="31">
        <v>1994.07</v>
      </c>
    </row>
    <row r="1167" spans="1:27" x14ac:dyDescent="0.2">
      <c r="A1167" s="3" t="s">
        <v>4316</v>
      </c>
      <c r="B1167" s="2" t="s">
        <v>4317</v>
      </c>
      <c r="C1167" s="8">
        <v>34751</v>
      </c>
      <c r="D1167" s="2">
        <v>1995</v>
      </c>
      <c r="E1167" s="2">
        <v>1990</v>
      </c>
      <c r="F1167" s="2">
        <v>1</v>
      </c>
      <c r="G1167" s="2">
        <v>1</v>
      </c>
      <c r="H1167" s="3" t="s">
        <v>3442</v>
      </c>
      <c r="I1167" s="3" t="s">
        <v>4753</v>
      </c>
      <c r="J1167" s="3" t="s">
        <v>4318</v>
      </c>
      <c r="K1167" s="21" t="s">
        <v>3156</v>
      </c>
      <c r="L1167" s="10">
        <v>25871</v>
      </c>
      <c r="M1167" s="4">
        <f>4+(12*25)</f>
        <v>304</v>
      </c>
      <c r="N1167" s="2">
        <v>91</v>
      </c>
      <c r="O1167" s="2">
        <v>1</v>
      </c>
      <c r="Q1167" s="2">
        <v>1</v>
      </c>
      <c r="R1167" s="2">
        <v>0</v>
      </c>
      <c r="S1167" s="2">
        <v>0</v>
      </c>
      <c r="T1167" s="2">
        <v>1</v>
      </c>
      <c r="U1167" s="2">
        <v>1</v>
      </c>
      <c r="V1167" s="2">
        <v>0</v>
      </c>
      <c r="W1167" s="2">
        <v>1</v>
      </c>
      <c r="X1167" s="2">
        <v>1</v>
      </c>
      <c r="Y1167" s="2">
        <v>1</v>
      </c>
      <c r="Z1167" s="27">
        <v>1994.021</v>
      </c>
      <c r="AA1167" s="31">
        <v>1995.01</v>
      </c>
    </row>
    <row r="1168" spans="1:27" x14ac:dyDescent="0.2">
      <c r="A1168" s="3" t="s">
        <v>5097</v>
      </c>
      <c r="B1168" s="2" t="s">
        <v>4332</v>
      </c>
      <c r="C1168" s="8">
        <v>34752</v>
      </c>
      <c r="D1168" s="2">
        <v>1995</v>
      </c>
      <c r="E1168" s="2">
        <v>1990</v>
      </c>
      <c r="F1168" s="2">
        <v>1</v>
      </c>
      <c r="G1168" s="2">
        <v>1</v>
      </c>
      <c r="H1168" s="3" t="s">
        <v>3442</v>
      </c>
      <c r="I1168" s="3" t="s">
        <v>4752</v>
      </c>
      <c r="J1168" s="3" t="s">
        <v>4333</v>
      </c>
      <c r="K1168" s="21" t="s">
        <v>4334</v>
      </c>
      <c r="L1168" s="10">
        <v>32842</v>
      </c>
      <c r="M1168" s="4">
        <f>3+(5*12)</f>
        <v>63</v>
      </c>
      <c r="N1168" s="2">
        <v>101</v>
      </c>
      <c r="O1168" s="2">
        <v>2</v>
      </c>
      <c r="Q1168" s="2">
        <v>1</v>
      </c>
      <c r="R1168" s="2">
        <v>0</v>
      </c>
      <c r="S1168" s="2">
        <v>1</v>
      </c>
      <c r="T1168" s="2">
        <v>1</v>
      </c>
      <c r="U1168" s="2">
        <v>1</v>
      </c>
      <c r="V1168" s="2">
        <v>1</v>
      </c>
      <c r="W1168" s="2">
        <v>1</v>
      </c>
      <c r="X1168" s="2">
        <v>4</v>
      </c>
      <c r="Y1168" s="2">
        <v>1</v>
      </c>
      <c r="Z1168" s="27">
        <v>1994.0239999999999</v>
      </c>
      <c r="AA1168" s="31">
        <v>1995.02</v>
      </c>
    </row>
    <row r="1169" spans="1:27" x14ac:dyDescent="0.2">
      <c r="A1169" s="3" t="s">
        <v>4319</v>
      </c>
      <c r="B1169" s="2" t="s">
        <v>4320</v>
      </c>
      <c r="C1169" s="8">
        <v>34807</v>
      </c>
      <c r="D1169" s="2">
        <v>1995</v>
      </c>
      <c r="E1169" s="2">
        <v>1990</v>
      </c>
      <c r="F1169" s="2">
        <v>1</v>
      </c>
      <c r="G1169" s="2">
        <v>1</v>
      </c>
      <c r="H1169" s="3" t="s">
        <v>3442</v>
      </c>
      <c r="I1169" s="3" t="s">
        <v>4751</v>
      </c>
      <c r="J1169" s="3" t="s">
        <v>4321</v>
      </c>
      <c r="K1169" s="21" t="s">
        <v>4322</v>
      </c>
      <c r="L1169" s="10">
        <v>33591</v>
      </c>
      <c r="M1169" s="4">
        <f>4+36</f>
        <v>40</v>
      </c>
      <c r="N1169" s="2">
        <v>102</v>
      </c>
      <c r="O1169" s="2">
        <v>6</v>
      </c>
      <c r="Q1169" s="2">
        <v>1</v>
      </c>
      <c r="R1169" s="2">
        <v>0</v>
      </c>
      <c r="S1169" s="2">
        <v>1</v>
      </c>
      <c r="T1169" s="2">
        <v>1</v>
      </c>
      <c r="U1169" s="2">
        <v>0</v>
      </c>
      <c r="V1169" s="2">
        <v>1</v>
      </c>
      <c r="W1169" s="2">
        <v>0</v>
      </c>
      <c r="X1169" s="2">
        <v>2</v>
      </c>
      <c r="Y1169" s="2">
        <v>1</v>
      </c>
      <c r="Z1169" s="27">
        <v>1994.04</v>
      </c>
      <c r="AA1169" s="31">
        <v>1995.03</v>
      </c>
    </row>
    <row r="1170" spans="1:27" x14ac:dyDescent="0.2">
      <c r="A1170" s="3" t="s">
        <v>4323</v>
      </c>
      <c r="B1170" s="2" t="s">
        <v>4324</v>
      </c>
      <c r="C1170" s="8">
        <v>34808</v>
      </c>
      <c r="D1170" s="2">
        <v>1995</v>
      </c>
      <c r="E1170" s="2">
        <v>1990</v>
      </c>
      <c r="F1170" s="2">
        <v>2</v>
      </c>
      <c r="G1170" s="2">
        <v>1</v>
      </c>
      <c r="H1170" s="3" t="s">
        <v>3434</v>
      </c>
      <c r="I1170" s="3" t="s">
        <v>4750</v>
      </c>
      <c r="J1170" s="3" t="s">
        <v>4325</v>
      </c>
      <c r="K1170" s="3" t="s">
        <v>4326</v>
      </c>
      <c r="L1170" s="10">
        <v>13025</v>
      </c>
      <c r="M1170" s="4">
        <f>8+(59*12)</f>
        <v>716</v>
      </c>
      <c r="N1170" s="2">
        <v>74</v>
      </c>
      <c r="O1170" s="2">
        <v>2</v>
      </c>
      <c r="Q1170" s="2">
        <v>0</v>
      </c>
      <c r="R1170" s="2">
        <v>0</v>
      </c>
      <c r="S1170" s="2">
        <v>1</v>
      </c>
      <c r="T1170" s="2">
        <v>1</v>
      </c>
      <c r="U1170" s="2">
        <v>0</v>
      </c>
      <c r="V1170" s="2">
        <v>1</v>
      </c>
      <c r="W1170" s="2">
        <v>1</v>
      </c>
      <c r="X1170" s="2">
        <v>0</v>
      </c>
      <c r="Y1170" s="2">
        <v>1</v>
      </c>
      <c r="Z1170" s="27">
        <v>1994.048</v>
      </c>
      <c r="AA1170" s="31">
        <v>1995.04</v>
      </c>
    </row>
    <row r="1171" spans="1:27" x14ac:dyDescent="0.2">
      <c r="A1171" s="3" t="s">
        <v>4329</v>
      </c>
      <c r="B1171" s="2" t="s">
        <v>4330</v>
      </c>
      <c r="C1171" s="8">
        <v>34815</v>
      </c>
      <c r="D1171" s="2">
        <v>1995</v>
      </c>
      <c r="E1171" s="2">
        <v>1990</v>
      </c>
      <c r="F1171" s="2">
        <v>2</v>
      </c>
      <c r="G1171" s="2">
        <v>1</v>
      </c>
      <c r="H1171" s="3" t="s">
        <v>3434</v>
      </c>
      <c r="I1171" s="3" t="s">
        <v>4727</v>
      </c>
      <c r="J1171" s="3" t="s">
        <v>4331</v>
      </c>
      <c r="K1171" s="21" t="s">
        <v>3274</v>
      </c>
      <c r="L1171" s="10">
        <v>34590</v>
      </c>
      <c r="M1171" s="4">
        <f>7</f>
        <v>7</v>
      </c>
      <c r="N1171" s="2">
        <v>103</v>
      </c>
      <c r="O1171" s="2">
        <v>5</v>
      </c>
      <c r="Q1171" s="2">
        <v>1</v>
      </c>
      <c r="R1171" s="2">
        <v>0</v>
      </c>
      <c r="S1171" s="2">
        <v>1</v>
      </c>
      <c r="T1171" s="2">
        <v>1</v>
      </c>
      <c r="U1171" s="2">
        <v>0</v>
      </c>
      <c r="V1171" s="2">
        <v>1</v>
      </c>
      <c r="W1171" s="2">
        <v>1</v>
      </c>
      <c r="X1171" s="2">
        <v>4</v>
      </c>
      <c r="Y1171" s="2">
        <v>1</v>
      </c>
      <c r="Z1171" s="27">
        <v>1994.0509999999999</v>
      </c>
      <c r="AA1171" s="31">
        <v>1995.05</v>
      </c>
    </row>
    <row r="1172" spans="1:27" x14ac:dyDescent="0.2">
      <c r="A1172" s="3" t="s">
        <v>4327</v>
      </c>
      <c r="B1172" s="2" t="s">
        <v>4328</v>
      </c>
      <c r="C1172" s="8">
        <v>34862</v>
      </c>
      <c r="D1172" s="2">
        <v>1995</v>
      </c>
      <c r="E1172" s="2">
        <v>1990</v>
      </c>
      <c r="F1172" s="2">
        <v>1</v>
      </c>
      <c r="G1172" s="2">
        <v>1</v>
      </c>
      <c r="H1172" s="3" t="s">
        <v>3442</v>
      </c>
      <c r="I1172" s="3" t="s">
        <v>2617</v>
      </c>
      <c r="J1172" s="3" t="s">
        <v>2618</v>
      </c>
      <c r="K1172" s="3" t="s">
        <v>2619</v>
      </c>
      <c r="L1172" s="10">
        <v>20677</v>
      </c>
      <c r="M1172" s="4">
        <f>10+(38*12)</f>
        <v>466</v>
      </c>
      <c r="N1172" s="2">
        <v>84</v>
      </c>
      <c r="O1172" s="2">
        <v>6</v>
      </c>
      <c r="Q1172" s="2">
        <v>0</v>
      </c>
      <c r="R1172" s="2">
        <v>0</v>
      </c>
      <c r="S1172" s="2">
        <v>1</v>
      </c>
      <c r="T1172" s="2">
        <v>1</v>
      </c>
      <c r="U1172" s="2">
        <v>1</v>
      </c>
      <c r="V1172" s="2">
        <v>0</v>
      </c>
      <c r="W1172" s="2">
        <v>1</v>
      </c>
      <c r="X1172" s="2">
        <v>0</v>
      </c>
      <c r="Y1172" s="2">
        <v>1</v>
      </c>
      <c r="Z1172" s="27">
        <v>1994.067</v>
      </c>
      <c r="AA1172" s="31">
        <v>1995.06</v>
      </c>
    </row>
    <row r="1173" spans="1:27" x14ac:dyDescent="0.2">
      <c r="A1173" s="3" t="s">
        <v>3201</v>
      </c>
      <c r="B1173" s="2" t="s">
        <v>3202</v>
      </c>
      <c r="C1173" s="8">
        <v>34864</v>
      </c>
      <c r="D1173" s="2">
        <v>1995</v>
      </c>
      <c r="E1173" s="2">
        <v>1990</v>
      </c>
      <c r="F1173" s="2">
        <v>0</v>
      </c>
      <c r="G1173" s="2">
        <v>0</v>
      </c>
      <c r="H1173" s="3" t="s">
        <v>27</v>
      </c>
      <c r="I1173" s="3" t="s">
        <v>5074</v>
      </c>
      <c r="J1173" s="3" t="s">
        <v>3185</v>
      </c>
      <c r="K1173" s="21" t="s">
        <v>3047</v>
      </c>
      <c r="L1173" s="10">
        <v>30967</v>
      </c>
      <c r="M1173" s="4">
        <f>8+120</f>
        <v>128</v>
      </c>
      <c r="N1173" s="2">
        <v>98</v>
      </c>
      <c r="O1173" s="2">
        <v>1</v>
      </c>
      <c r="Q1173" s="2">
        <v>1</v>
      </c>
      <c r="R1173" s="2">
        <v>0</v>
      </c>
      <c r="S1173" s="2">
        <v>1</v>
      </c>
      <c r="T1173" s="2">
        <v>1</v>
      </c>
      <c r="U1173" s="2">
        <v>0</v>
      </c>
      <c r="V1173" s="2">
        <v>0</v>
      </c>
      <c r="W1173" s="2">
        <v>1</v>
      </c>
      <c r="X1173" s="2">
        <v>1</v>
      </c>
      <c r="Y1173" s="2">
        <v>1</v>
      </c>
      <c r="Z1173" s="27">
        <v>1994.076</v>
      </c>
      <c r="AA1173" s="31">
        <v>1995.07</v>
      </c>
    </row>
    <row r="1174" spans="1:27" x14ac:dyDescent="0.2">
      <c r="A1174" s="3" t="s">
        <v>3215</v>
      </c>
      <c r="B1174" s="2" t="s">
        <v>3216</v>
      </c>
      <c r="C1174" s="8">
        <v>35144</v>
      </c>
      <c r="D1174" s="2">
        <v>1996</v>
      </c>
      <c r="E1174" s="2">
        <v>1990</v>
      </c>
      <c r="F1174" s="2">
        <v>0</v>
      </c>
      <c r="G1174" s="2">
        <v>0</v>
      </c>
      <c r="H1174" s="3" t="s">
        <v>27</v>
      </c>
      <c r="I1174" s="3" t="s">
        <v>5085</v>
      </c>
      <c r="J1174" s="3" t="s">
        <v>3217</v>
      </c>
      <c r="K1174" s="21" t="s">
        <v>3218</v>
      </c>
      <c r="L1174" s="10">
        <v>19967</v>
      </c>
      <c r="M1174" s="4">
        <f>7+(41*12)</f>
        <v>499</v>
      </c>
      <c r="N1174" s="2">
        <v>83</v>
      </c>
      <c r="O1174" s="2">
        <v>3</v>
      </c>
      <c r="Q1174" s="2">
        <v>0</v>
      </c>
      <c r="R1174" s="2">
        <v>0</v>
      </c>
      <c r="S1174" s="2">
        <v>1</v>
      </c>
      <c r="T1174" s="2">
        <v>1</v>
      </c>
      <c r="U1174" s="2">
        <v>1</v>
      </c>
      <c r="V1174" s="2">
        <v>0</v>
      </c>
      <c r="W1174" s="2">
        <v>0</v>
      </c>
      <c r="X1174" s="2">
        <v>0</v>
      </c>
      <c r="Y1174" s="2">
        <v>0</v>
      </c>
      <c r="Z1174" s="27">
        <v>1995.0350000000001</v>
      </c>
      <c r="AA1174" s="31">
        <v>1996.01</v>
      </c>
    </row>
    <row r="1175" spans="1:27" x14ac:dyDescent="0.2">
      <c r="A1175" s="3" t="s">
        <v>4339</v>
      </c>
      <c r="B1175" s="2" t="s">
        <v>4340</v>
      </c>
      <c r="C1175" s="8">
        <v>35151</v>
      </c>
      <c r="D1175" s="2">
        <v>1996</v>
      </c>
      <c r="E1175" s="2">
        <v>1990</v>
      </c>
      <c r="F1175" s="2">
        <v>2</v>
      </c>
      <c r="G1175" s="2">
        <v>1</v>
      </c>
      <c r="H1175" s="3" t="s">
        <v>3434</v>
      </c>
      <c r="I1175" s="3" t="s">
        <v>4749</v>
      </c>
      <c r="J1175" s="3" t="s">
        <v>4341</v>
      </c>
      <c r="K1175" s="21" t="s">
        <v>4342</v>
      </c>
      <c r="L1175" s="10">
        <v>32433</v>
      </c>
      <c r="M1175" s="4">
        <f>5+(12*7)</f>
        <v>89</v>
      </c>
      <c r="N1175" s="2">
        <v>100</v>
      </c>
      <c r="O1175" s="2">
        <v>5</v>
      </c>
      <c r="Q1175" s="2">
        <v>0</v>
      </c>
      <c r="R1175" s="2">
        <v>0</v>
      </c>
      <c r="S1175" s="2">
        <v>1</v>
      </c>
      <c r="T1175" s="2">
        <v>1</v>
      </c>
      <c r="U1175" s="2">
        <v>0</v>
      </c>
      <c r="V1175" s="2">
        <v>1</v>
      </c>
      <c r="W1175" s="2">
        <v>0</v>
      </c>
      <c r="X1175" s="2">
        <v>4</v>
      </c>
      <c r="Y1175" s="2">
        <v>1</v>
      </c>
      <c r="Z1175" s="27">
        <v>1995.037</v>
      </c>
      <c r="AA1175" s="31">
        <v>1996.02</v>
      </c>
    </row>
    <row r="1176" spans="1:27" x14ac:dyDescent="0.2">
      <c r="A1176" s="3" t="s">
        <v>3209</v>
      </c>
      <c r="B1176" s="2" t="s">
        <v>3210</v>
      </c>
      <c r="C1176" s="8">
        <v>35198</v>
      </c>
      <c r="D1176" s="2">
        <v>1996</v>
      </c>
      <c r="E1176" s="2">
        <v>1990</v>
      </c>
      <c r="F1176" s="2">
        <v>0</v>
      </c>
      <c r="G1176" s="2">
        <v>0</v>
      </c>
      <c r="H1176" s="3" t="s">
        <v>27</v>
      </c>
      <c r="I1176" s="3" t="s">
        <v>4748</v>
      </c>
      <c r="J1176" s="3" t="s">
        <v>3211</v>
      </c>
      <c r="K1176" s="21" t="s">
        <v>3212</v>
      </c>
      <c r="L1176" s="10">
        <v>32359</v>
      </c>
      <c r="M1176" s="4">
        <f>9+(12*7)</f>
        <v>93</v>
      </c>
      <c r="N1176" s="2">
        <v>100</v>
      </c>
      <c r="O1176" s="2">
        <v>6</v>
      </c>
      <c r="Q1176" s="2">
        <v>1</v>
      </c>
      <c r="R1176" s="2">
        <v>0</v>
      </c>
      <c r="S1176" s="2">
        <v>1</v>
      </c>
      <c r="T1176" s="2">
        <v>1</v>
      </c>
      <c r="U1176" s="2">
        <v>1</v>
      </c>
      <c r="V1176" s="2">
        <v>0</v>
      </c>
      <c r="W1176" s="2">
        <v>0</v>
      </c>
      <c r="X1176" s="2">
        <v>0</v>
      </c>
      <c r="Y1176" s="2">
        <v>1</v>
      </c>
      <c r="Z1176" s="27">
        <v>1995.0509999999999</v>
      </c>
      <c r="AA1176" s="31">
        <v>1996.03</v>
      </c>
    </row>
    <row r="1177" spans="1:27" x14ac:dyDescent="0.2">
      <c r="A1177" s="3" t="s">
        <v>3207</v>
      </c>
      <c r="B1177" s="2" t="s">
        <v>3208</v>
      </c>
      <c r="C1177" s="8">
        <v>35219</v>
      </c>
      <c r="D1177" s="2">
        <v>1996</v>
      </c>
      <c r="E1177" s="2">
        <v>1990</v>
      </c>
      <c r="F1177" s="2">
        <v>0</v>
      </c>
      <c r="G1177" s="2">
        <v>0</v>
      </c>
      <c r="H1177" s="3" t="s">
        <v>27</v>
      </c>
      <c r="I1177" s="3" t="s">
        <v>2617</v>
      </c>
      <c r="J1177" s="3" t="s">
        <v>2618</v>
      </c>
      <c r="K1177" s="3" t="s">
        <v>2619</v>
      </c>
      <c r="L1177" s="10">
        <v>20677</v>
      </c>
      <c r="M1177" s="4">
        <f>10+(12*39)</f>
        <v>478</v>
      </c>
      <c r="N1177" s="2">
        <v>84</v>
      </c>
      <c r="O1177" s="2">
        <v>6</v>
      </c>
      <c r="P1177" s="2">
        <v>1</v>
      </c>
      <c r="Q1177" s="2">
        <v>0</v>
      </c>
      <c r="R1177" s="2">
        <v>0</v>
      </c>
      <c r="S1177" s="2">
        <v>1</v>
      </c>
      <c r="T1177" s="2">
        <v>1</v>
      </c>
      <c r="U1177" s="2">
        <v>0</v>
      </c>
      <c r="V1177" s="2">
        <v>0</v>
      </c>
      <c r="W1177" s="2">
        <v>1</v>
      </c>
      <c r="X1177" s="2">
        <v>0</v>
      </c>
      <c r="Y1177" s="2">
        <v>1</v>
      </c>
      <c r="Z1177" s="27">
        <v>1995.059</v>
      </c>
      <c r="AA1177" s="31">
        <v>1996.04</v>
      </c>
    </row>
    <row r="1178" spans="1:27" x14ac:dyDescent="0.2">
      <c r="A1178" s="3" t="s">
        <v>4343</v>
      </c>
      <c r="B1178" s="2" t="s">
        <v>4344</v>
      </c>
      <c r="C1178" s="8">
        <v>35226</v>
      </c>
      <c r="D1178" s="2">
        <v>1996</v>
      </c>
      <c r="E1178" s="2">
        <v>1990</v>
      </c>
      <c r="F1178" s="2">
        <v>1</v>
      </c>
      <c r="G1178" s="2">
        <v>1</v>
      </c>
      <c r="H1178" s="3" t="s">
        <v>3442</v>
      </c>
      <c r="I1178" s="3" t="s">
        <v>5096</v>
      </c>
      <c r="J1178" s="3" t="s">
        <v>4345</v>
      </c>
      <c r="K1178" s="19" t="s">
        <v>2395</v>
      </c>
      <c r="L1178" s="10">
        <v>19952</v>
      </c>
      <c r="M1178" s="4">
        <f>10+(41*12)</f>
        <v>502</v>
      </c>
      <c r="N1178" s="2">
        <v>83</v>
      </c>
      <c r="O1178" s="2">
        <v>4</v>
      </c>
      <c r="Q1178" s="2">
        <v>1</v>
      </c>
      <c r="R1178" s="2">
        <v>0</v>
      </c>
      <c r="S1178" s="2">
        <v>1</v>
      </c>
      <c r="T1178" s="2">
        <v>1</v>
      </c>
      <c r="U1178" s="2">
        <v>0</v>
      </c>
      <c r="V1178" s="2">
        <v>1</v>
      </c>
      <c r="W1178" s="2">
        <v>1</v>
      </c>
      <c r="X1178" s="2">
        <v>2</v>
      </c>
      <c r="Y1178" s="2">
        <v>0</v>
      </c>
      <c r="Z1178" s="27">
        <v>1995.0650000000001</v>
      </c>
      <c r="AA1178" s="31">
        <v>1996.05</v>
      </c>
    </row>
    <row r="1179" spans="1:27" x14ac:dyDescent="0.2">
      <c r="A1179" s="3" t="s">
        <v>5026</v>
      </c>
      <c r="B1179" s="2" t="s">
        <v>3213</v>
      </c>
      <c r="C1179" s="8">
        <v>35240</v>
      </c>
      <c r="D1179" s="2">
        <v>1996</v>
      </c>
      <c r="E1179" s="2">
        <v>1990</v>
      </c>
      <c r="F1179" s="2">
        <v>0</v>
      </c>
      <c r="G1179" s="2">
        <v>0</v>
      </c>
      <c r="H1179" s="3" t="s">
        <v>27</v>
      </c>
      <c r="I1179" s="3" t="s">
        <v>4696</v>
      </c>
      <c r="J1179" s="3" t="s">
        <v>3214</v>
      </c>
      <c r="K1179" s="21" t="s">
        <v>2839</v>
      </c>
      <c r="L1179" s="10">
        <v>25868</v>
      </c>
      <c r="M1179" s="4">
        <f>8+(12*25)</f>
        <v>308</v>
      </c>
      <c r="N1179" s="2">
        <v>91</v>
      </c>
      <c r="O1179" s="2">
        <v>1</v>
      </c>
      <c r="Q1179" s="2">
        <v>1</v>
      </c>
      <c r="R1179" s="2">
        <v>0</v>
      </c>
      <c r="S1179" s="2">
        <v>1</v>
      </c>
      <c r="T1179" s="2">
        <v>1</v>
      </c>
      <c r="U1179" s="2">
        <v>1</v>
      </c>
      <c r="V1179" s="2">
        <v>0</v>
      </c>
      <c r="W1179" s="2">
        <v>1</v>
      </c>
      <c r="X1179" s="2">
        <v>1</v>
      </c>
      <c r="Y1179" s="2">
        <v>1</v>
      </c>
      <c r="Z1179" s="27">
        <v>1995.079</v>
      </c>
      <c r="AA1179" s="31">
        <v>1996.06</v>
      </c>
    </row>
    <row r="1180" spans="1:27" x14ac:dyDescent="0.2">
      <c r="A1180" s="3" t="s">
        <v>4335</v>
      </c>
      <c r="B1180" s="2" t="s">
        <v>4336</v>
      </c>
      <c r="C1180" s="8">
        <v>35242</v>
      </c>
      <c r="D1180" s="2">
        <v>1996</v>
      </c>
      <c r="E1180" s="2">
        <v>1990</v>
      </c>
      <c r="F1180" s="2">
        <v>1</v>
      </c>
      <c r="G1180" s="2">
        <v>1</v>
      </c>
      <c r="H1180" s="3" t="s">
        <v>3442</v>
      </c>
      <c r="I1180" s="3" t="s">
        <v>4707</v>
      </c>
      <c r="J1180" s="3" t="s">
        <v>3277</v>
      </c>
      <c r="K1180" s="21" t="s">
        <v>2876</v>
      </c>
      <c r="L1180" s="10">
        <v>27891</v>
      </c>
      <c r="M1180" s="4">
        <f>1+(12*20)</f>
        <v>241</v>
      </c>
      <c r="N1180" s="2">
        <v>94</v>
      </c>
      <c r="O1180" s="2">
        <v>2</v>
      </c>
      <c r="Q1180" s="2">
        <v>0</v>
      </c>
      <c r="R1180" s="2">
        <v>0</v>
      </c>
      <c r="S1180" s="2">
        <v>1</v>
      </c>
      <c r="T1180" s="2">
        <v>1</v>
      </c>
      <c r="U1180" s="2">
        <v>0</v>
      </c>
      <c r="V1180" s="2">
        <v>1</v>
      </c>
      <c r="W1180" s="2">
        <v>1</v>
      </c>
      <c r="X1180" s="2">
        <v>6</v>
      </c>
      <c r="Y1180" s="2">
        <v>1</v>
      </c>
      <c r="Z1180" s="27">
        <v>1995.086</v>
      </c>
      <c r="AA1180" s="31">
        <v>1996.07</v>
      </c>
    </row>
    <row r="1181" spans="1:27" x14ac:dyDescent="0.2">
      <c r="A1181" s="3" t="s">
        <v>3203</v>
      </c>
      <c r="B1181" s="2" t="s">
        <v>3204</v>
      </c>
      <c r="C1181" s="8">
        <v>35244</v>
      </c>
      <c r="D1181" s="2">
        <v>1996</v>
      </c>
      <c r="E1181" s="2">
        <v>1990</v>
      </c>
      <c r="F1181" s="2">
        <v>0</v>
      </c>
      <c r="G1181" s="2">
        <v>0</v>
      </c>
      <c r="H1181" s="3" t="s">
        <v>27</v>
      </c>
      <c r="I1181" s="3" t="s">
        <v>4718</v>
      </c>
      <c r="J1181" s="3" t="s">
        <v>3205</v>
      </c>
      <c r="K1181" s="21" t="s">
        <v>3206</v>
      </c>
      <c r="L1181" s="10">
        <v>35179</v>
      </c>
      <c r="M1181" s="4">
        <f>2</f>
        <v>2</v>
      </c>
      <c r="N1181" s="2">
        <v>104</v>
      </c>
      <c r="O1181" s="2">
        <v>6</v>
      </c>
      <c r="P1181" s="2">
        <v>1</v>
      </c>
      <c r="Q1181" s="2">
        <v>0</v>
      </c>
      <c r="R1181" s="2">
        <v>0</v>
      </c>
      <c r="S1181" s="2">
        <v>1</v>
      </c>
      <c r="T1181" s="2">
        <v>1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7">
        <v>1995.087</v>
      </c>
      <c r="AA1181" s="31">
        <v>1996.08</v>
      </c>
    </row>
    <row r="1182" spans="1:27" x14ac:dyDescent="0.2">
      <c r="A1182" s="3" t="s">
        <v>5098</v>
      </c>
      <c r="B1182" s="2" t="s">
        <v>4337</v>
      </c>
      <c r="C1182" s="8">
        <v>35244</v>
      </c>
      <c r="D1182" s="2">
        <v>1996</v>
      </c>
      <c r="E1182" s="2">
        <v>1990</v>
      </c>
      <c r="F1182" s="2">
        <v>2</v>
      </c>
      <c r="G1182" s="2">
        <v>1</v>
      </c>
      <c r="H1182" s="3" t="s">
        <v>3434</v>
      </c>
      <c r="I1182" s="3" t="s">
        <v>4747</v>
      </c>
      <c r="J1182" s="3" t="s">
        <v>4338</v>
      </c>
      <c r="K1182" s="21" t="s">
        <v>3234</v>
      </c>
      <c r="L1182" s="10">
        <v>33882</v>
      </c>
      <c r="M1182" s="4">
        <f>8+(12*3)</f>
        <v>44</v>
      </c>
      <c r="N1182" s="2">
        <v>102</v>
      </c>
      <c r="O1182" s="2">
        <v>2</v>
      </c>
      <c r="Q1182" s="2">
        <v>1</v>
      </c>
      <c r="R1182" s="2">
        <v>1</v>
      </c>
      <c r="S1182" s="2">
        <v>1</v>
      </c>
      <c r="T1182" s="2">
        <v>1</v>
      </c>
      <c r="U1182" s="2">
        <v>1</v>
      </c>
      <c r="V1182" s="2">
        <v>1</v>
      </c>
      <c r="W1182" s="2">
        <v>1</v>
      </c>
      <c r="X1182" s="2">
        <v>6</v>
      </c>
      <c r="Y1182" s="2">
        <v>1</v>
      </c>
      <c r="Z1182" s="27">
        <v>1995.09</v>
      </c>
      <c r="AA1182" s="31">
        <v>1996.09</v>
      </c>
    </row>
    <row r="1183" spans="1:27" x14ac:dyDescent="0.2">
      <c r="A1183" s="3" t="s">
        <v>3235</v>
      </c>
      <c r="B1183" s="2" t="s">
        <v>3236</v>
      </c>
      <c r="C1183" s="8">
        <v>35436</v>
      </c>
      <c r="D1183" s="2">
        <v>1997</v>
      </c>
      <c r="E1183" s="2">
        <v>1990</v>
      </c>
      <c r="F1183" s="2">
        <v>0</v>
      </c>
      <c r="G1183" s="2">
        <v>0</v>
      </c>
      <c r="H1183" s="3" t="s">
        <v>27</v>
      </c>
      <c r="I1183" s="3" t="s">
        <v>5074</v>
      </c>
      <c r="J1183" s="3" t="s">
        <v>3237</v>
      </c>
      <c r="K1183" s="21" t="s">
        <v>3047</v>
      </c>
      <c r="L1183" s="10">
        <v>30967</v>
      </c>
      <c r="M1183" s="4">
        <f>3+(12*12)</f>
        <v>147</v>
      </c>
      <c r="N1183" s="2">
        <v>98</v>
      </c>
      <c r="O1183" s="2">
        <v>1</v>
      </c>
      <c r="Q1183" s="2">
        <v>1</v>
      </c>
      <c r="R1183" s="2">
        <v>1</v>
      </c>
      <c r="S1183" s="2">
        <v>0</v>
      </c>
      <c r="T1183" s="2">
        <v>1</v>
      </c>
      <c r="U1183" s="2">
        <v>1</v>
      </c>
      <c r="V1183" s="2">
        <v>0</v>
      </c>
      <c r="W1183" s="2">
        <v>1</v>
      </c>
      <c r="X1183" s="2">
        <v>2</v>
      </c>
      <c r="Y1183" s="2">
        <v>1</v>
      </c>
      <c r="Z1183" s="27">
        <v>1996.0119999999999</v>
      </c>
      <c r="AA1183" s="31">
        <v>1997.01</v>
      </c>
    </row>
    <row r="1184" spans="1:27" x14ac:dyDescent="0.2">
      <c r="A1184" s="3" t="s">
        <v>4346</v>
      </c>
      <c r="B1184" s="8" t="s">
        <v>4347</v>
      </c>
      <c r="C1184" s="8">
        <v>35451</v>
      </c>
      <c r="D1184" s="2">
        <v>1997</v>
      </c>
      <c r="E1184" s="2">
        <v>1990</v>
      </c>
      <c r="F1184" s="2">
        <v>2</v>
      </c>
      <c r="G1184" s="2">
        <v>1</v>
      </c>
      <c r="H1184" s="3" t="s">
        <v>3434</v>
      </c>
      <c r="I1184" s="3" t="s">
        <v>5072</v>
      </c>
      <c r="J1184" s="3" t="s">
        <v>4348</v>
      </c>
      <c r="K1184" s="21" t="s">
        <v>4349</v>
      </c>
      <c r="L1184" s="10">
        <v>30985</v>
      </c>
      <c r="M1184" s="4">
        <f>3+(12*12)</f>
        <v>147</v>
      </c>
      <c r="N1184" s="2">
        <v>98</v>
      </c>
      <c r="O1184" s="2">
        <v>4</v>
      </c>
      <c r="Q1184" s="2">
        <v>0</v>
      </c>
      <c r="R1184" s="2">
        <v>0</v>
      </c>
      <c r="S1184" s="2">
        <v>1</v>
      </c>
      <c r="T1184" s="2">
        <v>1</v>
      </c>
      <c r="U1184" s="2">
        <v>0</v>
      </c>
      <c r="V1184" s="2">
        <v>1</v>
      </c>
      <c r="W1184" s="2">
        <v>1</v>
      </c>
      <c r="X1184" s="2">
        <v>1</v>
      </c>
      <c r="Y1184" s="2">
        <v>1</v>
      </c>
      <c r="Z1184" s="27">
        <v>1996.0170000000001</v>
      </c>
      <c r="AA1184" s="31">
        <v>1997.02</v>
      </c>
    </row>
    <row r="1185" spans="1:27" x14ac:dyDescent="0.2">
      <c r="A1185" s="3" t="s">
        <v>3231</v>
      </c>
      <c r="B1185" s="2" t="s">
        <v>3232</v>
      </c>
      <c r="C1185" s="8">
        <v>35520</v>
      </c>
      <c r="D1185" s="2">
        <v>1997</v>
      </c>
      <c r="E1185" s="2">
        <v>1990</v>
      </c>
      <c r="F1185" s="2">
        <v>0</v>
      </c>
      <c r="G1185" s="2">
        <v>0</v>
      </c>
      <c r="H1185" s="3" t="s">
        <v>27</v>
      </c>
      <c r="I1185" s="3" t="s">
        <v>4747</v>
      </c>
      <c r="J1185" s="3" t="s">
        <v>3233</v>
      </c>
      <c r="K1185" s="21" t="s">
        <v>3234</v>
      </c>
      <c r="L1185" s="10">
        <v>33882</v>
      </c>
      <c r="M1185" s="4">
        <f>5+(12*4)</f>
        <v>53</v>
      </c>
      <c r="N1185" s="2">
        <v>102</v>
      </c>
      <c r="O1185" s="2">
        <v>2</v>
      </c>
      <c r="Q1185" s="2">
        <v>1</v>
      </c>
      <c r="R1185" s="2">
        <v>1</v>
      </c>
      <c r="S1185" s="2">
        <v>1</v>
      </c>
      <c r="T1185" s="2">
        <v>0</v>
      </c>
      <c r="U1185" s="2">
        <v>0</v>
      </c>
      <c r="V1185" s="2">
        <v>0</v>
      </c>
      <c r="W1185" s="2">
        <v>1</v>
      </c>
      <c r="X1185" s="2">
        <v>4</v>
      </c>
      <c r="Y1185" s="2">
        <v>1</v>
      </c>
      <c r="Z1185" s="27">
        <v>1996.039</v>
      </c>
      <c r="AA1185" s="31">
        <v>1997.03</v>
      </c>
    </row>
    <row r="1186" spans="1:27" x14ac:dyDescent="0.2">
      <c r="A1186" s="3" t="s">
        <v>3219</v>
      </c>
      <c r="B1186" s="2" t="s">
        <v>3220</v>
      </c>
      <c r="C1186" s="8">
        <v>35569</v>
      </c>
      <c r="D1186" s="2">
        <v>1997</v>
      </c>
      <c r="E1186" s="2">
        <v>1990</v>
      </c>
      <c r="F1186" s="2">
        <v>0</v>
      </c>
      <c r="G1186" s="2">
        <v>0</v>
      </c>
      <c r="H1186" s="3" t="s">
        <v>27</v>
      </c>
      <c r="I1186" s="3" t="s">
        <v>4746</v>
      </c>
      <c r="J1186" s="3" t="s">
        <v>3221</v>
      </c>
      <c r="K1186" s="21" t="s">
        <v>3222</v>
      </c>
      <c r="L1186" s="10">
        <v>21420</v>
      </c>
      <c r="M1186" s="4">
        <f>9+(38*12)</f>
        <v>465</v>
      </c>
      <c r="N1186" s="2">
        <v>85</v>
      </c>
      <c r="O1186" s="2">
        <v>6</v>
      </c>
      <c r="Q1186" s="2">
        <v>1</v>
      </c>
      <c r="R1186" s="2">
        <v>0</v>
      </c>
      <c r="S1186" s="2">
        <v>1</v>
      </c>
      <c r="T1186" s="2">
        <v>1</v>
      </c>
      <c r="U1186" s="2">
        <v>0</v>
      </c>
      <c r="V1186" s="2">
        <v>0</v>
      </c>
      <c r="W1186" s="2">
        <v>1</v>
      </c>
      <c r="X1186" s="2">
        <v>0</v>
      </c>
      <c r="Y1186" s="2">
        <v>1</v>
      </c>
      <c r="Z1186" s="27">
        <v>1996.057</v>
      </c>
      <c r="AA1186" s="31">
        <v>1997.04</v>
      </c>
    </row>
    <row r="1187" spans="1:27" x14ac:dyDescent="0.2">
      <c r="A1187" s="3" t="s">
        <v>3223</v>
      </c>
      <c r="B1187" s="2" t="s">
        <v>3224</v>
      </c>
      <c r="C1187" s="8">
        <v>35606</v>
      </c>
      <c r="D1187" s="2">
        <v>1997</v>
      </c>
      <c r="E1187" s="2">
        <v>1990</v>
      </c>
      <c r="F1187" s="2">
        <v>0</v>
      </c>
      <c r="G1187" s="2">
        <v>0</v>
      </c>
      <c r="H1187" s="3" t="s">
        <v>27</v>
      </c>
      <c r="I1187" s="3" t="s">
        <v>4745</v>
      </c>
      <c r="J1187" s="3" t="s">
        <v>1922</v>
      </c>
      <c r="K1187" s="21" t="s">
        <v>1828</v>
      </c>
      <c r="L1187" s="10">
        <v>13669</v>
      </c>
      <c r="M1187" s="4">
        <f>12*60</f>
        <v>720</v>
      </c>
      <c r="N1187" s="2">
        <v>75</v>
      </c>
      <c r="O1187" s="2">
        <v>2</v>
      </c>
      <c r="Q1187" s="2">
        <v>0</v>
      </c>
      <c r="R1187" s="2">
        <v>0</v>
      </c>
      <c r="S1187" s="2">
        <v>1</v>
      </c>
      <c r="T1187" s="2">
        <v>1</v>
      </c>
      <c r="U1187" s="2">
        <v>1</v>
      </c>
      <c r="V1187" s="2">
        <v>0</v>
      </c>
      <c r="W1187" s="2">
        <v>1</v>
      </c>
      <c r="X1187" s="2">
        <v>4</v>
      </c>
      <c r="Y1187" s="2">
        <v>1</v>
      </c>
      <c r="Z1187" s="27">
        <v>1996.086</v>
      </c>
      <c r="AA1187" s="31">
        <v>1997.05</v>
      </c>
    </row>
    <row r="1188" spans="1:27" x14ac:dyDescent="0.2">
      <c r="A1188" s="3" t="s">
        <v>4350</v>
      </c>
      <c r="B1188" s="2" t="s">
        <v>4351</v>
      </c>
      <c r="C1188" s="8">
        <v>35606</v>
      </c>
      <c r="D1188" s="2">
        <v>1997</v>
      </c>
      <c r="E1188" s="2">
        <v>1990</v>
      </c>
      <c r="F1188" s="2">
        <v>2</v>
      </c>
      <c r="G1188" s="2">
        <v>1</v>
      </c>
      <c r="H1188" s="3" t="s">
        <v>3434</v>
      </c>
      <c r="I1188" s="3" t="s">
        <v>4744</v>
      </c>
      <c r="J1188" s="3" t="s">
        <v>4352</v>
      </c>
      <c r="K1188" s="21" t="s">
        <v>4353</v>
      </c>
      <c r="L1188" s="10">
        <v>34289</v>
      </c>
      <c r="M1188" s="4">
        <f>7+(3*12)</f>
        <v>43</v>
      </c>
      <c r="N1188" s="2">
        <v>103</v>
      </c>
      <c r="O1188" s="2">
        <v>2</v>
      </c>
      <c r="Q1188" s="2">
        <v>1</v>
      </c>
      <c r="R1188" s="2">
        <v>1</v>
      </c>
      <c r="S1188" s="2">
        <v>1</v>
      </c>
      <c r="T1188" s="2">
        <v>1</v>
      </c>
      <c r="U1188" s="2">
        <v>1</v>
      </c>
      <c r="V1188" s="2">
        <v>1</v>
      </c>
      <c r="W1188" s="2">
        <v>0</v>
      </c>
      <c r="X1188" s="2">
        <v>3</v>
      </c>
      <c r="Y1188" s="2">
        <v>1</v>
      </c>
      <c r="Z1188" s="27">
        <v>1996.087</v>
      </c>
      <c r="AA1188" s="31">
        <v>1997.06</v>
      </c>
    </row>
    <row r="1189" spans="1:27" x14ac:dyDescent="0.2">
      <c r="A1189" s="3" t="s">
        <v>4358</v>
      </c>
      <c r="B1189" s="2" t="s">
        <v>4359</v>
      </c>
      <c r="C1189" s="8">
        <v>35607</v>
      </c>
      <c r="D1189" s="2">
        <v>1997</v>
      </c>
      <c r="E1189" s="2">
        <v>1990</v>
      </c>
      <c r="F1189" s="2">
        <v>2</v>
      </c>
      <c r="G1189" s="2">
        <v>1</v>
      </c>
      <c r="H1189" s="3" t="s">
        <v>3434</v>
      </c>
      <c r="I1189" s="3" t="s">
        <v>4726</v>
      </c>
      <c r="J1189" s="3" t="s">
        <v>4360</v>
      </c>
      <c r="K1189" s="21" t="s">
        <v>4361</v>
      </c>
      <c r="L1189" s="10">
        <v>35103</v>
      </c>
      <c r="M1189" s="4">
        <f>4+12</f>
        <v>16</v>
      </c>
      <c r="N1189" s="2">
        <v>104</v>
      </c>
      <c r="O1189" s="2">
        <v>2</v>
      </c>
      <c r="Q1189" s="2">
        <v>1</v>
      </c>
      <c r="R1189" s="2">
        <v>0</v>
      </c>
      <c r="S1189" s="2">
        <v>1</v>
      </c>
      <c r="T1189" s="2">
        <v>0</v>
      </c>
      <c r="U1189" s="2">
        <v>0</v>
      </c>
      <c r="V1189" s="2">
        <v>1</v>
      </c>
      <c r="W1189" s="2">
        <v>1</v>
      </c>
      <c r="X1189" s="2">
        <v>2</v>
      </c>
      <c r="Y1189" s="2">
        <v>0</v>
      </c>
      <c r="Z1189" s="27">
        <v>1996.0940000000001</v>
      </c>
      <c r="AA1189" s="31">
        <v>1997.07</v>
      </c>
    </row>
    <row r="1190" spans="1:27" x14ac:dyDescent="0.2">
      <c r="A1190" s="3" t="s">
        <v>4354</v>
      </c>
      <c r="B1190" s="2" t="s">
        <v>4355</v>
      </c>
      <c r="C1190" s="8">
        <v>35608</v>
      </c>
      <c r="D1190" s="2">
        <v>1997</v>
      </c>
      <c r="E1190" s="2">
        <v>1990</v>
      </c>
      <c r="F1190" s="2">
        <v>2</v>
      </c>
      <c r="G1190" s="2">
        <v>1</v>
      </c>
      <c r="H1190" s="3" t="s">
        <v>3434</v>
      </c>
      <c r="I1190" s="3" t="s">
        <v>4743</v>
      </c>
      <c r="J1190" s="3" t="s">
        <v>4356</v>
      </c>
      <c r="K1190" s="21" t="s">
        <v>4357</v>
      </c>
      <c r="L1190" s="10">
        <v>34303</v>
      </c>
      <c r="M1190" s="4">
        <f>7+36</f>
        <v>43</v>
      </c>
      <c r="N1190" s="2">
        <v>103</v>
      </c>
      <c r="O1190" s="2">
        <v>5</v>
      </c>
      <c r="Q1190" s="2">
        <v>1</v>
      </c>
      <c r="R1190" s="2">
        <v>1</v>
      </c>
      <c r="S1190" s="2">
        <v>1</v>
      </c>
      <c r="T1190" s="2">
        <v>1</v>
      </c>
      <c r="U1190" s="2">
        <v>1</v>
      </c>
      <c r="V1190" s="2">
        <v>1</v>
      </c>
      <c r="W1190" s="2">
        <v>1</v>
      </c>
      <c r="X1190" s="2">
        <v>4</v>
      </c>
      <c r="Y1190" s="2">
        <v>1</v>
      </c>
      <c r="Z1190" s="27">
        <v>1996.095</v>
      </c>
      <c r="AA1190" s="31">
        <v>1997.08</v>
      </c>
    </row>
    <row r="1191" spans="1:27" x14ac:dyDescent="0.2">
      <c r="A1191" s="3" t="s">
        <v>3229</v>
      </c>
      <c r="B1191" s="2" t="s">
        <v>3230</v>
      </c>
      <c r="C1191" s="8">
        <v>35766</v>
      </c>
      <c r="D1191" s="2">
        <v>1997</v>
      </c>
      <c r="E1191" s="2">
        <v>1990</v>
      </c>
      <c r="F1191" s="2">
        <v>0</v>
      </c>
      <c r="G1191" s="2">
        <v>0</v>
      </c>
      <c r="H1191" s="3" t="s">
        <v>27</v>
      </c>
      <c r="I1191" s="3" t="s">
        <v>4742</v>
      </c>
      <c r="J1191" s="3" t="s">
        <v>3168</v>
      </c>
      <c r="K1191" s="21" t="s">
        <v>2541</v>
      </c>
      <c r="L1191" s="10">
        <v>25856</v>
      </c>
      <c r="M1191" s="4">
        <f>2+(12*27)</f>
        <v>326</v>
      </c>
      <c r="N1191" s="2">
        <v>91</v>
      </c>
      <c r="O1191" s="2">
        <v>5</v>
      </c>
      <c r="Q1191" s="2">
        <v>1</v>
      </c>
      <c r="R1191" s="2">
        <v>1</v>
      </c>
      <c r="S1191" s="2">
        <v>1</v>
      </c>
      <c r="T1191" s="2">
        <v>1</v>
      </c>
      <c r="U1191" s="2">
        <v>0</v>
      </c>
      <c r="V1191" s="2">
        <v>0</v>
      </c>
      <c r="W1191" s="2">
        <v>1</v>
      </c>
      <c r="X1191" s="2">
        <v>0</v>
      </c>
      <c r="Y1191" s="2">
        <v>1</v>
      </c>
      <c r="Z1191" s="27">
        <v>1997.0050000000001</v>
      </c>
      <c r="AA1191" s="31">
        <v>1997.09</v>
      </c>
    </row>
    <row r="1192" spans="1:27" x14ac:dyDescent="0.2">
      <c r="A1192" s="3" t="s">
        <v>3225</v>
      </c>
      <c r="B1192" s="2" t="s">
        <v>3226</v>
      </c>
      <c r="C1192" s="8">
        <v>35774</v>
      </c>
      <c r="D1192" s="2">
        <v>1997</v>
      </c>
      <c r="E1192" s="2">
        <v>1990</v>
      </c>
      <c r="F1192" s="2">
        <v>0</v>
      </c>
      <c r="G1192" s="2">
        <v>0</v>
      </c>
      <c r="H1192" s="3" t="s">
        <v>27</v>
      </c>
      <c r="I1192" s="3" t="s">
        <v>4741</v>
      </c>
      <c r="J1192" s="3" t="s">
        <v>3227</v>
      </c>
      <c r="K1192" s="21" t="s">
        <v>3228</v>
      </c>
      <c r="L1192" s="10">
        <v>32729</v>
      </c>
      <c r="M1192" s="4">
        <f>4+(12*8)</f>
        <v>100</v>
      </c>
      <c r="N1192" s="2">
        <v>101</v>
      </c>
      <c r="O1192" s="2">
        <v>1</v>
      </c>
      <c r="Q1192" s="2">
        <v>1</v>
      </c>
      <c r="R1192" s="2">
        <v>0</v>
      </c>
      <c r="S1192" s="2">
        <v>1</v>
      </c>
      <c r="T1192" s="2">
        <v>1</v>
      </c>
      <c r="U1192" s="2">
        <v>0</v>
      </c>
      <c r="V1192" s="2">
        <v>0</v>
      </c>
      <c r="W1192" s="2">
        <v>1</v>
      </c>
      <c r="X1192" s="2">
        <v>0</v>
      </c>
      <c r="Y1192" s="2">
        <v>1</v>
      </c>
      <c r="Z1192" s="27">
        <v>1997.009</v>
      </c>
      <c r="AA1192" s="31">
        <v>1997.1</v>
      </c>
    </row>
    <row r="1193" spans="1:27" x14ac:dyDescent="0.2">
      <c r="A1193" s="3" t="s">
        <v>3242</v>
      </c>
      <c r="B1193" s="2" t="s">
        <v>3243</v>
      </c>
      <c r="C1193" s="8">
        <v>35821</v>
      </c>
      <c r="D1193" s="2">
        <v>1998</v>
      </c>
      <c r="E1193" s="2">
        <v>1990</v>
      </c>
      <c r="F1193" s="2">
        <v>0</v>
      </c>
      <c r="G1193" s="2">
        <v>0</v>
      </c>
      <c r="H1193" s="3" t="s">
        <v>27</v>
      </c>
      <c r="I1193" s="3" t="s">
        <v>4740</v>
      </c>
      <c r="J1193" s="3" t="s">
        <v>3244</v>
      </c>
      <c r="K1193" s="21" t="s">
        <v>3245</v>
      </c>
      <c r="L1193" s="10">
        <v>12588</v>
      </c>
      <c r="M1193" s="4">
        <f>7+(12*64)</f>
        <v>775</v>
      </c>
      <c r="N1193" s="2">
        <v>73</v>
      </c>
      <c r="O1193" s="2">
        <v>1</v>
      </c>
      <c r="Q1193" s="2">
        <v>0</v>
      </c>
      <c r="R1193" s="2">
        <v>0</v>
      </c>
      <c r="S1193" s="2">
        <v>1</v>
      </c>
      <c r="T1193" s="2">
        <v>1</v>
      </c>
      <c r="U1193" s="2">
        <v>0</v>
      </c>
      <c r="V1193" s="2">
        <v>0</v>
      </c>
      <c r="W1193" s="2">
        <v>1</v>
      </c>
      <c r="X1193" s="2">
        <v>2</v>
      </c>
      <c r="Y1193" s="2">
        <v>1</v>
      </c>
      <c r="Z1193" s="27">
        <v>1997.0239999999999</v>
      </c>
      <c r="AA1193" s="31">
        <v>1998</v>
      </c>
    </row>
    <row r="1194" spans="1:27" x14ac:dyDescent="0.2">
      <c r="A1194" s="3" t="s">
        <v>3238</v>
      </c>
      <c r="B1194" s="2" t="s">
        <v>3239</v>
      </c>
      <c r="C1194" s="8">
        <v>35878</v>
      </c>
      <c r="D1194" s="2">
        <v>1998</v>
      </c>
      <c r="E1194" s="2">
        <v>1990</v>
      </c>
      <c r="F1194" s="2">
        <v>0</v>
      </c>
      <c r="G1194" s="2">
        <v>0</v>
      </c>
      <c r="H1194" s="3" t="s">
        <v>27</v>
      </c>
      <c r="I1194" s="3" t="s">
        <v>4715</v>
      </c>
      <c r="J1194" s="3" t="s">
        <v>3240</v>
      </c>
      <c r="K1194" s="21" t="s">
        <v>3241</v>
      </c>
      <c r="L1194" s="10">
        <v>32465</v>
      </c>
      <c r="M1194" s="4">
        <f>4+(9*12)</f>
        <v>112</v>
      </c>
      <c r="N1194" s="2">
        <v>100</v>
      </c>
      <c r="O1194" s="2">
        <v>1</v>
      </c>
      <c r="Q1194" s="2">
        <v>1</v>
      </c>
      <c r="R1194" s="2">
        <v>0</v>
      </c>
      <c r="S1194" s="2">
        <v>1</v>
      </c>
      <c r="T1194" s="2">
        <v>1</v>
      </c>
      <c r="U1194" s="2">
        <v>0</v>
      </c>
      <c r="V1194" s="2">
        <v>0</v>
      </c>
      <c r="W1194" s="2">
        <v>1</v>
      </c>
      <c r="X1194" s="2">
        <v>4</v>
      </c>
      <c r="Y1194" s="2">
        <v>1</v>
      </c>
      <c r="Z1194" s="27">
        <v>1997.0450000000001</v>
      </c>
      <c r="AA1194" s="31">
        <v>1998.01</v>
      </c>
    </row>
    <row r="1195" spans="1:27" x14ac:dyDescent="0.2">
      <c r="A1195" s="3" t="s">
        <v>4370</v>
      </c>
      <c r="B1195" s="2" t="s">
        <v>4371</v>
      </c>
      <c r="C1195" s="8">
        <v>35885</v>
      </c>
      <c r="D1195" s="2">
        <v>1998</v>
      </c>
      <c r="E1195" s="2">
        <v>1990</v>
      </c>
      <c r="F1195" s="2">
        <v>1</v>
      </c>
      <c r="G1195" s="2">
        <v>1</v>
      </c>
      <c r="H1195" s="3" t="s">
        <v>3442</v>
      </c>
      <c r="I1195" s="3" t="s">
        <v>5073</v>
      </c>
      <c r="J1195" s="3" t="s">
        <v>4372</v>
      </c>
      <c r="K1195" s="21" t="s">
        <v>2959</v>
      </c>
      <c r="L1195" s="10">
        <v>28052</v>
      </c>
      <c r="M1195" s="4">
        <f>5+(11*12)</f>
        <v>137</v>
      </c>
      <c r="N1195" s="2">
        <v>94</v>
      </c>
      <c r="O1195" s="2">
        <v>1</v>
      </c>
      <c r="Q1195" s="2">
        <v>1</v>
      </c>
      <c r="R1195" s="2">
        <v>0</v>
      </c>
      <c r="S1195" s="2">
        <v>0</v>
      </c>
      <c r="T1195" s="2">
        <v>1</v>
      </c>
      <c r="U1195" s="2">
        <v>1</v>
      </c>
      <c r="V1195" s="2">
        <v>1</v>
      </c>
      <c r="W1195" s="2">
        <v>0</v>
      </c>
      <c r="X1195" s="2">
        <v>0</v>
      </c>
      <c r="Y1195" s="2">
        <v>1</v>
      </c>
      <c r="Z1195" s="27">
        <v>1997.049</v>
      </c>
      <c r="AA1195" s="31">
        <v>1998.02</v>
      </c>
    </row>
    <row r="1196" spans="1:27" x14ac:dyDescent="0.2">
      <c r="A1196" s="3" t="s">
        <v>4375</v>
      </c>
      <c r="B1196" s="2" t="s">
        <v>4376</v>
      </c>
      <c r="C1196" s="8">
        <v>35885</v>
      </c>
      <c r="D1196" s="2">
        <v>1998</v>
      </c>
      <c r="E1196" s="2">
        <v>1990</v>
      </c>
      <c r="F1196" s="2">
        <v>1</v>
      </c>
      <c r="G1196" s="2">
        <v>1</v>
      </c>
      <c r="H1196" s="3" t="s">
        <v>3442</v>
      </c>
      <c r="I1196" s="3" t="s">
        <v>4739</v>
      </c>
      <c r="J1196" s="3" t="s">
        <v>4377</v>
      </c>
      <c r="K1196" s="21" t="s">
        <v>4378</v>
      </c>
      <c r="L1196" s="10">
        <v>31733</v>
      </c>
      <c r="M1196" s="4">
        <f>4+(11*12)</f>
        <v>136</v>
      </c>
      <c r="N1196" s="2">
        <v>99</v>
      </c>
      <c r="O1196" s="2">
        <v>4</v>
      </c>
      <c r="Q1196" s="2">
        <v>0</v>
      </c>
      <c r="R1196" s="2">
        <v>0</v>
      </c>
      <c r="S1196" s="2">
        <v>1</v>
      </c>
      <c r="T1196" s="2">
        <v>1</v>
      </c>
      <c r="U1196" s="2">
        <v>0</v>
      </c>
      <c r="V1196" s="2">
        <v>1</v>
      </c>
      <c r="W1196" s="2">
        <v>1</v>
      </c>
      <c r="X1196" s="2">
        <v>0</v>
      </c>
      <c r="Y1196" s="2">
        <v>1</v>
      </c>
      <c r="Z1196" s="27">
        <v>1997.05</v>
      </c>
      <c r="AA1196" s="31">
        <v>1998.03</v>
      </c>
    </row>
    <row r="1197" spans="1:27" x14ac:dyDescent="0.2">
      <c r="A1197" s="3" t="s">
        <v>3248</v>
      </c>
      <c r="B1197" s="2" t="s">
        <v>3249</v>
      </c>
      <c r="C1197" s="8">
        <v>35907</v>
      </c>
      <c r="D1197" s="2">
        <v>1998</v>
      </c>
      <c r="E1197" s="2">
        <v>1990</v>
      </c>
      <c r="F1197" s="2">
        <v>0</v>
      </c>
      <c r="G1197" s="2">
        <v>0</v>
      </c>
      <c r="H1197" s="3" t="s">
        <v>27</v>
      </c>
      <c r="I1197" s="3" t="s">
        <v>4538</v>
      </c>
      <c r="J1197" s="3" t="s">
        <v>3250</v>
      </c>
      <c r="K1197" s="21" t="s">
        <v>2238</v>
      </c>
      <c r="L1197" s="10">
        <v>19172</v>
      </c>
      <c r="M1197" s="4">
        <f>10+(45*12)</f>
        <v>550</v>
      </c>
      <c r="N1197" s="2">
        <v>82</v>
      </c>
      <c r="O1197" s="2">
        <v>3</v>
      </c>
      <c r="Q1197" s="2">
        <v>1</v>
      </c>
      <c r="R1197" s="2">
        <v>0</v>
      </c>
      <c r="S1197" s="2">
        <v>1</v>
      </c>
      <c r="T1197" s="2">
        <v>1</v>
      </c>
      <c r="U1197" s="2">
        <v>0</v>
      </c>
      <c r="V1197" s="2">
        <v>0</v>
      </c>
      <c r="W1197" s="2">
        <v>1</v>
      </c>
      <c r="X1197" s="2">
        <v>3</v>
      </c>
      <c r="Y1197" s="2">
        <v>1</v>
      </c>
      <c r="Z1197" s="27">
        <v>1997.0550000000001</v>
      </c>
      <c r="AA1197" s="31">
        <v>1998.04</v>
      </c>
    </row>
    <row r="1198" spans="1:27" x14ac:dyDescent="0.2">
      <c r="A1198" s="3" t="s">
        <v>3246</v>
      </c>
      <c r="B1198" s="2" t="s">
        <v>3247</v>
      </c>
      <c r="C1198" s="8">
        <v>35947</v>
      </c>
      <c r="D1198" s="2">
        <v>1998</v>
      </c>
      <c r="E1198" s="2">
        <v>1990</v>
      </c>
      <c r="F1198" s="2">
        <v>0</v>
      </c>
      <c r="G1198" s="2">
        <v>0</v>
      </c>
      <c r="H1198" s="3" t="s">
        <v>27</v>
      </c>
      <c r="I1198" s="3" t="s">
        <v>4738</v>
      </c>
      <c r="J1198" s="3" t="s">
        <v>2842</v>
      </c>
      <c r="K1198" s="21" t="s">
        <v>2843</v>
      </c>
      <c r="L1198" s="10">
        <v>26336</v>
      </c>
      <c r="M1198" s="4">
        <f>4+(26*12)</f>
        <v>316</v>
      </c>
      <c r="N1198" s="2">
        <v>92</v>
      </c>
      <c r="O1198" s="2">
        <v>6</v>
      </c>
      <c r="Q1198" s="2">
        <v>1</v>
      </c>
      <c r="R1198" s="2">
        <v>0</v>
      </c>
      <c r="S1198" s="2">
        <v>1</v>
      </c>
      <c r="T1198" s="2">
        <v>1</v>
      </c>
      <c r="U1198" s="2">
        <v>0</v>
      </c>
      <c r="V1198" s="2">
        <v>0</v>
      </c>
      <c r="W1198" s="2">
        <v>1</v>
      </c>
      <c r="X1198" s="2">
        <v>3</v>
      </c>
      <c r="Y1198" s="2">
        <v>1</v>
      </c>
      <c r="Z1198" s="27">
        <v>1997.0740000000001</v>
      </c>
      <c r="AA1198" s="31">
        <v>1998.05</v>
      </c>
    </row>
    <row r="1199" spans="1:27" x14ac:dyDescent="0.2">
      <c r="A1199" s="3" t="s">
        <v>4373</v>
      </c>
      <c r="B1199" s="2" t="s">
        <v>4374</v>
      </c>
      <c r="C1199" s="8">
        <v>35968</v>
      </c>
      <c r="D1199" s="2">
        <v>1998</v>
      </c>
      <c r="E1199" s="2">
        <v>1990</v>
      </c>
      <c r="F1199" s="2">
        <v>1</v>
      </c>
      <c r="G1199" s="2">
        <v>1</v>
      </c>
      <c r="H1199" s="3" t="s">
        <v>3442</v>
      </c>
      <c r="I1199" s="3" t="s">
        <v>4737</v>
      </c>
      <c r="J1199" s="3" t="s">
        <v>3132</v>
      </c>
      <c r="K1199" s="21" t="s">
        <v>3133</v>
      </c>
      <c r="L1199" s="10">
        <v>31712</v>
      </c>
      <c r="M1199" s="4">
        <f>8+(12*11)</f>
        <v>140</v>
      </c>
      <c r="N1199" s="2">
        <v>99</v>
      </c>
      <c r="O1199" s="2">
        <v>1</v>
      </c>
      <c r="Q1199" s="2">
        <v>1</v>
      </c>
      <c r="R1199" s="2">
        <v>1</v>
      </c>
      <c r="S1199" s="2">
        <v>1</v>
      </c>
      <c r="T1199" s="2">
        <v>1</v>
      </c>
      <c r="U1199" s="2">
        <v>0</v>
      </c>
      <c r="V1199" s="2">
        <v>0</v>
      </c>
      <c r="W1199" s="2">
        <v>1</v>
      </c>
      <c r="X1199" s="2">
        <v>4</v>
      </c>
      <c r="Y1199" s="2">
        <v>1</v>
      </c>
      <c r="Z1199" s="27">
        <v>1997.0909999999999</v>
      </c>
      <c r="AA1199" s="31">
        <v>1998.06</v>
      </c>
    </row>
    <row r="1200" spans="1:27" x14ac:dyDescent="0.2">
      <c r="A1200" s="3" t="s">
        <v>4362</v>
      </c>
      <c r="B1200" s="2" t="s">
        <v>4363</v>
      </c>
      <c r="C1200" s="8">
        <v>35971</v>
      </c>
      <c r="D1200" s="2">
        <v>1998</v>
      </c>
      <c r="E1200" s="2">
        <v>1990</v>
      </c>
      <c r="F1200" s="2">
        <v>2</v>
      </c>
      <c r="G1200" s="2">
        <v>1</v>
      </c>
      <c r="H1200" s="3" t="s">
        <v>3434</v>
      </c>
      <c r="I1200" s="3" t="s">
        <v>4736</v>
      </c>
      <c r="J1200" s="3" t="s">
        <v>4364</v>
      </c>
      <c r="K1200" s="21" t="s">
        <v>4365</v>
      </c>
      <c r="L1200" s="10">
        <v>35164</v>
      </c>
      <c r="M1200" s="4">
        <f>2+24</f>
        <v>26</v>
      </c>
      <c r="N1200" s="2">
        <v>104</v>
      </c>
      <c r="O1200" s="2">
        <v>6</v>
      </c>
      <c r="Q1200" s="2">
        <v>1</v>
      </c>
      <c r="R1200" s="2">
        <v>1</v>
      </c>
      <c r="S1200" s="2">
        <v>1</v>
      </c>
      <c r="T1200" s="2">
        <v>0</v>
      </c>
      <c r="U1200" s="2">
        <v>0</v>
      </c>
      <c r="V1200" s="2">
        <v>1</v>
      </c>
      <c r="W1200" s="2">
        <v>1</v>
      </c>
      <c r="X1200" s="2">
        <v>3</v>
      </c>
      <c r="Y1200" s="2">
        <v>0</v>
      </c>
      <c r="Z1200" s="27">
        <v>1997.095</v>
      </c>
      <c r="AA1200" s="31">
        <v>1998.07</v>
      </c>
    </row>
    <row r="1201" spans="1:27" x14ac:dyDescent="0.2">
      <c r="A1201" s="3" t="s">
        <v>4366</v>
      </c>
      <c r="B1201" s="2" t="s">
        <v>4367</v>
      </c>
      <c r="C1201" s="8">
        <v>35971</v>
      </c>
      <c r="D1201" s="2">
        <v>1998</v>
      </c>
      <c r="E1201" s="2">
        <v>1990</v>
      </c>
      <c r="F1201" s="2">
        <v>1</v>
      </c>
      <c r="G1201" s="2">
        <v>1</v>
      </c>
      <c r="H1201" s="3" t="s">
        <v>3442</v>
      </c>
      <c r="I1201" s="3" t="s">
        <v>4735</v>
      </c>
      <c r="J1201" s="3" t="s">
        <v>4368</v>
      </c>
      <c r="K1201" s="21" t="s">
        <v>4369</v>
      </c>
      <c r="L1201" s="10">
        <v>33901</v>
      </c>
      <c r="M1201" s="4">
        <f>8+(5*12)</f>
        <v>68</v>
      </c>
      <c r="N1201" s="2">
        <v>102</v>
      </c>
      <c r="O1201" s="2">
        <v>1</v>
      </c>
      <c r="Q1201" s="2">
        <v>1</v>
      </c>
      <c r="R1201" s="2">
        <v>1</v>
      </c>
      <c r="S1201" s="2">
        <v>1</v>
      </c>
      <c r="T1201" s="2">
        <v>1</v>
      </c>
      <c r="U1201" s="2">
        <v>1</v>
      </c>
      <c r="V1201" s="2">
        <v>1</v>
      </c>
      <c r="W1201" s="2">
        <v>1</v>
      </c>
      <c r="X1201" s="2">
        <v>5</v>
      </c>
      <c r="Y1201" s="2">
        <v>1</v>
      </c>
      <c r="Z1201" s="27">
        <v>1997.096</v>
      </c>
      <c r="AA1201" s="31">
        <v>1998.08</v>
      </c>
    </row>
    <row r="1202" spans="1:27" x14ac:dyDescent="0.2">
      <c r="A1202" s="3" t="s">
        <v>3251</v>
      </c>
      <c r="B1202" s="2" t="s">
        <v>3252</v>
      </c>
      <c r="C1202" s="8">
        <v>35971</v>
      </c>
      <c r="D1202" s="2">
        <v>1998</v>
      </c>
      <c r="E1202" s="2">
        <v>1990</v>
      </c>
      <c r="F1202" s="2">
        <v>0</v>
      </c>
      <c r="G1202" s="2">
        <v>0</v>
      </c>
      <c r="H1202" s="3" t="s">
        <v>27</v>
      </c>
      <c r="I1202" s="3" t="s">
        <v>4734</v>
      </c>
      <c r="J1202" s="3" t="s">
        <v>3253</v>
      </c>
      <c r="K1202" s="21" t="s">
        <v>3254</v>
      </c>
      <c r="L1202" s="10">
        <v>33182</v>
      </c>
      <c r="M1202" s="4">
        <f>8+(12*7)</f>
        <v>92</v>
      </c>
      <c r="N1202" s="2">
        <v>101</v>
      </c>
      <c r="O1202" s="2">
        <v>2</v>
      </c>
      <c r="Q1202" s="2">
        <v>0</v>
      </c>
      <c r="R1202" s="2">
        <v>0</v>
      </c>
      <c r="S1202" s="2">
        <v>1</v>
      </c>
      <c r="T1202" s="2">
        <v>1</v>
      </c>
      <c r="U1202" s="2">
        <v>1</v>
      </c>
      <c r="V1202" s="2">
        <v>0</v>
      </c>
      <c r="W1202" s="2">
        <v>1</v>
      </c>
      <c r="X1202" s="2">
        <v>1</v>
      </c>
      <c r="Y1202" s="2">
        <v>1</v>
      </c>
      <c r="Z1202" s="27">
        <v>1997.097</v>
      </c>
      <c r="AA1202" s="31">
        <v>1998.09</v>
      </c>
    </row>
    <row r="1203" spans="1:27" x14ac:dyDescent="0.2">
      <c r="A1203" s="3" t="s">
        <v>3255</v>
      </c>
      <c r="B1203" s="2" t="s">
        <v>3256</v>
      </c>
      <c r="C1203" s="8">
        <v>35971</v>
      </c>
      <c r="D1203" s="2">
        <v>1998</v>
      </c>
      <c r="E1203" s="2">
        <v>1990</v>
      </c>
      <c r="F1203" s="2">
        <v>0</v>
      </c>
      <c r="G1203" s="2">
        <v>0</v>
      </c>
      <c r="H1203" s="3" t="s">
        <v>27</v>
      </c>
      <c r="I1203" s="3" t="s">
        <v>4538</v>
      </c>
      <c r="J1203" s="3" t="s">
        <v>3257</v>
      </c>
      <c r="K1203" s="21" t="s">
        <v>2238</v>
      </c>
      <c r="L1203" s="10">
        <v>19172</v>
      </c>
      <c r="M1203" s="4">
        <f>12*46</f>
        <v>552</v>
      </c>
      <c r="N1203" s="2">
        <v>82</v>
      </c>
      <c r="O1203" s="2">
        <v>1</v>
      </c>
      <c r="Q1203" s="2">
        <v>1</v>
      </c>
      <c r="R1203" s="2">
        <v>1</v>
      </c>
      <c r="S1203" s="2">
        <v>1</v>
      </c>
      <c r="T1203" s="2">
        <v>1</v>
      </c>
      <c r="U1203" s="2">
        <v>1</v>
      </c>
      <c r="V1203" s="2">
        <v>0</v>
      </c>
      <c r="W1203" s="2">
        <v>1</v>
      </c>
      <c r="X1203" s="2">
        <v>2</v>
      </c>
      <c r="Y1203" s="2">
        <v>1</v>
      </c>
      <c r="Z1203" s="27">
        <v>1997.0989999999999</v>
      </c>
      <c r="AA1203" s="31">
        <v>1998.1</v>
      </c>
    </row>
    <row r="1204" spans="1:27" x14ac:dyDescent="0.2">
      <c r="A1204" s="3" t="s">
        <v>3258</v>
      </c>
      <c r="B1204" s="2" t="s">
        <v>3259</v>
      </c>
      <c r="C1204" s="8">
        <v>36215</v>
      </c>
      <c r="D1204" s="2">
        <v>1999</v>
      </c>
      <c r="E1204" s="2">
        <v>1990</v>
      </c>
      <c r="F1204" s="2">
        <v>0</v>
      </c>
      <c r="G1204" s="2">
        <v>0</v>
      </c>
      <c r="H1204" s="3" t="s">
        <v>27</v>
      </c>
      <c r="I1204" s="3" t="s">
        <v>4700</v>
      </c>
      <c r="J1204" s="3" t="s">
        <v>3306</v>
      </c>
      <c r="K1204" s="21" t="s">
        <v>3260</v>
      </c>
      <c r="L1204" s="10">
        <v>35338</v>
      </c>
      <c r="M1204" s="4">
        <f>5+24</f>
        <v>29</v>
      </c>
      <c r="N1204" s="2">
        <v>104</v>
      </c>
      <c r="O1204" s="2">
        <v>1</v>
      </c>
      <c r="Q1204" s="2">
        <v>1</v>
      </c>
      <c r="R1204" s="2">
        <v>1</v>
      </c>
      <c r="S1204" s="2">
        <v>1</v>
      </c>
      <c r="T1204" s="2">
        <v>1</v>
      </c>
      <c r="U1204" s="2">
        <v>0</v>
      </c>
      <c r="V1204" s="2">
        <v>0</v>
      </c>
      <c r="W1204" s="2">
        <v>1</v>
      </c>
      <c r="X1204" s="2">
        <v>1</v>
      </c>
      <c r="Y1204" s="2">
        <v>0</v>
      </c>
      <c r="Z1204" s="27">
        <v>1998.0239999999999</v>
      </c>
      <c r="AA1204" s="31">
        <v>1999.01</v>
      </c>
    </row>
    <row r="1205" spans="1:27" x14ac:dyDescent="0.2">
      <c r="A1205" s="3" t="s">
        <v>4392</v>
      </c>
      <c r="B1205" s="2" t="s">
        <v>4393</v>
      </c>
      <c r="C1205" s="8">
        <v>36297</v>
      </c>
      <c r="D1205" s="2">
        <v>1999</v>
      </c>
      <c r="E1205" s="2">
        <v>1990</v>
      </c>
      <c r="F1205" s="2">
        <v>1</v>
      </c>
      <c r="G1205" s="2">
        <v>1</v>
      </c>
      <c r="H1205" s="3" t="s">
        <v>3442</v>
      </c>
      <c r="I1205" s="3" t="s">
        <v>4733</v>
      </c>
      <c r="J1205" s="3" t="s">
        <v>4732</v>
      </c>
      <c r="K1205" s="21" t="s">
        <v>4394</v>
      </c>
      <c r="L1205" s="10">
        <v>35299</v>
      </c>
      <c r="M1205" s="4">
        <f>9+24</f>
        <v>33</v>
      </c>
      <c r="N1205" s="2">
        <v>104</v>
      </c>
      <c r="O1205" s="2">
        <v>2</v>
      </c>
      <c r="P1205" s="2">
        <v>3</v>
      </c>
      <c r="Q1205" s="2">
        <v>1</v>
      </c>
      <c r="R1205" s="2">
        <v>1</v>
      </c>
      <c r="S1205" s="2">
        <v>1</v>
      </c>
      <c r="T1205" s="2">
        <v>1</v>
      </c>
      <c r="U1205" s="2">
        <v>0</v>
      </c>
      <c r="V1205" s="2">
        <v>0</v>
      </c>
      <c r="W1205" s="2">
        <v>0</v>
      </c>
      <c r="X1205" s="2">
        <v>2</v>
      </c>
      <c r="Y1205" s="2">
        <v>0</v>
      </c>
      <c r="Z1205" s="27">
        <v>1998.0519999999999</v>
      </c>
      <c r="AA1205" s="31">
        <v>1999.02</v>
      </c>
    </row>
    <row r="1206" spans="1:27" x14ac:dyDescent="0.2">
      <c r="A1206" s="3" t="s">
        <v>4390</v>
      </c>
      <c r="B1206" s="2" t="s">
        <v>4391</v>
      </c>
      <c r="C1206" s="8">
        <v>36325</v>
      </c>
      <c r="D1206" s="2">
        <v>1999</v>
      </c>
      <c r="E1206" s="2">
        <v>1990</v>
      </c>
      <c r="F1206" s="2">
        <v>1</v>
      </c>
      <c r="G1206" s="2">
        <v>1</v>
      </c>
      <c r="H1206" s="3" t="s">
        <v>3442</v>
      </c>
      <c r="I1206" s="3" t="s">
        <v>4731</v>
      </c>
      <c r="J1206" s="3" t="s">
        <v>3181</v>
      </c>
      <c r="K1206" s="21" t="s">
        <v>3182</v>
      </c>
      <c r="L1206" s="10">
        <v>32454</v>
      </c>
      <c r="M1206" s="4">
        <f>7+120</f>
        <v>127</v>
      </c>
      <c r="N1206" s="2">
        <v>100</v>
      </c>
      <c r="O1206" s="2">
        <v>2</v>
      </c>
      <c r="Q1206" s="2">
        <v>0</v>
      </c>
      <c r="R1206" s="2">
        <v>0</v>
      </c>
      <c r="S1206" s="2">
        <v>1</v>
      </c>
      <c r="T1206" s="2">
        <v>1</v>
      </c>
      <c r="U1206" s="2">
        <v>1</v>
      </c>
      <c r="V1206" s="2">
        <v>1</v>
      </c>
      <c r="W1206" s="2">
        <v>1</v>
      </c>
      <c r="X1206" s="2">
        <v>0</v>
      </c>
      <c r="Y1206" s="2">
        <v>1</v>
      </c>
      <c r="Z1206" s="27">
        <v>1998.0719999999999</v>
      </c>
      <c r="AA1206" s="31">
        <v>1999.03</v>
      </c>
    </row>
    <row r="1207" spans="1:27" x14ac:dyDescent="0.2">
      <c r="A1207" s="3" t="s">
        <v>4386</v>
      </c>
      <c r="B1207" s="2" t="s">
        <v>4387</v>
      </c>
      <c r="C1207" s="8">
        <v>36334</v>
      </c>
      <c r="D1207" s="2">
        <v>1999</v>
      </c>
      <c r="E1207" s="2">
        <v>1990</v>
      </c>
      <c r="F1207" s="2">
        <v>2</v>
      </c>
      <c r="G1207" s="2">
        <v>1</v>
      </c>
      <c r="H1207" s="3" t="s">
        <v>3434</v>
      </c>
      <c r="I1207" s="3" t="s">
        <v>4730</v>
      </c>
      <c r="J1207" s="3" t="s">
        <v>4388</v>
      </c>
      <c r="K1207" s="21" t="s">
        <v>4389</v>
      </c>
      <c r="L1207" s="10">
        <v>33905</v>
      </c>
      <c r="M1207" s="4">
        <f>8+(12*6)</f>
        <v>80</v>
      </c>
      <c r="N1207" s="2">
        <v>102</v>
      </c>
      <c r="O1207" s="2">
        <v>5</v>
      </c>
      <c r="Q1207" s="2">
        <v>0</v>
      </c>
      <c r="R1207" s="2">
        <v>0</v>
      </c>
      <c r="S1207" s="2">
        <v>1</v>
      </c>
      <c r="T1207" s="2">
        <v>1</v>
      </c>
      <c r="U1207" s="2">
        <v>1</v>
      </c>
      <c r="V1207" s="2">
        <v>1</v>
      </c>
      <c r="W1207" s="2">
        <v>0</v>
      </c>
      <c r="X1207" s="2">
        <v>4</v>
      </c>
      <c r="Y1207" s="2">
        <v>1</v>
      </c>
      <c r="Z1207" s="27">
        <v>1998.0889999999999</v>
      </c>
      <c r="AA1207" s="31">
        <v>1999.04</v>
      </c>
    </row>
    <row r="1208" spans="1:27" x14ac:dyDescent="0.2">
      <c r="A1208" s="3" t="s">
        <v>4382</v>
      </c>
      <c r="B1208" s="2" t="s">
        <v>4383</v>
      </c>
      <c r="C1208" s="8">
        <v>36334</v>
      </c>
      <c r="D1208" s="2">
        <v>1999</v>
      </c>
      <c r="E1208" s="2">
        <v>1990</v>
      </c>
      <c r="F1208" s="2">
        <v>2</v>
      </c>
      <c r="G1208" s="2">
        <v>1</v>
      </c>
      <c r="H1208" s="3" t="s">
        <v>3434</v>
      </c>
      <c r="I1208" s="3" t="s">
        <v>4729</v>
      </c>
      <c r="J1208" s="3" t="s">
        <v>4384</v>
      </c>
      <c r="K1208" s="21" t="s">
        <v>4385</v>
      </c>
      <c r="L1208" s="10">
        <v>33904</v>
      </c>
      <c r="M1208" s="4">
        <f>80</f>
        <v>80</v>
      </c>
      <c r="N1208" s="2">
        <v>102</v>
      </c>
      <c r="O1208" s="2">
        <v>5</v>
      </c>
      <c r="Q1208" s="2">
        <v>0</v>
      </c>
      <c r="R1208" s="2">
        <v>0</v>
      </c>
      <c r="S1208" s="2">
        <v>1</v>
      </c>
      <c r="T1208" s="2">
        <v>1</v>
      </c>
      <c r="U1208" s="2">
        <v>0</v>
      </c>
      <c r="V1208" s="2">
        <v>1</v>
      </c>
      <c r="W1208" s="2">
        <v>0</v>
      </c>
      <c r="X1208" s="2">
        <v>4</v>
      </c>
      <c r="Y1208" s="2">
        <v>1</v>
      </c>
      <c r="Z1208" s="27">
        <v>1998.09</v>
      </c>
      <c r="AA1208" s="31">
        <v>1999.05</v>
      </c>
    </row>
    <row r="1209" spans="1:27" x14ac:dyDescent="0.2">
      <c r="A1209" s="3" t="s">
        <v>4379</v>
      </c>
      <c r="B1209" s="2" t="s">
        <v>4380</v>
      </c>
      <c r="C1209" s="8">
        <v>36334</v>
      </c>
      <c r="D1209" s="2">
        <v>1999</v>
      </c>
      <c r="E1209" s="2">
        <v>1990</v>
      </c>
      <c r="F1209" s="2">
        <v>1</v>
      </c>
      <c r="G1209" s="2">
        <v>1</v>
      </c>
      <c r="H1209" s="3" t="s">
        <v>3442</v>
      </c>
      <c r="I1209" s="3" t="s">
        <v>4728</v>
      </c>
      <c r="J1209" s="3" t="s">
        <v>4381</v>
      </c>
      <c r="K1209" s="21" t="s">
        <v>2956</v>
      </c>
      <c r="L1209" s="10">
        <v>27127</v>
      </c>
      <c r="M1209" s="4">
        <f>2+(25*12)</f>
        <v>302</v>
      </c>
      <c r="N1209" s="2">
        <v>93</v>
      </c>
      <c r="O1209" s="2">
        <v>5</v>
      </c>
      <c r="Q1209" s="2">
        <v>0</v>
      </c>
      <c r="R1209" s="2">
        <v>0</v>
      </c>
      <c r="S1209" s="2">
        <v>1</v>
      </c>
      <c r="T1209" s="2">
        <v>1</v>
      </c>
      <c r="U1209" s="2">
        <v>0</v>
      </c>
      <c r="V1209" s="2">
        <v>1</v>
      </c>
      <c r="W1209" s="2">
        <v>0</v>
      </c>
      <c r="X1209" s="2">
        <v>4</v>
      </c>
      <c r="Y1209" s="2">
        <v>1</v>
      </c>
      <c r="Z1209" s="27">
        <v>1998.0909999999999</v>
      </c>
      <c r="AA1209" s="31">
        <v>1999.06</v>
      </c>
    </row>
    <row r="1210" spans="1:27" x14ac:dyDescent="0.2">
      <c r="A1210" s="3" t="s">
        <v>3271</v>
      </c>
      <c r="B1210" s="2" t="s">
        <v>3272</v>
      </c>
      <c r="C1210" s="8">
        <v>36537</v>
      </c>
      <c r="D1210" s="2">
        <v>2000</v>
      </c>
      <c r="E1210" s="2">
        <v>2000</v>
      </c>
      <c r="F1210" s="2">
        <v>0</v>
      </c>
      <c r="G1210" s="2">
        <v>0</v>
      </c>
      <c r="H1210" s="3" t="s">
        <v>27</v>
      </c>
      <c r="I1210" s="3" t="s">
        <v>4727</v>
      </c>
      <c r="J1210" s="3" t="s">
        <v>3273</v>
      </c>
      <c r="K1210" s="21" t="s">
        <v>3274</v>
      </c>
      <c r="L1210" s="10">
        <v>34590</v>
      </c>
      <c r="M1210" s="4">
        <f>4+(5*12)</f>
        <v>64</v>
      </c>
      <c r="N1210" s="2">
        <v>103</v>
      </c>
      <c r="O1210" s="2">
        <v>5</v>
      </c>
      <c r="Q1210" s="2">
        <v>1</v>
      </c>
      <c r="R1210" s="2">
        <v>0</v>
      </c>
      <c r="S1210" s="2">
        <v>1</v>
      </c>
      <c r="T1210" s="2">
        <v>1</v>
      </c>
      <c r="U1210" s="2">
        <v>1</v>
      </c>
      <c r="V1210" s="2">
        <v>0</v>
      </c>
      <c r="W1210" s="2">
        <v>1</v>
      </c>
      <c r="X1210" s="2">
        <v>0</v>
      </c>
      <c r="Y1210" s="2">
        <v>1</v>
      </c>
      <c r="Z1210" s="27">
        <v>1999.018</v>
      </c>
      <c r="AA1210" s="31">
        <v>2000.01</v>
      </c>
    </row>
    <row r="1211" spans="1:27" x14ac:dyDescent="0.2">
      <c r="A1211" s="3" t="s">
        <v>4402</v>
      </c>
      <c r="B1211" s="2" t="s">
        <v>4403</v>
      </c>
      <c r="C1211" s="8">
        <v>36536</v>
      </c>
      <c r="D1211" s="2">
        <v>2000</v>
      </c>
      <c r="E1211" s="2">
        <v>2000</v>
      </c>
      <c r="F1211" s="2">
        <v>2</v>
      </c>
      <c r="G1211" s="2">
        <v>1</v>
      </c>
      <c r="H1211" s="3" t="s">
        <v>3434</v>
      </c>
      <c r="I1211" s="3" t="s">
        <v>4728</v>
      </c>
      <c r="J1211" s="3" t="s">
        <v>4404</v>
      </c>
      <c r="K1211" s="21" t="s">
        <v>2956</v>
      </c>
      <c r="L1211" s="10">
        <v>27127</v>
      </c>
      <c r="M1211" s="4">
        <f>9+(25*12)</f>
        <v>309</v>
      </c>
      <c r="N1211" s="2">
        <v>93</v>
      </c>
      <c r="O1211" s="2">
        <v>5</v>
      </c>
      <c r="Q1211" s="2">
        <v>0</v>
      </c>
      <c r="R1211" s="2">
        <v>0</v>
      </c>
      <c r="S1211" s="2">
        <v>1</v>
      </c>
      <c r="T1211" s="2">
        <v>1</v>
      </c>
      <c r="U1211" s="2">
        <v>0</v>
      </c>
      <c r="V1211" s="2">
        <v>1</v>
      </c>
      <c r="W1211" s="2">
        <v>0</v>
      </c>
      <c r="X1211" s="2">
        <v>6</v>
      </c>
      <c r="Y1211" s="2">
        <v>1</v>
      </c>
      <c r="Z1211" s="27">
        <v>1999.0129999999999</v>
      </c>
      <c r="AA1211" s="31">
        <v>2000.02</v>
      </c>
    </row>
    <row r="1212" spans="1:27" x14ac:dyDescent="0.2">
      <c r="A1212" s="3" t="s">
        <v>4405</v>
      </c>
      <c r="B1212" s="2" t="s">
        <v>4406</v>
      </c>
      <c r="C1212" s="8">
        <v>36661</v>
      </c>
      <c r="D1212" s="2">
        <v>2000</v>
      </c>
      <c r="E1212" s="2">
        <v>2000</v>
      </c>
      <c r="F1212" s="2">
        <v>2</v>
      </c>
      <c r="G1212" s="2">
        <v>1</v>
      </c>
      <c r="H1212" s="3" t="s">
        <v>3434</v>
      </c>
      <c r="I1212" s="3" t="s">
        <v>4727</v>
      </c>
      <c r="J1212" s="3" t="s">
        <v>4407</v>
      </c>
      <c r="K1212" s="21" t="s">
        <v>3274</v>
      </c>
      <c r="L1212" s="10">
        <v>34590</v>
      </c>
      <c r="M1212" s="4">
        <f>8+(12*5)</f>
        <v>68</v>
      </c>
      <c r="N1212" s="2">
        <v>103</v>
      </c>
      <c r="O1212" s="2">
        <v>5</v>
      </c>
      <c r="Q1212" s="2">
        <v>1</v>
      </c>
      <c r="R1212" s="2">
        <v>0</v>
      </c>
      <c r="S1212" s="2">
        <v>1</v>
      </c>
      <c r="T1212" s="2">
        <v>1</v>
      </c>
      <c r="U1212" s="2">
        <v>0</v>
      </c>
      <c r="V1212" s="2">
        <v>1</v>
      </c>
      <c r="W1212" s="2">
        <v>1</v>
      </c>
      <c r="X1212" s="2">
        <v>4</v>
      </c>
      <c r="Y1212" s="2">
        <v>1</v>
      </c>
      <c r="Z1212" s="27">
        <v>1999.057</v>
      </c>
      <c r="AA1212" s="31">
        <v>2000.03</v>
      </c>
    </row>
    <row r="1213" spans="1:27" x14ac:dyDescent="0.2">
      <c r="A1213" s="3" t="s">
        <v>3261</v>
      </c>
      <c r="B1213" s="2" t="s">
        <v>3262</v>
      </c>
      <c r="C1213" s="8">
        <v>36661</v>
      </c>
      <c r="D1213" s="2">
        <v>2000</v>
      </c>
      <c r="E1213" s="2">
        <v>2000</v>
      </c>
      <c r="F1213" s="2">
        <v>0</v>
      </c>
      <c r="G1213" s="2">
        <v>0</v>
      </c>
      <c r="H1213" s="3" t="s">
        <v>27</v>
      </c>
      <c r="I1213" s="3" t="s">
        <v>5074</v>
      </c>
      <c r="J1213" s="3" t="s">
        <v>3263</v>
      </c>
      <c r="K1213" s="21" t="s">
        <v>3047</v>
      </c>
      <c r="L1213" s="10">
        <v>30967</v>
      </c>
      <c r="M1213" s="4">
        <f>7+(15*12)</f>
        <v>187</v>
      </c>
      <c r="N1213" s="2">
        <v>98</v>
      </c>
      <c r="O1213" s="2">
        <v>1</v>
      </c>
      <c r="Q1213" s="2">
        <v>1</v>
      </c>
      <c r="R1213" s="2">
        <v>0</v>
      </c>
      <c r="S1213" s="2">
        <v>1</v>
      </c>
      <c r="T1213" s="2">
        <v>1</v>
      </c>
      <c r="U1213" s="2">
        <v>0</v>
      </c>
      <c r="V1213" s="2">
        <v>0</v>
      </c>
      <c r="W1213" s="2">
        <v>0</v>
      </c>
      <c r="X1213" s="2">
        <v>1</v>
      </c>
      <c r="Y1213" s="2">
        <v>1</v>
      </c>
      <c r="Z1213" s="27">
        <v>1999.059</v>
      </c>
      <c r="AA1213" s="31">
        <v>2000.04</v>
      </c>
    </row>
    <row r="1214" spans="1:27" x14ac:dyDescent="0.2">
      <c r="A1214" s="3" t="s">
        <v>4408</v>
      </c>
      <c r="B1214" s="2" t="s">
        <v>4409</v>
      </c>
      <c r="C1214" s="8">
        <v>36668</v>
      </c>
      <c r="D1214" s="2">
        <v>2000</v>
      </c>
      <c r="E1214" s="2">
        <v>2000</v>
      </c>
      <c r="F1214" s="2">
        <v>2</v>
      </c>
      <c r="G1214" s="2">
        <v>1</v>
      </c>
      <c r="H1214" s="3" t="s">
        <v>3434</v>
      </c>
      <c r="I1214" s="3" t="s">
        <v>4726</v>
      </c>
      <c r="J1214" s="3" t="s">
        <v>4410</v>
      </c>
      <c r="K1214" s="21" t="s">
        <v>4361</v>
      </c>
      <c r="L1214" s="10">
        <v>35103</v>
      </c>
      <c r="M1214" s="4">
        <f>3+(12*4)</f>
        <v>51</v>
      </c>
      <c r="N1214" s="2">
        <v>104</v>
      </c>
      <c r="O1214" s="2">
        <v>2</v>
      </c>
      <c r="Q1214" s="2">
        <v>1</v>
      </c>
      <c r="R1214" s="2">
        <v>0</v>
      </c>
      <c r="S1214" s="2">
        <v>1</v>
      </c>
      <c r="T1214" s="2">
        <v>0</v>
      </c>
      <c r="U1214" s="2">
        <v>0</v>
      </c>
      <c r="V1214" s="2">
        <v>1</v>
      </c>
      <c r="W1214" s="2">
        <v>0</v>
      </c>
      <c r="X1214" s="2">
        <v>4</v>
      </c>
      <c r="Y1214" s="2">
        <v>0</v>
      </c>
      <c r="Z1214" s="27">
        <v>1999.0630000000001</v>
      </c>
      <c r="AA1214" s="31">
        <v>2000.05</v>
      </c>
    </row>
    <row r="1215" spans="1:27" x14ac:dyDescent="0.2">
      <c r="A1215" s="3" t="s">
        <v>4398</v>
      </c>
      <c r="B1215" s="2" t="s">
        <v>4399</v>
      </c>
      <c r="C1215" s="8">
        <v>36668</v>
      </c>
      <c r="D1215" s="2">
        <v>2000</v>
      </c>
      <c r="E1215" s="2">
        <v>2000</v>
      </c>
      <c r="F1215" s="2">
        <v>1</v>
      </c>
      <c r="G1215" s="2">
        <v>1</v>
      </c>
      <c r="H1215" s="3" t="s">
        <v>3442</v>
      </c>
      <c r="I1215" s="3" t="s">
        <v>4725</v>
      </c>
      <c r="J1215" s="3" t="s">
        <v>4400</v>
      </c>
      <c r="K1215" s="21" t="s">
        <v>4401</v>
      </c>
      <c r="L1215" s="10">
        <v>30236</v>
      </c>
      <c r="M1215" s="4">
        <f>7+(17*12)</f>
        <v>211</v>
      </c>
      <c r="N1215" s="2">
        <v>97</v>
      </c>
      <c r="O1215" s="2">
        <v>5</v>
      </c>
      <c r="Q1215" s="2">
        <v>0</v>
      </c>
      <c r="R1215" s="2">
        <v>0</v>
      </c>
      <c r="S1215" s="2">
        <v>1</v>
      </c>
      <c r="T1215" s="2">
        <v>1</v>
      </c>
      <c r="U1215" s="2">
        <v>1</v>
      </c>
      <c r="V1215" s="2">
        <v>0</v>
      </c>
      <c r="W1215" s="2">
        <v>0</v>
      </c>
      <c r="X1215" s="2">
        <v>0</v>
      </c>
      <c r="Y1215" s="2">
        <v>1</v>
      </c>
      <c r="Z1215" s="27">
        <v>1999.0640000000001</v>
      </c>
      <c r="AA1215" s="31">
        <v>2000.06</v>
      </c>
    </row>
    <row r="1216" spans="1:27" x14ac:dyDescent="0.2">
      <c r="A1216" s="3" t="s">
        <v>3264</v>
      </c>
      <c r="B1216" s="2" t="s">
        <v>3265</v>
      </c>
      <c r="C1216" s="8">
        <v>36696</v>
      </c>
      <c r="D1216" s="2">
        <v>2000</v>
      </c>
      <c r="E1216" s="2">
        <v>2000</v>
      </c>
      <c r="F1216" s="2">
        <v>0</v>
      </c>
      <c r="G1216" s="2">
        <v>0</v>
      </c>
      <c r="H1216" s="3" t="s">
        <v>27</v>
      </c>
      <c r="I1216" s="3" t="s">
        <v>4721</v>
      </c>
      <c r="J1216" s="3" t="s">
        <v>3266</v>
      </c>
      <c r="K1216" s="21" t="s">
        <v>3267</v>
      </c>
      <c r="L1216" s="10">
        <v>35181</v>
      </c>
      <c r="M1216" s="4">
        <f>2+(4*12)</f>
        <v>50</v>
      </c>
      <c r="N1216" s="2">
        <v>104</v>
      </c>
      <c r="O1216" s="2">
        <v>6</v>
      </c>
      <c r="Q1216" s="2">
        <v>0</v>
      </c>
      <c r="R1216" s="2">
        <v>0</v>
      </c>
      <c r="S1216" s="2">
        <v>1</v>
      </c>
      <c r="T1216" s="2">
        <v>1</v>
      </c>
      <c r="U1216" s="2">
        <v>1</v>
      </c>
      <c r="V1216" s="2">
        <v>0</v>
      </c>
      <c r="W1216" s="2">
        <v>0</v>
      </c>
      <c r="X1216" s="2">
        <v>3</v>
      </c>
      <c r="Y1216" s="2">
        <v>0</v>
      </c>
      <c r="Z1216" s="27">
        <v>1999.078</v>
      </c>
      <c r="AA1216" s="31">
        <v>2000.07</v>
      </c>
    </row>
    <row r="1217" spans="1:27" x14ac:dyDescent="0.2">
      <c r="A1217" s="3" t="s">
        <v>4395</v>
      </c>
      <c r="B1217" s="2" t="s">
        <v>4396</v>
      </c>
      <c r="C1217" s="8">
        <v>36703</v>
      </c>
      <c r="D1217" s="2">
        <v>2000</v>
      </c>
      <c r="E1217" s="2">
        <v>2000</v>
      </c>
      <c r="F1217" s="2">
        <v>2</v>
      </c>
      <c r="G1217" s="2">
        <v>1</v>
      </c>
      <c r="H1217" s="3" t="s">
        <v>3434</v>
      </c>
      <c r="I1217" s="3" t="s">
        <v>4720</v>
      </c>
      <c r="J1217" s="3" t="s">
        <v>4397</v>
      </c>
      <c r="K1217" s="21" t="s">
        <v>2779</v>
      </c>
      <c r="L1217" s="10">
        <v>25008</v>
      </c>
      <c r="M1217" s="4">
        <f>12*32</f>
        <v>384</v>
      </c>
      <c r="N1217" s="2">
        <v>90</v>
      </c>
      <c r="O1217" s="2">
        <v>1</v>
      </c>
      <c r="P1217" s="2">
        <v>6</v>
      </c>
      <c r="Q1217" s="2">
        <v>1</v>
      </c>
      <c r="R1217" s="2">
        <v>1</v>
      </c>
      <c r="S1217" s="2">
        <v>1</v>
      </c>
      <c r="T1217" s="2">
        <v>1</v>
      </c>
      <c r="U1217" s="2">
        <v>1</v>
      </c>
      <c r="V1217" s="2">
        <v>1</v>
      </c>
      <c r="W1217" s="2">
        <v>1</v>
      </c>
      <c r="X1217" s="2">
        <v>2</v>
      </c>
      <c r="Y1217" s="2">
        <v>1</v>
      </c>
      <c r="Z1217" s="27">
        <v>1999.0809999999999</v>
      </c>
      <c r="AA1217" s="31">
        <v>2000.08</v>
      </c>
    </row>
    <row r="1218" spans="1:27" x14ac:dyDescent="0.2">
      <c r="A1218" s="3" t="s">
        <v>3268</v>
      </c>
      <c r="B1218" s="2" t="s">
        <v>3269</v>
      </c>
      <c r="C1218" s="8">
        <v>36705</v>
      </c>
      <c r="D1218" s="2">
        <v>2000</v>
      </c>
      <c r="E1218" s="2">
        <v>2000</v>
      </c>
      <c r="F1218" s="2">
        <v>0</v>
      </c>
      <c r="G1218" s="2">
        <v>0</v>
      </c>
      <c r="H1218" s="3" t="s">
        <v>27</v>
      </c>
      <c r="I1218" s="3" t="s">
        <v>4724</v>
      </c>
      <c r="J1218" s="3" t="s">
        <v>3270</v>
      </c>
      <c r="K1218" s="21" t="s">
        <v>3051</v>
      </c>
      <c r="L1218" s="10">
        <v>29811</v>
      </c>
      <c r="M1218" s="4">
        <f>10+(12*18)</f>
        <v>226</v>
      </c>
      <c r="N1218" s="2">
        <v>97</v>
      </c>
      <c r="O1218" s="2">
        <v>2</v>
      </c>
      <c r="Q1218" s="2">
        <v>1</v>
      </c>
      <c r="R1218" s="2">
        <v>1</v>
      </c>
      <c r="S1218" s="2">
        <v>1</v>
      </c>
      <c r="T1218" s="2">
        <v>1</v>
      </c>
      <c r="U1218" s="2">
        <v>1</v>
      </c>
      <c r="V1218" s="2">
        <v>0</v>
      </c>
      <c r="W1218" s="2">
        <v>0</v>
      </c>
      <c r="X1218" s="2">
        <v>3</v>
      </c>
      <c r="Y1218" s="2">
        <v>1</v>
      </c>
      <c r="Z1218" s="27">
        <v>1999.087</v>
      </c>
      <c r="AA1218" s="31">
        <v>2000.09</v>
      </c>
    </row>
    <row r="1219" spans="1:27" x14ac:dyDescent="0.2">
      <c r="A1219" s="3" t="s">
        <v>4421</v>
      </c>
      <c r="B1219" s="2" t="s">
        <v>4422</v>
      </c>
      <c r="C1219" s="8">
        <v>36900</v>
      </c>
      <c r="D1219" s="2">
        <v>2001</v>
      </c>
      <c r="E1219" s="2">
        <v>2000</v>
      </c>
      <c r="F1219" s="2">
        <v>1</v>
      </c>
      <c r="G1219" s="2">
        <v>1</v>
      </c>
      <c r="H1219" s="3" t="s">
        <v>3442</v>
      </c>
      <c r="I1219" s="3" t="s">
        <v>4723</v>
      </c>
      <c r="J1219" s="3" t="s">
        <v>4423</v>
      </c>
      <c r="K1219" s="21" t="s">
        <v>4254</v>
      </c>
      <c r="L1219" s="10">
        <v>26590</v>
      </c>
      <c r="M1219" s="4">
        <f>3+(30*12)</f>
        <v>363</v>
      </c>
      <c r="N1219" s="2">
        <v>92</v>
      </c>
      <c r="O1219" s="2">
        <v>5</v>
      </c>
      <c r="Q1219" s="2">
        <v>1</v>
      </c>
      <c r="R1219" s="2">
        <v>0</v>
      </c>
      <c r="S1219" s="2">
        <v>1</v>
      </c>
      <c r="T1219" s="2">
        <v>1</v>
      </c>
      <c r="U1219" s="2">
        <v>1</v>
      </c>
      <c r="V1219" s="2">
        <v>0</v>
      </c>
      <c r="W1219" s="2">
        <v>1</v>
      </c>
      <c r="X1219" s="2">
        <v>4</v>
      </c>
      <c r="Y1219" s="2">
        <v>1</v>
      </c>
      <c r="Z1219" s="27">
        <v>2000.01</v>
      </c>
      <c r="AA1219" s="31">
        <v>2001.01</v>
      </c>
    </row>
    <row r="1220" spans="1:27" x14ac:dyDescent="0.2">
      <c r="A1220" s="3" t="s">
        <v>4414</v>
      </c>
      <c r="B1220" s="2" t="s">
        <v>4415</v>
      </c>
      <c r="C1220" s="8">
        <v>36943</v>
      </c>
      <c r="D1220" s="2">
        <v>2001</v>
      </c>
      <c r="E1220" s="2">
        <v>2000</v>
      </c>
      <c r="F1220" s="2">
        <v>2</v>
      </c>
      <c r="G1220" s="2">
        <v>1</v>
      </c>
      <c r="H1220" s="3" t="s">
        <v>3434</v>
      </c>
      <c r="I1220" s="3" t="s">
        <v>4703</v>
      </c>
      <c r="J1220" s="3" t="s">
        <v>4416</v>
      </c>
      <c r="K1220" s="21" t="s">
        <v>3340</v>
      </c>
      <c r="L1220" s="10">
        <v>33080</v>
      </c>
      <c r="M1220" s="4">
        <f>7+(12*10)</f>
        <v>127</v>
      </c>
      <c r="N1220" s="2">
        <v>101</v>
      </c>
      <c r="O1220" s="2">
        <v>5</v>
      </c>
      <c r="Q1220" s="2">
        <v>1</v>
      </c>
      <c r="R1220" s="2">
        <v>0</v>
      </c>
      <c r="S1220" s="2">
        <v>1</v>
      </c>
      <c r="T1220" s="2">
        <v>1</v>
      </c>
      <c r="U1220" s="2">
        <v>1</v>
      </c>
      <c r="V1220" s="2">
        <v>1</v>
      </c>
      <c r="W1220" s="2">
        <v>0</v>
      </c>
      <c r="X1220" s="2">
        <v>4</v>
      </c>
      <c r="Y1220" s="2">
        <v>1</v>
      </c>
      <c r="Z1220" s="27">
        <v>2000.0219999999999</v>
      </c>
      <c r="AA1220" s="31">
        <v>2001.02</v>
      </c>
    </row>
    <row r="1221" spans="1:27" x14ac:dyDescent="0.2">
      <c r="A1221" s="3" t="s">
        <v>3281</v>
      </c>
      <c r="B1221" s="2" t="s">
        <v>3282</v>
      </c>
      <c r="C1221" s="8">
        <v>36949</v>
      </c>
      <c r="D1221" s="2">
        <v>2001</v>
      </c>
      <c r="E1221" s="2">
        <v>2000</v>
      </c>
      <c r="F1221" s="2">
        <v>0</v>
      </c>
      <c r="G1221" s="2">
        <v>0</v>
      </c>
      <c r="H1221" s="3" t="s">
        <v>27</v>
      </c>
      <c r="I1221" s="3" t="s">
        <v>4722</v>
      </c>
      <c r="J1221" s="3" t="s">
        <v>3283</v>
      </c>
      <c r="K1221" s="21" t="s">
        <v>2998</v>
      </c>
      <c r="L1221" s="10">
        <v>25933</v>
      </c>
      <c r="M1221" s="4">
        <f>2+(12*30)</f>
        <v>362</v>
      </c>
      <c r="N1221" s="2">
        <v>91</v>
      </c>
      <c r="O1221" s="2">
        <v>6</v>
      </c>
      <c r="Q1221" s="2">
        <v>1</v>
      </c>
      <c r="R1221" s="2">
        <v>1</v>
      </c>
      <c r="S1221" s="2">
        <v>1</v>
      </c>
      <c r="T1221" s="2">
        <v>1</v>
      </c>
      <c r="U1221" s="2">
        <v>1</v>
      </c>
      <c r="V1221" s="2">
        <v>0</v>
      </c>
      <c r="W1221" s="2">
        <v>1</v>
      </c>
      <c r="X1221" s="2">
        <v>0</v>
      </c>
      <c r="Y1221" s="2">
        <v>1</v>
      </c>
      <c r="Z1221" s="27">
        <v>2000.0250000000001</v>
      </c>
      <c r="AA1221" s="31">
        <v>2001.03</v>
      </c>
    </row>
    <row r="1222" spans="1:27" x14ac:dyDescent="0.2">
      <c r="A1222" s="3" t="s">
        <v>4419</v>
      </c>
      <c r="B1222" s="2" t="s">
        <v>4420</v>
      </c>
      <c r="C1222" s="8">
        <v>36950</v>
      </c>
      <c r="D1222" s="2">
        <v>2001</v>
      </c>
      <c r="E1222" s="2">
        <v>2000</v>
      </c>
      <c r="F1222" s="2">
        <v>2</v>
      </c>
      <c r="G1222" s="2">
        <v>1</v>
      </c>
      <c r="H1222" s="3" t="s">
        <v>3434</v>
      </c>
      <c r="I1222" s="3" t="s">
        <v>4721</v>
      </c>
      <c r="J1222" s="3" t="s">
        <v>3266</v>
      </c>
      <c r="K1222" s="21" t="s">
        <v>3267</v>
      </c>
      <c r="L1222" s="10">
        <v>35181</v>
      </c>
      <c r="M1222" s="4">
        <f>10+(12*4)</f>
        <v>58</v>
      </c>
      <c r="N1222" s="2">
        <v>104</v>
      </c>
      <c r="O1222" s="2">
        <v>2</v>
      </c>
      <c r="Q1222" s="2">
        <v>0</v>
      </c>
      <c r="R1222" s="2">
        <v>0</v>
      </c>
      <c r="S1222" s="2">
        <v>1</v>
      </c>
      <c r="T1222" s="2">
        <v>1</v>
      </c>
      <c r="U1222" s="2">
        <v>0</v>
      </c>
      <c r="V1222" s="2">
        <v>1</v>
      </c>
      <c r="W1222" s="2">
        <v>1</v>
      </c>
      <c r="X1222" s="2">
        <v>4</v>
      </c>
      <c r="Y1222" s="2">
        <v>0</v>
      </c>
      <c r="Z1222" s="27">
        <v>2000.028</v>
      </c>
      <c r="AA1222" s="31">
        <v>2001.04</v>
      </c>
    </row>
    <row r="1223" spans="1:27" x14ac:dyDescent="0.2">
      <c r="A1223" s="3" t="s">
        <v>4411</v>
      </c>
      <c r="B1223" s="2" t="s">
        <v>4412</v>
      </c>
      <c r="C1223" s="8">
        <v>37032</v>
      </c>
      <c r="D1223" s="2">
        <v>2001</v>
      </c>
      <c r="E1223" s="2">
        <v>2000</v>
      </c>
      <c r="F1223" s="2">
        <v>1</v>
      </c>
      <c r="G1223" s="2">
        <v>1</v>
      </c>
      <c r="H1223" s="3" t="s">
        <v>3442</v>
      </c>
      <c r="I1223" s="3" t="s">
        <v>4720</v>
      </c>
      <c r="J1223" s="3" t="s">
        <v>4413</v>
      </c>
      <c r="K1223" s="21" t="s">
        <v>2779</v>
      </c>
      <c r="L1223" s="10">
        <v>25008</v>
      </c>
      <c r="M1223" s="4">
        <f>11+(33*12)</f>
        <v>407</v>
      </c>
      <c r="N1223" s="2">
        <v>90</v>
      </c>
      <c r="O1223" s="2">
        <v>2</v>
      </c>
      <c r="Q1223" s="2">
        <v>1</v>
      </c>
      <c r="R1223" s="2">
        <v>0</v>
      </c>
      <c r="S1223" s="2">
        <v>1</v>
      </c>
      <c r="T1223" s="2">
        <v>1</v>
      </c>
      <c r="U1223" s="2">
        <v>0</v>
      </c>
      <c r="V1223" s="2">
        <v>1</v>
      </c>
      <c r="W1223" s="2">
        <v>0</v>
      </c>
      <c r="X1223" s="2">
        <v>3</v>
      </c>
      <c r="Y1223" s="2">
        <v>1</v>
      </c>
      <c r="Z1223" s="27">
        <v>2000.0519999999999</v>
      </c>
      <c r="AA1223" s="31">
        <v>2001.05</v>
      </c>
    </row>
    <row r="1224" spans="1:27" x14ac:dyDescent="0.2">
      <c r="A1224" s="3" t="s">
        <v>4424</v>
      </c>
      <c r="B1224" s="2" t="s">
        <v>4425</v>
      </c>
      <c r="C1224" s="8">
        <v>37032</v>
      </c>
      <c r="D1224" s="2">
        <v>2001</v>
      </c>
      <c r="E1224" s="2">
        <v>2000</v>
      </c>
      <c r="F1224" s="2">
        <v>1</v>
      </c>
      <c r="G1224" s="2">
        <v>1</v>
      </c>
      <c r="H1224" s="3" t="s">
        <v>3442</v>
      </c>
      <c r="I1224" s="3" t="s">
        <v>4719</v>
      </c>
      <c r="J1224" s="3" t="s">
        <v>4426</v>
      </c>
      <c r="K1224" s="21" t="s">
        <v>2980</v>
      </c>
      <c r="L1224" s="10">
        <v>30426</v>
      </c>
      <c r="M1224" s="4">
        <f>1+(18*12)</f>
        <v>217</v>
      </c>
      <c r="N1224" s="2">
        <v>98</v>
      </c>
      <c r="O1224" s="2">
        <v>6</v>
      </c>
      <c r="Q1224" s="2">
        <v>1</v>
      </c>
      <c r="R1224" s="2">
        <v>1</v>
      </c>
      <c r="S1224" s="2">
        <v>1</v>
      </c>
      <c r="T1224" s="2">
        <v>1</v>
      </c>
      <c r="U1224" s="2">
        <v>1</v>
      </c>
      <c r="V1224" s="2">
        <v>1</v>
      </c>
      <c r="W1224" s="2">
        <v>1</v>
      </c>
      <c r="X1224" s="2">
        <v>2</v>
      </c>
      <c r="Y1224" s="2">
        <v>1</v>
      </c>
      <c r="Z1224" s="27">
        <v>2000.0530000000001</v>
      </c>
      <c r="AA1224" s="31">
        <v>2001.06</v>
      </c>
    </row>
    <row r="1225" spans="1:27" x14ac:dyDescent="0.2">
      <c r="A1225" s="3" t="s">
        <v>3275</v>
      </c>
      <c r="B1225" s="2" t="s">
        <v>3276</v>
      </c>
      <c r="C1225" s="8">
        <v>37067</v>
      </c>
      <c r="D1225" s="2">
        <v>2001</v>
      </c>
      <c r="E1225" s="2">
        <v>2000</v>
      </c>
      <c r="F1225" s="2">
        <v>0</v>
      </c>
      <c r="G1225" s="2">
        <v>0</v>
      </c>
      <c r="H1225" s="3" t="s">
        <v>27</v>
      </c>
      <c r="I1225" s="3" t="s">
        <v>4707</v>
      </c>
      <c r="J1225" s="3" t="s">
        <v>3277</v>
      </c>
      <c r="K1225" s="21" t="s">
        <v>2876</v>
      </c>
      <c r="L1225" s="10">
        <v>27891</v>
      </c>
      <c r="M1225" s="4">
        <f>1+(12*24)</f>
        <v>289</v>
      </c>
      <c r="N1225" s="2">
        <v>94</v>
      </c>
      <c r="O1225" s="2">
        <v>2</v>
      </c>
      <c r="Q1225" s="2">
        <v>0</v>
      </c>
      <c r="R1225" s="2">
        <v>0</v>
      </c>
      <c r="S1225" s="2">
        <v>1</v>
      </c>
      <c r="T1225" s="2">
        <v>1</v>
      </c>
      <c r="U1225" s="2">
        <v>1</v>
      </c>
      <c r="V1225" s="2">
        <v>0</v>
      </c>
      <c r="W1225" s="2">
        <v>1</v>
      </c>
      <c r="X1225" s="2">
        <v>4</v>
      </c>
      <c r="Y1225" s="2">
        <v>1</v>
      </c>
      <c r="Z1225" s="27">
        <v>2000.0820000000001</v>
      </c>
      <c r="AA1225" s="31">
        <v>2001.07</v>
      </c>
    </row>
    <row r="1226" spans="1:27" x14ac:dyDescent="0.2">
      <c r="A1226" s="3" t="s">
        <v>4417</v>
      </c>
      <c r="B1226" s="2" t="s">
        <v>4418</v>
      </c>
      <c r="C1226" s="8">
        <v>37067</v>
      </c>
      <c r="D1226" s="2">
        <v>2001</v>
      </c>
      <c r="E1226" s="2">
        <v>2000</v>
      </c>
      <c r="F1226" s="2">
        <v>1</v>
      </c>
      <c r="G1226" s="2">
        <v>1</v>
      </c>
      <c r="H1226" s="3" t="s">
        <v>3442</v>
      </c>
      <c r="I1226" s="3" t="s">
        <v>4718</v>
      </c>
      <c r="J1226" s="3" t="s">
        <v>3386</v>
      </c>
      <c r="K1226" s="21" t="s">
        <v>3206</v>
      </c>
      <c r="L1226" s="10">
        <v>35179</v>
      </c>
      <c r="M1226" s="4">
        <f>2+(12*5)</f>
        <v>62</v>
      </c>
      <c r="N1226" s="2">
        <v>104</v>
      </c>
      <c r="O1226" s="2">
        <v>1</v>
      </c>
      <c r="P1226" s="2">
        <v>6</v>
      </c>
      <c r="Q1226" s="2">
        <v>0</v>
      </c>
      <c r="R1226" s="2">
        <v>0</v>
      </c>
      <c r="S1226" s="2">
        <v>1</v>
      </c>
      <c r="T1226" s="2">
        <v>1</v>
      </c>
      <c r="U1226" s="2">
        <v>0</v>
      </c>
      <c r="V1226" s="2">
        <v>0</v>
      </c>
      <c r="W1226" s="2">
        <v>1</v>
      </c>
      <c r="X1226" s="2">
        <v>4</v>
      </c>
      <c r="Y1226" s="2">
        <v>0</v>
      </c>
      <c r="Z1226" s="27">
        <v>2000.078</v>
      </c>
      <c r="AA1226" s="31">
        <v>2001.08</v>
      </c>
    </row>
    <row r="1227" spans="1:27" x14ac:dyDescent="0.2">
      <c r="A1227" s="3" t="s">
        <v>4427</v>
      </c>
      <c r="B1227" s="2" t="s">
        <v>4428</v>
      </c>
      <c r="C1227" s="8">
        <v>37067</v>
      </c>
      <c r="D1227" s="2">
        <v>2001</v>
      </c>
      <c r="E1227" s="2">
        <v>2000</v>
      </c>
      <c r="F1227" s="2">
        <v>2</v>
      </c>
      <c r="G1227" s="2">
        <v>1</v>
      </c>
      <c r="H1227" s="3" t="s">
        <v>3434</v>
      </c>
      <c r="I1227" s="3" t="s">
        <v>4717</v>
      </c>
      <c r="J1227" s="3" t="s">
        <v>4429</v>
      </c>
      <c r="K1227" s="21" t="s">
        <v>4430</v>
      </c>
      <c r="L1227" s="10">
        <v>33205</v>
      </c>
      <c r="M1227" s="4">
        <f>7+(12*10)</f>
        <v>127</v>
      </c>
      <c r="N1227" s="2">
        <v>101</v>
      </c>
      <c r="O1227" s="2">
        <v>2</v>
      </c>
      <c r="Q1227" s="2">
        <v>1</v>
      </c>
      <c r="R1227" s="2">
        <v>0</v>
      </c>
      <c r="S1227" s="2">
        <v>1</v>
      </c>
      <c r="T1227" s="2">
        <v>1</v>
      </c>
      <c r="U1227" s="2">
        <v>0</v>
      </c>
      <c r="V1227" s="2">
        <v>1</v>
      </c>
      <c r="W1227" s="2">
        <v>1</v>
      </c>
      <c r="X1227" s="2">
        <v>3</v>
      </c>
      <c r="Y1227" s="2">
        <v>1</v>
      </c>
      <c r="Z1227" s="27">
        <v>2000.0809999999999</v>
      </c>
      <c r="AA1227" s="31">
        <v>2001.09</v>
      </c>
    </row>
    <row r="1228" spans="1:27" x14ac:dyDescent="0.2">
      <c r="A1228" s="3" t="s">
        <v>3278</v>
      </c>
      <c r="B1228" s="2" t="s">
        <v>3279</v>
      </c>
      <c r="C1228" s="8">
        <v>37053</v>
      </c>
      <c r="D1228" s="2">
        <v>2001</v>
      </c>
      <c r="E1228" s="2">
        <v>2000</v>
      </c>
      <c r="F1228" s="2">
        <v>0</v>
      </c>
      <c r="G1228" s="2">
        <v>0</v>
      </c>
      <c r="H1228" s="3" t="s">
        <v>27</v>
      </c>
      <c r="I1228" s="3" t="s">
        <v>4538</v>
      </c>
      <c r="J1228" s="3" t="s">
        <v>3280</v>
      </c>
      <c r="K1228" s="21" t="s">
        <v>2238</v>
      </c>
      <c r="L1228" s="10">
        <v>19172</v>
      </c>
      <c r="M1228" s="4">
        <f>12*49</f>
        <v>588</v>
      </c>
      <c r="N1228" s="2">
        <v>82</v>
      </c>
      <c r="O1228" s="2">
        <v>3</v>
      </c>
      <c r="Q1228" s="2">
        <v>1</v>
      </c>
      <c r="R1228" s="2">
        <v>0</v>
      </c>
      <c r="S1228" s="2">
        <v>1</v>
      </c>
      <c r="T1228" s="2">
        <v>1</v>
      </c>
      <c r="U1228" s="2">
        <v>0</v>
      </c>
      <c r="V1228" s="2">
        <v>0</v>
      </c>
      <c r="W1228" s="2">
        <v>1</v>
      </c>
      <c r="X1228" s="2">
        <v>4</v>
      </c>
      <c r="Y1228" s="2">
        <v>1</v>
      </c>
      <c r="Z1228" s="27">
        <v>2000.07</v>
      </c>
      <c r="AA1228" s="31">
        <v>2001.1</v>
      </c>
    </row>
    <row r="1229" spans="1:27" x14ac:dyDescent="0.2">
      <c r="A1229" s="3" t="s">
        <v>4431</v>
      </c>
      <c r="B1229" s="2" t="s">
        <v>4432</v>
      </c>
      <c r="C1229" s="8">
        <v>37070</v>
      </c>
      <c r="D1229" s="2">
        <v>2001</v>
      </c>
      <c r="E1229" s="2">
        <v>2000</v>
      </c>
      <c r="F1229" s="2">
        <v>1</v>
      </c>
      <c r="G1229" s="2">
        <v>1</v>
      </c>
      <c r="H1229" s="3" t="s">
        <v>3442</v>
      </c>
      <c r="I1229" s="3" t="s">
        <v>4700</v>
      </c>
      <c r="J1229" s="3" t="s">
        <v>3306</v>
      </c>
      <c r="K1229" s="21" t="s">
        <v>3260</v>
      </c>
      <c r="L1229" s="10">
        <v>35338</v>
      </c>
      <c r="M1229" s="4">
        <f>9+(4*12)</f>
        <v>57</v>
      </c>
      <c r="N1229" s="2">
        <v>104</v>
      </c>
      <c r="O1229" s="2">
        <v>1</v>
      </c>
      <c r="Q1229" s="2">
        <v>1</v>
      </c>
      <c r="R1229" s="2">
        <v>1</v>
      </c>
      <c r="S1229" s="2">
        <v>1</v>
      </c>
      <c r="T1229" s="2">
        <v>1</v>
      </c>
      <c r="U1229" s="2">
        <v>0</v>
      </c>
      <c r="V1229" s="2">
        <v>0</v>
      </c>
      <c r="W1229" s="2">
        <v>1</v>
      </c>
      <c r="X1229" s="2">
        <v>3</v>
      </c>
      <c r="Y1229" s="2">
        <v>0</v>
      </c>
      <c r="Z1229" s="27">
        <v>2000.087</v>
      </c>
      <c r="AA1229" s="31">
        <v>2001.11</v>
      </c>
    </row>
    <row r="1230" spans="1:27" x14ac:dyDescent="0.2">
      <c r="A1230" s="3" t="s">
        <v>3291</v>
      </c>
      <c r="B1230" s="2" t="s">
        <v>3292</v>
      </c>
      <c r="C1230" s="8">
        <v>37264</v>
      </c>
      <c r="D1230" s="2">
        <v>2002</v>
      </c>
      <c r="E1230" s="2">
        <v>2000</v>
      </c>
      <c r="F1230" s="2">
        <v>0</v>
      </c>
      <c r="G1230" s="2">
        <v>0</v>
      </c>
      <c r="H1230" s="3" t="s">
        <v>27</v>
      </c>
      <c r="I1230" s="3" t="s">
        <v>4716</v>
      </c>
      <c r="J1230" s="3" t="s">
        <v>3293</v>
      </c>
      <c r="K1230" s="21" t="s">
        <v>3294</v>
      </c>
      <c r="L1230" s="10">
        <v>30985</v>
      </c>
      <c r="M1230" s="4">
        <f>3+(12*17)</f>
        <v>207</v>
      </c>
      <c r="N1230" s="2">
        <v>98</v>
      </c>
      <c r="O1230" s="2">
        <v>1</v>
      </c>
      <c r="Q1230" s="2">
        <v>1</v>
      </c>
      <c r="R1230" s="2">
        <v>0</v>
      </c>
      <c r="S1230" s="2">
        <v>1</v>
      </c>
      <c r="T1230" s="2">
        <v>1</v>
      </c>
      <c r="U1230" s="2">
        <v>0</v>
      </c>
      <c r="V1230" s="2">
        <v>0</v>
      </c>
      <c r="W1230" s="2">
        <v>1</v>
      </c>
      <c r="X1230" s="2">
        <v>4</v>
      </c>
      <c r="Y1230" s="2">
        <v>1</v>
      </c>
      <c r="Z1230" s="27">
        <v>2001.01</v>
      </c>
      <c r="AA1230" s="31">
        <v>2002.01</v>
      </c>
    </row>
    <row r="1231" spans="1:27" x14ac:dyDescent="0.2">
      <c r="A1231" s="3" t="s">
        <v>3288</v>
      </c>
      <c r="B1231" s="2" t="s">
        <v>3289</v>
      </c>
      <c r="C1231" s="8">
        <v>37341</v>
      </c>
      <c r="D1231" s="2">
        <v>2002</v>
      </c>
      <c r="E1231" s="2">
        <v>2000</v>
      </c>
      <c r="F1231" s="2">
        <v>0</v>
      </c>
      <c r="G1231" s="2">
        <v>0</v>
      </c>
      <c r="H1231" s="3" t="s">
        <v>27</v>
      </c>
      <c r="I1231" s="3" t="s">
        <v>4715</v>
      </c>
      <c r="J1231" s="3" t="s">
        <v>3290</v>
      </c>
      <c r="K1231" s="21" t="s">
        <v>3241</v>
      </c>
      <c r="L1231" s="10">
        <v>32465</v>
      </c>
      <c r="M1231" s="4">
        <f>4+(13*12)</f>
        <v>160</v>
      </c>
      <c r="N1231" s="2">
        <v>100</v>
      </c>
      <c r="O1231" s="2">
        <v>1</v>
      </c>
      <c r="Q1231" s="2">
        <v>1</v>
      </c>
      <c r="R1231" s="2">
        <v>1</v>
      </c>
      <c r="S1231" s="2">
        <v>1</v>
      </c>
      <c r="T1231" s="2">
        <v>1</v>
      </c>
      <c r="U1231" s="2">
        <v>1</v>
      </c>
      <c r="V1231" s="2">
        <v>0</v>
      </c>
      <c r="W1231" s="2">
        <v>1</v>
      </c>
      <c r="X1231" s="2">
        <v>0</v>
      </c>
      <c r="Y1231" s="2">
        <v>1</v>
      </c>
      <c r="Z1231" s="27">
        <v>2001.0319999999999</v>
      </c>
      <c r="AA1231" s="31">
        <v>2002.02</v>
      </c>
    </row>
    <row r="1232" spans="1:27" x14ac:dyDescent="0.2">
      <c r="A1232" s="3" t="s">
        <v>4433</v>
      </c>
      <c r="B1232" s="2" t="s">
        <v>4434</v>
      </c>
      <c r="C1232" s="8">
        <v>37362</v>
      </c>
      <c r="D1232" s="2">
        <v>2002</v>
      </c>
      <c r="E1232" s="2">
        <v>2000</v>
      </c>
      <c r="F1232" s="2">
        <v>2</v>
      </c>
      <c r="G1232" s="2">
        <v>1</v>
      </c>
      <c r="H1232" s="3" t="s">
        <v>3434</v>
      </c>
      <c r="I1232" s="3" t="s">
        <v>4700</v>
      </c>
      <c r="J1232" s="3" t="s">
        <v>4435</v>
      </c>
      <c r="K1232" s="21" t="s">
        <v>3260</v>
      </c>
      <c r="L1232" s="10">
        <v>35338</v>
      </c>
      <c r="M1232" s="4">
        <f>7+(5*12)</f>
        <v>67</v>
      </c>
      <c r="N1232" s="2">
        <v>104</v>
      </c>
      <c r="O1232" s="2">
        <v>2</v>
      </c>
      <c r="Q1232" s="2">
        <v>0</v>
      </c>
      <c r="R1232" s="2">
        <v>0</v>
      </c>
      <c r="S1232" s="2">
        <v>1</v>
      </c>
      <c r="T1232" s="2">
        <v>1</v>
      </c>
      <c r="U1232" s="2">
        <v>0</v>
      </c>
      <c r="V1232" s="2">
        <v>1</v>
      </c>
      <c r="W1232" s="2">
        <v>1</v>
      </c>
      <c r="X1232" s="2">
        <v>3</v>
      </c>
      <c r="Y1232" s="2">
        <v>0</v>
      </c>
      <c r="Z1232" s="27">
        <v>2001.038</v>
      </c>
      <c r="AA1232" s="31">
        <v>2002.03</v>
      </c>
    </row>
    <row r="1233" spans="1:27" x14ac:dyDescent="0.2">
      <c r="A1233" s="3" t="s">
        <v>3298</v>
      </c>
      <c r="B1233" s="2" t="s">
        <v>3299</v>
      </c>
      <c r="C1233" s="8">
        <v>37369</v>
      </c>
      <c r="D1233" s="2">
        <v>2002</v>
      </c>
      <c r="E1233" s="2">
        <v>2000</v>
      </c>
      <c r="F1233" s="2">
        <v>0</v>
      </c>
      <c r="G1233" s="2">
        <v>0</v>
      </c>
      <c r="H1233" s="3" t="s">
        <v>27</v>
      </c>
      <c r="I1233" s="3" t="s">
        <v>4714</v>
      </c>
      <c r="J1233" s="3" t="s">
        <v>3300</v>
      </c>
      <c r="K1233" s="21" t="s">
        <v>3301</v>
      </c>
      <c r="L1233" s="10">
        <v>25555</v>
      </c>
      <c r="M1233" s="4">
        <f>4+(32*12)</f>
        <v>388</v>
      </c>
      <c r="N1233" s="2">
        <v>91</v>
      </c>
      <c r="O1233" s="2">
        <v>4</v>
      </c>
      <c r="Q1233" s="2">
        <v>0</v>
      </c>
      <c r="R1233" s="2">
        <v>0</v>
      </c>
      <c r="S1233" s="2">
        <v>1</v>
      </c>
      <c r="T1233" s="2">
        <v>1</v>
      </c>
      <c r="U1233" s="2">
        <v>0</v>
      </c>
      <c r="V1233" s="2">
        <v>0</v>
      </c>
      <c r="W1233" s="2">
        <v>0</v>
      </c>
      <c r="X1233" s="2">
        <v>3</v>
      </c>
      <c r="Y1233" s="2">
        <v>1</v>
      </c>
      <c r="Z1233" s="27">
        <v>2001.04</v>
      </c>
      <c r="AA1233" s="31">
        <v>2002.04</v>
      </c>
    </row>
    <row r="1234" spans="1:27" x14ac:dyDescent="0.2">
      <c r="A1234" s="3" t="s">
        <v>4443</v>
      </c>
      <c r="B1234" s="2" t="s">
        <v>4444</v>
      </c>
      <c r="C1234" s="8">
        <v>37375</v>
      </c>
      <c r="D1234" s="2">
        <v>2002</v>
      </c>
      <c r="E1234" s="2">
        <v>2000</v>
      </c>
      <c r="F1234" s="2">
        <v>2</v>
      </c>
      <c r="G1234" s="2">
        <v>1</v>
      </c>
      <c r="H1234" s="3" t="s">
        <v>3434</v>
      </c>
      <c r="I1234" s="3" t="s">
        <v>4713</v>
      </c>
      <c r="J1234" s="3" t="s">
        <v>4445</v>
      </c>
      <c r="K1234" s="21" t="s">
        <v>4446</v>
      </c>
      <c r="L1234" s="10">
        <v>35755</v>
      </c>
      <c r="M1234" s="4">
        <f>5+(4*12)</f>
        <v>53</v>
      </c>
      <c r="N1234" s="2">
        <v>105</v>
      </c>
      <c r="O1234" s="2">
        <v>2</v>
      </c>
      <c r="Q1234" s="2">
        <v>1</v>
      </c>
      <c r="R1234" s="2">
        <v>0</v>
      </c>
      <c r="S1234" s="2">
        <v>1</v>
      </c>
      <c r="T1234" s="2">
        <v>1</v>
      </c>
      <c r="U1234" s="2">
        <v>0</v>
      </c>
      <c r="V1234" s="2">
        <v>1</v>
      </c>
      <c r="W1234" s="2">
        <v>1</v>
      </c>
      <c r="X1234" s="2">
        <v>4</v>
      </c>
      <c r="Y1234" s="2">
        <v>0</v>
      </c>
      <c r="Z1234" s="27">
        <v>2001.0409999999999</v>
      </c>
      <c r="AA1234" s="31">
        <v>2002.05</v>
      </c>
    </row>
    <row r="1235" spans="1:27" x14ac:dyDescent="0.2">
      <c r="A1235" s="3" t="s">
        <v>3284</v>
      </c>
      <c r="B1235" s="2" t="s">
        <v>3285</v>
      </c>
      <c r="C1235" s="8">
        <v>37389</v>
      </c>
      <c r="D1235" s="2">
        <v>2002</v>
      </c>
      <c r="E1235" s="2">
        <v>2000</v>
      </c>
      <c r="F1235" s="2">
        <v>0</v>
      </c>
      <c r="G1235" s="2">
        <v>0</v>
      </c>
      <c r="H1235" s="3" t="s">
        <v>27</v>
      </c>
      <c r="I1235" s="3" t="s">
        <v>4699</v>
      </c>
      <c r="J1235" s="3" t="s">
        <v>3286</v>
      </c>
      <c r="K1235" s="21" t="s">
        <v>3287</v>
      </c>
      <c r="L1235" s="10">
        <v>36089</v>
      </c>
      <c r="M1235" s="4">
        <f>7+36</f>
        <v>43</v>
      </c>
      <c r="N1235" s="2">
        <v>105</v>
      </c>
      <c r="O1235" s="2">
        <v>2</v>
      </c>
      <c r="Q1235" s="2">
        <v>1</v>
      </c>
      <c r="R1235" s="2">
        <v>1</v>
      </c>
      <c r="S1235" s="2">
        <v>1</v>
      </c>
      <c r="T1235" s="2">
        <v>1</v>
      </c>
      <c r="U1235" s="2">
        <v>0</v>
      </c>
      <c r="V1235" s="2">
        <v>0</v>
      </c>
      <c r="W1235" s="2">
        <v>1</v>
      </c>
      <c r="X1235" s="2">
        <v>1</v>
      </c>
      <c r="Y1235" s="2">
        <v>0</v>
      </c>
      <c r="Z1235" s="27">
        <v>2001.046</v>
      </c>
      <c r="AA1235" s="31">
        <v>2002.06</v>
      </c>
    </row>
    <row r="1236" spans="1:27" x14ac:dyDescent="0.2">
      <c r="A1236" s="3" t="s">
        <v>4439</v>
      </c>
      <c r="B1236" s="2" t="s">
        <v>4440</v>
      </c>
      <c r="C1236" s="8">
        <v>37404</v>
      </c>
      <c r="D1236" s="2">
        <v>2002</v>
      </c>
      <c r="E1236" s="2">
        <v>2000</v>
      </c>
      <c r="F1236" s="2">
        <v>1</v>
      </c>
      <c r="G1236" s="2">
        <v>1</v>
      </c>
      <c r="H1236" s="3" t="s">
        <v>3442</v>
      </c>
      <c r="I1236" s="3" t="s">
        <v>4712</v>
      </c>
      <c r="J1236" s="3" t="s">
        <v>4441</v>
      </c>
      <c r="K1236" s="21" t="s">
        <v>4442</v>
      </c>
      <c r="L1236" s="10">
        <v>30761</v>
      </c>
      <c r="M1236" s="4">
        <f>2+(18*12)</f>
        <v>218</v>
      </c>
      <c r="N1236" s="2">
        <v>98</v>
      </c>
      <c r="O1236" s="2">
        <v>5</v>
      </c>
      <c r="Q1236" s="2">
        <v>1</v>
      </c>
      <c r="R1236" s="2">
        <v>0</v>
      </c>
      <c r="S1236" s="2">
        <v>1</v>
      </c>
      <c r="T1236" s="2">
        <v>1</v>
      </c>
      <c r="U1236" s="2">
        <v>0</v>
      </c>
      <c r="V1236" s="2">
        <v>0</v>
      </c>
      <c r="W1236" s="2">
        <v>1</v>
      </c>
      <c r="X1236" s="2">
        <v>4</v>
      </c>
      <c r="Y1236" s="2">
        <v>1</v>
      </c>
      <c r="Z1236" s="27">
        <v>2001.0530000000001</v>
      </c>
      <c r="AA1236" s="31">
        <v>2002.07</v>
      </c>
    </row>
    <row r="1237" spans="1:27" x14ac:dyDescent="0.2">
      <c r="A1237" s="3" t="s">
        <v>3302</v>
      </c>
      <c r="B1237" s="2" t="s">
        <v>3303</v>
      </c>
      <c r="C1237" s="8">
        <v>37427</v>
      </c>
      <c r="D1237" s="2">
        <v>2002</v>
      </c>
      <c r="E1237" s="2">
        <v>2000</v>
      </c>
      <c r="F1237" s="2">
        <v>0</v>
      </c>
      <c r="G1237" s="2">
        <v>0</v>
      </c>
      <c r="H1237" s="3" t="s">
        <v>27</v>
      </c>
      <c r="I1237" s="3" t="s">
        <v>5085</v>
      </c>
      <c r="J1237" s="3" t="s">
        <v>3217</v>
      </c>
      <c r="K1237" s="21" t="s">
        <v>3218</v>
      </c>
      <c r="L1237" s="10">
        <v>19967</v>
      </c>
      <c r="M1237" s="4">
        <f>10+(47*12)</f>
        <v>574</v>
      </c>
      <c r="N1237" s="2">
        <v>83</v>
      </c>
      <c r="O1237" s="2">
        <v>4</v>
      </c>
      <c r="Q1237" s="2">
        <v>0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1</v>
      </c>
      <c r="X1237" s="2">
        <v>4</v>
      </c>
      <c r="Y1237" s="2">
        <v>0</v>
      </c>
      <c r="Z1237" s="27">
        <v>2001.0740000000001</v>
      </c>
      <c r="AA1237" s="31">
        <v>2002.08</v>
      </c>
    </row>
    <row r="1238" spans="1:27" x14ac:dyDescent="0.2">
      <c r="A1238" s="3" t="s">
        <v>4436</v>
      </c>
      <c r="B1238" s="2" t="s">
        <v>4437</v>
      </c>
      <c r="C1238" s="8">
        <v>37431</v>
      </c>
      <c r="D1238" s="2">
        <v>2002</v>
      </c>
      <c r="E1238" s="2">
        <v>2000</v>
      </c>
      <c r="F1238" s="2">
        <v>1</v>
      </c>
      <c r="G1238" s="2">
        <v>1</v>
      </c>
      <c r="H1238" s="3" t="s">
        <v>3442</v>
      </c>
      <c r="I1238" s="3" t="s">
        <v>5068</v>
      </c>
      <c r="J1238" s="3" t="s">
        <v>4438</v>
      </c>
      <c r="K1238" s="21" t="s">
        <v>2133</v>
      </c>
      <c r="L1238" s="10">
        <v>17341</v>
      </c>
      <c r="M1238" s="4">
        <f>12*55</f>
        <v>660</v>
      </c>
      <c r="N1238" s="2">
        <v>80</v>
      </c>
      <c r="O1238" s="2">
        <v>2</v>
      </c>
      <c r="Q1238" s="2">
        <v>1</v>
      </c>
      <c r="R1238" s="2">
        <v>0</v>
      </c>
      <c r="S1238" s="2">
        <v>1</v>
      </c>
      <c r="T1238" s="2">
        <v>1</v>
      </c>
      <c r="U1238" s="2">
        <v>1</v>
      </c>
      <c r="V1238" s="2">
        <v>0</v>
      </c>
      <c r="W1238" s="2">
        <v>1</v>
      </c>
      <c r="X1238" s="2">
        <v>0</v>
      </c>
      <c r="Y1238" s="2">
        <v>0</v>
      </c>
      <c r="Z1238" s="27">
        <v>2001.075</v>
      </c>
      <c r="AA1238" s="31">
        <v>2002.09</v>
      </c>
    </row>
    <row r="1239" spans="1:27" x14ac:dyDescent="0.2">
      <c r="A1239" s="3" t="s">
        <v>3295</v>
      </c>
      <c r="B1239" s="2" t="s">
        <v>3296</v>
      </c>
      <c r="C1239" s="8">
        <v>37431</v>
      </c>
      <c r="D1239" s="2">
        <v>2002</v>
      </c>
      <c r="E1239" s="2">
        <v>2000</v>
      </c>
      <c r="F1239" s="2">
        <v>0</v>
      </c>
      <c r="G1239" s="2">
        <v>0</v>
      </c>
      <c r="H1239" s="3" t="s">
        <v>27</v>
      </c>
      <c r="I1239" s="3" t="s">
        <v>5074</v>
      </c>
      <c r="J1239" s="3" t="s">
        <v>3297</v>
      </c>
      <c r="K1239" s="21" t="s">
        <v>3047</v>
      </c>
      <c r="L1239" s="10">
        <v>30967</v>
      </c>
      <c r="M1239" s="4">
        <f>8+(17*12)</f>
        <v>212</v>
      </c>
      <c r="N1239" s="2">
        <v>98</v>
      </c>
      <c r="O1239" s="2">
        <v>1</v>
      </c>
      <c r="Q1239" s="2">
        <v>1</v>
      </c>
      <c r="R1239" s="2">
        <v>0</v>
      </c>
      <c r="S1239" s="2">
        <v>1</v>
      </c>
      <c r="T1239" s="2">
        <v>1</v>
      </c>
      <c r="U1239" s="2">
        <v>0</v>
      </c>
      <c r="V1239" s="2">
        <v>0</v>
      </c>
      <c r="W1239" s="2">
        <v>1</v>
      </c>
      <c r="X1239" s="2">
        <v>4</v>
      </c>
      <c r="Y1239" s="2">
        <v>1</v>
      </c>
      <c r="Z1239" s="27">
        <v>2001.076</v>
      </c>
      <c r="AA1239" s="31">
        <v>2002.1</v>
      </c>
    </row>
    <row r="1240" spans="1:27" x14ac:dyDescent="0.2">
      <c r="A1240" s="3" t="s">
        <v>3321</v>
      </c>
      <c r="B1240" s="2" t="s">
        <v>3322</v>
      </c>
      <c r="C1240" s="8">
        <v>37635</v>
      </c>
      <c r="D1240" s="2">
        <v>2003</v>
      </c>
      <c r="E1240" s="2">
        <v>2000</v>
      </c>
      <c r="F1240" s="2">
        <v>0</v>
      </c>
      <c r="G1240" s="2">
        <v>0</v>
      </c>
      <c r="H1240" s="3" t="s">
        <v>27</v>
      </c>
      <c r="I1240" s="3" t="s">
        <v>4711</v>
      </c>
      <c r="J1240" s="3" t="s">
        <v>3323</v>
      </c>
      <c r="K1240" s="24" t="s">
        <v>3324</v>
      </c>
      <c r="L1240" s="10">
        <v>35031</v>
      </c>
      <c r="M1240" s="4">
        <f>2+(12*7)</f>
        <v>86</v>
      </c>
      <c r="N1240" s="2">
        <v>104</v>
      </c>
      <c r="O1240" s="2">
        <v>5</v>
      </c>
      <c r="Q1240" s="2">
        <v>1</v>
      </c>
      <c r="R1240" s="2">
        <v>0</v>
      </c>
      <c r="S1240" s="2">
        <v>1</v>
      </c>
      <c r="T1240" s="2">
        <v>1</v>
      </c>
      <c r="U1240" s="2">
        <v>1</v>
      </c>
      <c r="V1240" s="2">
        <v>0</v>
      </c>
      <c r="W1240" s="2">
        <v>0</v>
      </c>
      <c r="X1240" s="2">
        <v>0</v>
      </c>
      <c r="Y1240" s="2">
        <v>0</v>
      </c>
      <c r="Z1240" s="27">
        <v>2002.0129999999999</v>
      </c>
      <c r="AA1240" s="31">
        <v>2003.01</v>
      </c>
    </row>
    <row r="1241" spans="1:27" x14ac:dyDescent="0.2">
      <c r="A1241" s="3" t="s">
        <v>3307</v>
      </c>
      <c r="B1241" s="2" t="s">
        <v>3308</v>
      </c>
      <c r="C1241" s="8">
        <v>37636</v>
      </c>
      <c r="D1241" s="2">
        <v>2003</v>
      </c>
      <c r="E1241" s="2">
        <v>2000</v>
      </c>
      <c r="F1241" s="2">
        <v>0</v>
      </c>
      <c r="G1241" s="2">
        <v>0</v>
      </c>
      <c r="H1241" s="3" t="s">
        <v>27</v>
      </c>
      <c r="I1241" s="3" t="s">
        <v>4710</v>
      </c>
      <c r="J1241" s="3" t="s">
        <v>3309</v>
      </c>
      <c r="K1241" s="21" t="s">
        <v>3310</v>
      </c>
      <c r="L1241" s="10">
        <v>36095</v>
      </c>
      <c r="M1241" s="4">
        <f>3+48</f>
        <v>51</v>
      </c>
      <c r="N1241" s="2">
        <v>105</v>
      </c>
      <c r="O1241" s="2">
        <v>4</v>
      </c>
      <c r="P1241" s="2">
        <v>2</v>
      </c>
      <c r="Q1241" s="2">
        <v>0</v>
      </c>
      <c r="R1241" s="2">
        <v>0</v>
      </c>
      <c r="S1241" s="2">
        <v>1</v>
      </c>
      <c r="T1241" s="2">
        <v>1</v>
      </c>
      <c r="U1241" s="2">
        <v>0</v>
      </c>
      <c r="V1241" s="2">
        <v>0</v>
      </c>
      <c r="W1241" s="2">
        <v>1</v>
      </c>
      <c r="X1241" s="2">
        <v>2</v>
      </c>
      <c r="Y1241" s="2">
        <v>0</v>
      </c>
      <c r="Z1241" s="27">
        <v>2002.0150000000001</v>
      </c>
      <c r="AA1241" s="31">
        <v>2003.02</v>
      </c>
    </row>
    <row r="1242" spans="1:27" x14ac:dyDescent="0.2">
      <c r="A1242" s="3" t="s">
        <v>3313</v>
      </c>
      <c r="B1242" s="2" t="s">
        <v>3314</v>
      </c>
      <c r="C1242" s="8">
        <v>37733</v>
      </c>
      <c r="D1242" s="2">
        <v>2003</v>
      </c>
      <c r="E1242" s="2">
        <v>2000</v>
      </c>
      <c r="F1242" s="2">
        <v>0</v>
      </c>
      <c r="G1242" s="2">
        <v>0</v>
      </c>
      <c r="H1242" s="3" t="s">
        <v>27</v>
      </c>
      <c r="I1242" s="3" t="s">
        <v>4709</v>
      </c>
      <c r="J1242" s="3" t="s">
        <v>3315</v>
      </c>
      <c r="K1242" s="21" t="s">
        <v>3316</v>
      </c>
      <c r="L1242" s="10">
        <v>33208</v>
      </c>
      <c r="M1242" s="4">
        <f>4+(12*12)</f>
        <v>148</v>
      </c>
      <c r="N1242" s="2">
        <v>101</v>
      </c>
      <c r="O1242" s="2">
        <v>5</v>
      </c>
      <c r="Q1242" s="2">
        <v>1</v>
      </c>
      <c r="R1242" s="2">
        <v>0</v>
      </c>
      <c r="S1242" s="2">
        <v>1</v>
      </c>
      <c r="T1242" s="2">
        <v>1</v>
      </c>
      <c r="U1242" s="2">
        <v>1</v>
      </c>
      <c r="V1242" s="2">
        <v>0</v>
      </c>
      <c r="W1242" s="2">
        <v>0</v>
      </c>
      <c r="X1242" s="2">
        <v>0</v>
      </c>
      <c r="Y1242" s="2">
        <v>1</v>
      </c>
      <c r="Z1242" s="27">
        <v>2002.0429999999999</v>
      </c>
      <c r="AA1242" s="31">
        <v>2003.03</v>
      </c>
    </row>
    <row r="1243" spans="1:27" x14ac:dyDescent="0.2">
      <c r="A1243" s="3" t="s">
        <v>3304</v>
      </c>
      <c r="B1243" s="2" t="s">
        <v>3305</v>
      </c>
      <c r="C1243" s="8">
        <v>37740</v>
      </c>
      <c r="D1243" s="2">
        <v>2003</v>
      </c>
      <c r="E1243" s="2">
        <v>2000</v>
      </c>
      <c r="F1243" s="2">
        <v>0</v>
      </c>
      <c r="G1243" s="2">
        <v>0</v>
      </c>
      <c r="H1243" s="3" t="s">
        <v>27</v>
      </c>
      <c r="I1243" s="3" t="s">
        <v>4700</v>
      </c>
      <c r="J1243" s="3" t="s">
        <v>3306</v>
      </c>
      <c r="K1243" s="21" t="s">
        <v>3260</v>
      </c>
      <c r="L1243" s="10">
        <v>35338</v>
      </c>
      <c r="M1243" s="4">
        <f>7+(12*6)</f>
        <v>79</v>
      </c>
      <c r="N1243" s="2">
        <v>104</v>
      </c>
      <c r="O1243" s="2">
        <v>1</v>
      </c>
      <c r="Q1243" s="2">
        <v>1</v>
      </c>
      <c r="R1243" s="2">
        <v>1</v>
      </c>
      <c r="S1243" s="2">
        <v>1</v>
      </c>
      <c r="T1243" s="2">
        <v>1</v>
      </c>
      <c r="U1243" s="2">
        <v>1</v>
      </c>
      <c r="V1243" s="2">
        <v>0</v>
      </c>
      <c r="W1243" s="2">
        <v>1</v>
      </c>
      <c r="X1243" s="2">
        <v>4</v>
      </c>
      <c r="Y1243" s="2">
        <v>0</v>
      </c>
      <c r="Z1243" s="27">
        <v>2002.047</v>
      </c>
      <c r="AA1243" s="31">
        <v>2003.04</v>
      </c>
    </row>
    <row r="1244" spans="1:27" x14ac:dyDescent="0.2">
      <c r="A1244" s="3" t="s">
        <v>3317</v>
      </c>
      <c r="B1244" s="2" t="s">
        <v>3318</v>
      </c>
      <c r="C1244" s="8">
        <v>37768</v>
      </c>
      <c r="D1244" s="2">
        <v>2003</v>
      </c>
      <c r="E1244" s="2">
        <v>2000</v>
      </c>
      <c r="F1244" s="2">
        <v>0</v>
      </c>
      <c r="G1244" s="2">
        <v>0</v>
      </c>
      <c r="H1244" s="3" t="s">
        <v>27</v>
      </c>
      <c r="I1244" s="3" t="s">
        <v>4708</v>
      </c>
      <c r="J1244" s="3" t="s">
        <v>3319</v>
      </c>
      <c r="K1244" s="21" t="s">
        <v>3320</v>
      </c>
      <c r="L1244" s="10">
        <v>34005</v>
      </c>
      <c r="M1244" s="4">
        <f>3+120</f>
        <v>123</v>
      </c>
      <c r="N1244" s="2">
        <v>103</v>
      </c>
      <c r="O1244" s="2">
        <v>5</v>
      </c>
      <c r="Q1244" s="2">
        <v>0</v>
      </c>
      <c r="R1244" s="2">
        <v>0</v>
      </c>
      <c r="S1244" s="2">
        <v>1</v>
      </c>
      <c r="T1244" s="2">
        <v>1</v>
      </c>
      <c r="U1244" s="2">
        <v>0</v>
      </c>
      <c r="V1244" s="2">
        <v>0</v>
      </c>
      <c r="W1244" s="2">
        <v>0</v>
      </c>
      <c r="X1244" s="2">
        <v>3</v>
      </c>
      <c r="Y1244" s="2">
        <v>1</v>
      </c>
      <c r="Z1244" s="27">
        <v>2002.057</v>
      </c>
      <c r="AA1244" s="31">
        <v>2003.05</v>
      </c>
    </row>
    <row r="1245" spans="1:27" x14ac:dyDescent="0.2">
      <c r="A1245" s="3" t="s">
        <v>3311</v>
      </c>
      <c r="B1245" s="2" t="s">
        <v>3312</v>
      </c>
      <c r="C1245" s="8">
        <v>37788</v>
      </c>
      <c r="D1245" s="2">
        <v>2003</v>
      </c>
      <c r="E1245" s="2">
        <v>2000</v>
      </c>
      <c r="F1245" s="2">
        <v>0</v>
      </c>
      <c r="G1245" s="2">
        <v>0</v>
      </c>
      <c r="H1245" s="3" t="s">
        <v>27</v>
      </c>
      <c r="I1245" s="3" t="s">
        <v>4707</v>
      </c>
      <c r="J1245" s="3" t="s">
        <v>2875</v>
      </c>
      <c r="K1245" s="21" t="s">
        <v>2876</v>
      </c>
      <c r="L1245" s="10">
        <v>27891</v>
      </c>
      <c r="M1245" s="4">
        <f>1+(27*12)</f>
        <v>325</v>
      </c>
      <c r="N1245" s="2">
        <v>94</v>
      </c>
      <c r="O1245" s="2">
        <v>2</v>
      </c>
      <c r="Q1245" s="2">
        <v>0</v>
      </c>
      <c r="R1245" s="2">
        <v>0</v>
      </c>
      <c r="S1245" s="2">
        <v>1</v>
      </c>
      <c r="T1245" s="2">
        <v>1</v>
      </c>
      <c r="U1245" s="2">
        <v>1</v>
      </c>
      <c r="V1245" s="2">
        <v>0</v>
      </c>
      <c r="W1245" s="2">
        <v>1</v>
      </c>
      <c r="X1245" s="2">
        <v>2</v>
      </c>
      <c r="Y1245" s="2">
        <v>1</v>
      </c>
      <c r="Z1245" s="27">
        <v>2002.0740000000001</v>
      </c>
      <c r="AA1245" s="31">
        <v>2003.06</v>
      </c>
    </row>
    <row r="1246" spans="1:27" x14ac:dyDescent="0.2">
      <c r="A1246" s="3" t="s">
        <v>3325</v>
      </c>
      <c r="B1246" s="2" t="s">
        <v>3326</v>
      </c>
      <c r="C1246" s="8">
        <v>37795</v>
      </c>
      <c r="D1246" s="2">
        <v>2003</v>
      </c>
      <c r="E1246" s="2">
        <v>2000</v>
      </c>
      <c r="F1246" s="2">
        <v>0</v>
      </c>
      <c r="G1246" s="2">
        <v>0</v>
      </c>
      <c r="H1246" s="3" t="s">
        <v>27</v>
      </c>
      <c r="I1246" s="3" t="s">
        <v>4706</v>
      </c>
      <c r="J1246" s="3" t="s">
        <v>3327</v>
      </c>
      <c r="K1246" s="21" t="s">
        <v>3328</v>
      </c>
      <c r="L1246" s="10">
        <v>36881</v>
      </c>
      <c r="M1246" s="4">
        <f>6+24</f>
        <v>30</v>
      </c>
      <c r="N1246" s="2">
        <v>106</v>
      </c>
      <c r="O1246" s="2">
        <v>2</v>
      </c>
      <c r="Q1246" s="2">
        <v>0</v>
      </c>
      <c r="R1246" s="2">
        <v>0</v>
      </c>
      <c r="S1246" s="2">
        <v>1</v>
      </c>
      <c r="T1246" s="2">
        <v>0</v>
      </c>
      <c r="U1246" s="2">
        <v>1</v>
      </c>
      <c r="V1246" s="2">
        <v>0</v>
      </c>
      <c r="W1246" s="2">
        <v>1</v>
      </c>
      <c r="X1246" s="2">
        <v>3</v>
      </c>
      <c r="Y1246" s="2">
        <v>0</v>
      </c>
      <c r="Z1246" s="27">
        <v>2002.076</v>
      </c>
      <c r="AA1246" s="31">
        <v>2003.07</v>
      </c>
    </row>
    <row r="1247" spans="1:27" x14ac:dyDescent="0.2">
      <c r="A1247" s="3" t="s">
        <v>4447</v>
      </c>
      <c r="B1247" s="2" t="s">
        <v>4448</v>
      </c>
      <c r="C1247" s="8">
        <v>37781</v>
      </c>
      <c r="D1247" s="2">
        <v>2003</v>
      </c>
      <c r="E1247" s="2">
        <v>2000</v>
      </c>
      <c r="F1247" s="2">
        <v>1</v>
      </c>
      <c r="G1247" s="2">
        <v>1</v>
      </c>
      <c r="H1247" s="3" t="s">
        <v>3442</v>
      </c>
      <c r="I1247" s="3" t="s">
        <v>4449</v>
      </c>
      <c r="J1247" s="3" t="s">
        <v>4449</v>
      </c>
      <c r="K1247" s="21" t="s">
        <v>4450</v>
      </c>
      <c r="L1247" s="10">
        <v>21422</v>
      </c>
      <c r="M1247" s="4">
        <f>10+(44*12)</f>
        <v>538</v>
      </c>
      <c r="N1247" s="2">
        <v>85</v>
      </c>
      <c r="O1247" s="2">
        <v>6</v>
      </c>
      <c r="P1247" s="2">
        <v>1</v>
      </c>
      <c r="Q1247" s="2">
        <v>0</v>
      </c>
      <c r="R1247" s="2">
        <v>0</v>
      </c>
      <c r="S1247" s="2">
        <v>1</v>
      </c>
      <c r="T1247" s="2">
        <v>1</v>
      </c>
      <c r="U1247" s="2">
        <v>0</v>
      </c>
      <c r="V1247" s="2">
        <v>0</v>
      </c>
      <c r="W1247" s="2">
        <v>1</v>
      </c>
      <c r="X1247" s="2">
        <v>4</v>
      </c>
      <c r="Y1247" s="2">
        <v>1</v>
      </c>
      <c r="Z1247" s="27">
        <v>2002.067</v>
      </c>
      <c r="AA1247" s="31">
        <v>2003.08</v>
      </c>
    </row>
    <row r="1248" spans="1:27" x14ac:dyDescent="0.2">
      <c r="A1248" s="3" t="s">
        <v>4451</v>
      </c>
      <c r="B1248" s="2" t="s">
        <v>4452</v>
      </c>
      <c r="C1248" s="8">
        <v>37965</v>
      </c>
      <c r="D1248" s="2">
        <v>2003</v>
      </c>
      <c r="E1248" s="2">
        <v>2000</v>
      </c>
      <c r="F1248" s="2">
        <v>2</v>
      </c>
      <c r="G1248" s="2">
        <v>1</v>
      </c>
      <c r="H1248" s="3" t="s">
        <v>3434</v>
      </c>
      <c r="I1248" s="3" t="s">
        <v>4453</v>
      </c>
      <c r="J1248" s="3" t="s">
        <v>4454</v>
      </c>
      <c r="K1248" s="21" t="s">
        <v>4455</v>
      </c>
      <c r="L1248" s="10">
        <v>37342</v>
      </c>
      <c r="M1248" s="4">
        <f>9+12</f>
        <v>21</v>
      </c>
      <c r="N1248" s="2">
        <v>107</v>
      </c>
      <c r="O1248" s="2">
        <v>2</v>
      </c>
      <c r="P1248" s="2">
        <v>5</v>
      </c>
      <c r="Q1248" s="2">
        <v>1</v>
      </c>
      <c r="R1248" s="2">
        <v>0</v>
      </c>
      <c r="S1248" s="2">
        <v>1</v>
      </c>
      <c r="T1248" s="2">
        <v>0</v>
      </c>
      <c r="U1248" s="2">
        <v>1</v>
      </c>
      <c r="V1248" s="2">
        <v>1</v>
      </c>
      <c r="W1248" s="2">
        <v>1</v>
      </c>
      <c r="X1248" s="2">
        <v>7</v>
      </c>
      <c r="Y1248" s="2">
        <v>0</v>
      </c>
      <c r="Z1248" s="27">
        <v>2003.0060000000001</v>
      </c>
      <c r="AA1248" s="31">
        <v>2003.09</v>
      </c>
    </row>
    <row r="1249" spans="1:27" x14ac:dyDescent="0.2">
      <c r="A1249" s="3" t="s">
        <v>3341</v>
      </c>
      <c r="B1249" s="2" t="s">
        <v>3342</v>
      </c>
      <c r="C1249" s="8">
        <v>38076</v>
      </c>
      <c r="D1249" s="2">
        <v>2004</v>
      </c>
      <c r="E1249" s="2">
        <v>2000</v>
      </c>
      <c r="F1249" s="2">
        <v>0</v>
      </c>
      <c r="G1249" s="2">
        <v>0</v>
      </c>
      <c r="H1249" s="3" t="s">
        <v>27</v>
      </c>
      <c r="I1249" s="3" t="s">
        <v>4705</v>
      </c>
      <c r="J1249" s="3" t="s">
        <v>2919</v>
      </c>
      <c r="K1249" s="21" t="s">
        <v>1849</v>
      </c>
      <c r="L1249" s="10">
        <v>11126</v>
      </c>
      <c r="M1249" s="4">
        <f>9+(73*12)</f>
        <v>885</v>
      </c>
      <c r="N1249" s="2">
        <v>71</v>
      </c>
      <c r="O1249" s="2">
        <v>1</v>
      </c>
      <c r="Q1249" s="2">
        <v>1</v>
      </c>
      <c r="R1249" s="2">
        <v>0</v>
      </c>
      <c r="S1249" s="2">
        <v>1</v>
      </c>
      <c r="T1249" s="2">
        <v>1</v>
      </c>
      <c r="U1249" s="2">
        <v>1</v>
      </c>
      <c r="V1249" s="2">
        <v>0</v>
      </c>
      <c r="W1249" s="2">
        <v>1</v>
      </c>
      <c r="X1249" s="2">
        <v>0</v>
      </c>
      <c r="Y1249" s="2">
        <v>0</v>
      </c>
      <c r="Z1249" s="27">
        <v>2003.0450000000001</v>
      </c>
      <c r="AA1249" s="31">
        <v>2004.01</v>
      </c>
    </row>
    <row r="1250" spans="1:27" x14ac:dyDescent="0.2">
      <c r="A1250" s="3" t="s">
        <v>3343</v>
      </c>
      <c r="B1250" s="2" t="s">
        <v>3344</v>
      </c>
      <c r="C1250" s="8">
        <v>38096</v>
      </c>
      <c r="D1250" s="2">
        <v>2004</v>
      </c>
      <c r="E1250" s="2">
        <v>2000</v>
      </c>
      <c r="F1250" s="2">
        <v>0</v>
      </c>
      <c r="G1250" s="2">
        <v>0</v>
      </c>
      <c r="H1250" s="3" t="s">
        <v>27</v>
      </c>
      <c r="I1250" s="3" t="s">
        <v>3345</v>
      </c>
      <c r="J1250" s="3" t="s">
        <v>3345</v>
      </c>
      <c r="K1250" s="21" t="s">
        <v>3346</v>
      </c>
      <c r="L1250" s="10">
        <v>33539</v>
      </c>
      <c r="M1250" s="4">
        <f>6+(12*12)</f>
        <v>150</v>
      </c>
      <c r="N1250" s="2">
        <v>102</v>
      </c>
      <c r="O1250" s="2">
        <v>5</v>
      </c>
      <c r="P1250" s="2">
        <v>1</v>
      </c>
      <c r="Q1250" s="2">
        <v>0</v>
      </c>
      <c r="R1250" s="2">
        <v>0</v>
      </c>
      <c r="S1250" s="2">
        <v>1</v>
      </c>
      <c r="T1250" s="2">
        <v>1</v>
      </c>
      <c r="U1250" s="2">
        <v>1</v>
      </c>
      <c r="V1250" s="2">
        <v>0</v>
      </c>
      <c r="W1250" s="2">
        <v>1</v>
      </c>
      <c r="X1250" s="2">
        <v>2</v>
      </c>
      <c r="Y1250" s="2">
        <v>1</v>
      </c>
      <c r="Z1250" s="27">
        <v>2003.048</v>
      </c>
      <c r="AA1250" s="31">
        <v>2004.02</v>
      </c>
    </row>
    <row r="1251" spans="1:27" x14ac:dyDescent="0.2">
      <c r="A1251" s="3" t="s">
        <v>3333</v>
      </c>
      <c r="B1251" s="2" t="s">
        <v>3334</v>
      </c>
      <c r="C1251" s="8">
        <v>38124</v>
      </c>
      <c r="D1251" s="2">
        <v>2004</v>
      </c>
      <c r="E1251" s="2">
        <v>2000</v>
      </c>
      <c r="F1251" s="2">
        <v>0</v>
      </c>
      <c r="G1251" s="2">
        <v>0</v>
      </c>
      <c r="H1251" s="3" t="s">
        <v>27</v>
      </c>
      <c r="I1251" s="3" t="s">
        <v>4704</v>
      </c>
      <c r="J1251" s="3" t="s">
        <v>3335</v>
      </c>
      <c r="K1251" s="21" t="s">
        <v>3336</v>
      </c>
      <c r="L1251" s="10">
        <v>34629</v>
      </c>
      <c r="M1251" s="4">
        <f>7+(9*12)</f>
        <v>115</v>
      </c>
      <c r="N1251" s="2">
        <v>103</v>
      </c>
      <c r="O1251" s="2">
        <v>5</v>
      </c>
      <c r="Q1251" s="2">
        <v>0</v>
      </c>
      <c r="R1251" s="2">
        <v>0</v>
      </c>
      <c r="S1251" s="2">
        <v>0</v>
      </c>
      <c r="T1251" s="2">
        <v>1</v>
      </c>
      <c r="U1251" s="2">
        <v>0</v>
      </c>
      <c r="V1251" s="2">
        <v>0</v>
      </c>
      <c r="W1251" s="2">
        <v>0</v>
      </c>
      <c r="X1251" s="2">
        <v>2</v>
      </c>
      <c r="Y1251" s="2">
        <v>1</v>
      </c>
      <c r="Z1251" s="27">
        <v>2003.057</v>
      </c>
      <c r="AA1251" s="31">
        <v>2004.03</v>
      </c>
    </row>
    <row r="1252" spans="1:27" x14ac:dyDescent="0.2">
      <c r="A1252" s="3" t="s">
        <v>3337</v>
      </c>
      <c r="B1252" s="2" t="s">
        <v>3338</v>
      </c>
      <c r="C1252" s="8">
        <v>38124</v>
      </c>
      <c r="D1252" s="2">
        <v>2004</v>
      </c>
      <c r="E1252" s="2">
        <v>2000</v>
      </c>
      <c r="F1252" s="2">
        <v>0</v>
      </c>
      <c r="G1252" s="2">
        <v>0</v>
      </c>
      <c r="H1252" s="3" t="s">
        <v>27</v>
      </c>
      <c r="I1252" s="3" t="s">
        <v>4703</v>
      </c>
      <c r="J1252" s="3" t="s">
        <v>3339</v>
      </c>
      <c r="K1252" s="21" t="s">
        <v>3340</v>
      </c>
      <c r="L1252" s="10">
        <v>33080</v>
      </c>
      <c r="M1252" s="4">
        <f>10+(13*12)</f>
        <v>166</v>
      </c>
      <c r="N1252" s="2">
        <v>101</v>
      </c>
      <c r="O1252" s="2">
        <v>5</v>
      </c>
      <c r="Q1252" s="2">
        <v>0</v>
      </c>
      <c r="R1252" s="2">
        <v>0</v>
      </c>
      <c r="S1252" s="2">
        <v>1</v>
      </c>
      <c r="T1252" s="2">
        <v>1</v>
      </c>
      <c r="U1252" s="2">
        <v>0</v>
      </c>
      <c r="V1252" s="2">
        <v>0</v>
      </c>
      <c r="W1252" s="2">
        <v>0</v>
      </c>
      <c r="X1252" s="2">
        <v>4</v>
      </c>
      <c r="Y1252" s="2">
        <v>1</v>
      </c>
      <c r="Z1252" s="27">
        <v>2003.059</v>
      </c>
      <c r="AA1252" s="31">
        <v>2004.04</v>
      </c>
    </row>
    <row r="1253" spans="1:27" x14ac:dyDescent="0.2">
      <c r="A1253" s="3" t="s">
        <v>3329</v>
      </c>
      <c r="B1253" s="2" t="s">
        <v>3330</v>
      </c>
      <c r="C1253" s="8">
        <v>38124</v>
      </c>
      <c r="D1253" s="2">
        <v>2004</v>
      </c>
      <c r="E1253" s="2">
        <v>2000</v>
      </c>
      <c r="F1253" s="2">
        <v>0</v>
      </c>
      <c r="G1253" s="2">
        <v>0</v>
      </c>
      <c r="H1253" s="3" t="s">
        <v>27</v>
      </c>
      <c r="I1253" s="3" t="s">
        <v>4702</v>
      </c>
      <c r="J1253" s="3" t="s">
        <v>3331</v>
      </c>
      <c r="K1253" s="21" t="s">
        <v>3332</v>
      </c>
      <c r="L1253" s="10">
        <v>31726</v>
      </c>
      <c r="M1253" s="4">
        <f>6+(7*12)</f>
        <v>90</v>
      </c>
      <c r="N1253" s="2">
        <v>99</v>
      </c>
      <c r="O1253" s="2">
        <v>5</v>
      </c>
      <c r="P1253" s="2">
        <v>4</v>
      </c>
      <c r="Q1253" s="2">
        <v>0</v>
      </c>
      <c r="R1253" s="2">
        <v>0</v>
      </c>
      <c r="S1253" s="2">
        <v>1</v>
      </c>
      <c r="T1253" s="2">
        <v>1</v>
      </c>
      <c r="U1253" s="2">
        <v>0</v>
      </c>
      <c r="V1253" s="2">
        <v>0</v>
      </c>
      <c r="W1253" s="2">
        <v>1</v>
      </c>
      <c r="X1253" s="2">
        <v>0</v>
      </c>
      <c r="Y1253" s="2">
        <v>1</v>
      </c>
      <c r="Z1253" s="27">
        <v>2003.0609999999999</v>
      </c>
      <c r="AA1253" s="31">
        <v>2004.05</v>
      </c>
    </row>
    <row r="1254" spans="1:27" x14ac:dyDescent="0.2">
      <c r="A1254" s="3" t="s">
        <v>4456</v>
      </c>
      <c r="B1254" s="2" t="s">
        <v>4457</v>
      </c>
      <c r="C1254" s="8">
        <v>38166</v>
      </c>
      <c r="D1254" s="2">
        <v>2004</v>
      </c>
      <c r="E1254" s="2">
        <v>2000</v>
      </c>
      <c r="F1254" s="2">
        <v>1</v>
      </c>
      <c r="G1254" s="2">
        <v>1</v>
      </c>
      <c r="H1254" s="3" t="s">
        <v>3442</v>
      </c>
      <c r="I1254" s="3" t="s">
        <v>4701</v>
      </c>
      <c r="J1254" s="3" t="s">
        <v>4458</v>
      </c>
      <c r="K1254" s="21" t="s">
        <v>4459</v>
      </c>
      <c r="L1254" s="10">
        <v>37152</v>
      </c>
      <c r="M1254" s="4">
        <f>9+24</f>
        <v>33</v>
      </c>
      <c r="N1254" s="2">
        <v>107</v>
      </c>
      <c r="O1254" s="2">
        <v>1</v>
      </c>
      <c r="Q1254" s="2">
        <v>1</v>
      </c>
      <c r="R1254" s="2">
        <v>0</v>
      </c>
      <c r="S1254" s="2">
        <v>1</v>
      </c>
      <c r="T1254" s="2">
        <v>1</v>
      </c>
      <c r="U1254" s="2">
        <v>0</v>
      </c>
      <c r="V1254" s="2">
        <v>0</v>
      </c>
      <c r="W1254" s="2">
        <v>1</v>
      </c>
      <c r="X1254" s="2">
        <v>5</v>
      </c>
      <c r="Y1254" s="2">
        <v>0</v>
      </c>
      <c r="Z1254" s="27">
        <v>2003.086</v>
      </c>
      <c r="AA1254" s="31">
        <v>2004.06</v>
      </c>
    </row>
    <row r="1255" spans="1:27" x14ac:dyDescent="0.2">
      <c r="A1255" s="3" t="s">
        <v>4467</v>
      </c>
      <c r="B1255" s="2" t="s">
        <v>4468</v>
      </c>
      <c r="C1255" s="8">
        <v>38364</v>
      </c>
      <c r="D1255" s="2">
        <v>2005</v>
      </c>
      <c r="E1255" s="2">
        <v>2000</v>
      </c>
      <c r="F1255" s="2">
        <v>2</v>
      </c>
      <c r="G1255" s="2">
        <v>1</v>
      </c>
      <c r="H1255" s="3" t="s">
        <v>3434</v>
      </c>
      <c r="I1255" s="3" t="s">
        <v>5075</v>
      </c>
      <c r="J1255" s="3" t="s">
        <v>3237</v>
      </c>
      <c r="K1255" s="21" t="s">
        <v>3047</v>
      </c>
      <c r="L1255" s="10">
        <v>30967</v>
      </c>
      <c r="M1255" s="4">
        <f>3+(20*12)</f>
        <v>243</v>
      </c>
      <c r="N1255" s="2">
        <v>98</v>
      </c>
      <c r="O1255" s="2">
        <v>1</v>
      </c>
      <c r="Q1255" s="2">
        <v>1</v>
      </c>
      <c r="R1255" s="2">
        <v>1</v>
      </c>
      <c r="S1255" s="2">
        <v>1</v>
      </c>
      <c r="T1255" s="2">
        <v>1</v>
      </c>
      <c r="U1255" s="2">
        <v>0</v>
      </c>
      <c r="V1255" s="2">
        <v>1</v>
      </c>
      <c r="W1255" s="2">
        <v>1</v>
      </c>
      <c r="X1255" s="2">
        <v>8</v>
      </c>
      <c r="Y1255" s="2">
        <v>1</v>
      </c>
      <c r="Z1255" s="27">
        <v>2004.0139999999999</v>
      </c>
      <c r="AA1255" s="31">
        <v>2005.01</v>
      </c>
    </row>
    <row r="1256" spans="1:27" x14ac:dyDescent="0.2">
      <c r="A1256" s="3" t="s">
        <v>4462</v>
      </c>
      <c r="B1256" s="2" t="s">
        <v>4463</v>
      </c>
      <c r="C1256" s="8">
        <v>38364</v>
      </c>
      <c r="D1256" s="2">
        <v>2005</v>
      </c>
      <c r="E1256" s="2">
        <v>2000</v>
      </c>
      <c r="F1256" s="2">
        <v>1</v>
      </c>
      <c r="G1256" s="2">
        <v>1</v>
      </c>
      <c r="H1256" s="3" t="s">
        <v>3442</v>
      </c>
      <c r="I1256" s="3" t="s">
        <v>4700</v>
      </c>
      <c r="J1256" s="3" t="s">
        <v>3306</v>
      </c>
      <c r="K1256" s="21" t="s">
        <v>3260</v>
      </c>
      <c r="L1256" s="10">
        <v>35338</v>
      </c>
      <c r="M1256" s="4">
        <f>4+(8*12)</f>
        <v>100</v>
      </c>
      <c r="N1256" s="2">
        <v>104</v>
      </c>
      <c r="O1256" s="2">
        <v>1</v>
      </c>
      <c r="Q1256" s="2">
        <v>1</v>
      </c>
      <c r="R1256" s="2">
        <v>1</v>
      </c>
      <c r="S1256" s="2">
        <v>1</v>
      </c>
      <c r="T1256" s="2">
        <v>1</v>
      </c>
      <c r="U1256" s="2">
        <v>1</v>
      </c>
      <c r="V1256" s="2">
        <v>0</v>
      </c>
      <c r="W1256" s="2">
        <v>1</v>
      </c>
      <c r="X1256" s="2">
        <v>2</v>
      </c>
      <c r="Y1256" s="2">
        <v>0</v>
      </c>
      <c r="Z1256" s="27">
        <v>2004.0160000000001</v>
      </c>
      <c r="AA1256" s="31">
        <v>2005.02</v>
      </c>
    </row>
    <row r="1257" spans="1:27" x14ac:dyDescent="0.2">
      <c r="A1257" s="3" t="s">
        <v>4460</v>
      </c>
      <c r="B1257" s="2" t="s">
        <v>4461</v>
      </c>
      <c r="C1257" s="8">
        <v>38412</v>
      </c>
      <c r="D1257" s="2">
        <v>2005</v>
      </c>
      <c r="E1257" s="2">
        <v>2000</v>
      </c>
      <c r="F1257" s="2">
        <v>1</v>
      </c>
      <c r="G1257" s="2">
        <v>1</v>
      </c>
      <c r="H1257" s="3" t="s">
        <v>3442</v>
      </c>
      <c r="I1257" s="3" t="s">
        <v>4699</v>
      </c>
      <c r="J1257" s="3" t="s">
        <v>3286</v>
      </c>
      <c r="K1257" s="21" t="s">
        <v>3287</v>
      </c>
      <c r="L1257" s="10">
        <v>36089</v>
      </c>
      <c r="M1257" s="4">
        <f>5+(6*12)</f>
        <v>77</v>
      </c>
      <c r="N1257" s="2">
        <v>105</v>
      </c>
      <c r="O1257" s="2">
        <v>4</v>
      </c>
      <c r="Q1257" s="2">
        <v>0</v>
      </c>
      <c r="R1257" s="2">
        <v>0</v>
      </c>
      <c r="S1257" s="2">
        <v>1</v>
      </c>
      <c r="T1257" s="2">
        <v>1</v>
      </c>
      <c r="U1257" s="2">
        <v>1</v>
      </c>
      <c r="V1257" s="2">
        <v>0</v>
      </c>
      <c r="W1257" s="2">
        <v>1</v>
      </c>
      <c r="X1257" s="2">
        <v>0</v>
      </c>
      <c r="Y1257" s="2">
        <v>0</v>
      </c>
      <c r="Z1257" s="27">
        <v>2004.0250000000001</v>
      </c>
      <c r="AA1257" s="31">
        <v>2005.03</v>
      </c>
    </row>
    <row r="1258" spans="1:27" x14ac:dyDescent="0.2">
      <c r="A1258" s="3" t="s">
        <v>4464</v>
      </c>
      <c r="B1258" s="2" t="s">
        <v>4465</v>
      </c>
      <c r="C1258" s="8">
        <v>38418</v>
      </c>
      <c r="D1258" s="2">
        <v>2005</v>
      </c>
      <c r="E1258" s="2">
        <v>2000</v>
      </c>
      <c r="F1258" s="2">
        <v>1</v>
      </c>
      <c r="G1258" s="2">
        <v>1</v>
      </c>
      <c r="H1258" s="3" t="s">
        <v>3442</v>
      </c>
      <c r="I1258" s="3" t="s">
        <v>4528</v>
      </c>
      <c r="J1258" s="3" t="s">
        <v>4466</v>
      </c>
      <c r="K1258" s="21" t="s">
        <v>3047</v>
      </c>
      <c r="L1258" s="10">
        <v>30967</v>
      </c>
      <c r="M1258" s="4">
        <f>5+(20*12)</f>
        <v>245</v>
      </c>
      <c r="N1258" s="2">
        <v>98</v>
      </c>
      <c r="O1258" s="2">
        <v>1</v>
      </c>
      <c r="Q1258" s="2">
        <v>0</v>
      </c>
      <c r="R1258" s="2">
        <v>0</v>
      </c>
      <c r="S1258" s="2">
        <v>1</v>
      </c>
      <c r="T1258" s="2">
        <v>1</v>
      </c>
      <c r="U1258" s="2">
        <v>1</v>
      </c>
      <c r="V1258" s="2">
        <v>0</v>
      </c>
      <c r="W1258" s="2">
        <v>1</v>
      </c>
      <c r="X1258" s="2">
        <v>3</v>
      </c>
      <c r="Y1258" s="2">
        <v>1</v>
      </c>
      <c r="Z1258" s="27">
        <v>2004.027</v>
      </c>
      <c r="AA1258" s="31">
        <v>2005.04</v>
      </c>
    </row>
    <row r="1259" spans="1:27" x14ac:dyDescent="0.2">
      <c r="A1259" s="3" t="s">
        <v>3354</v>
      </c>
      <c r="B1259" s="2" t="s">
        <v>3355</v>
      </c>
      <c r="C1259" s="8">
        <v>38495</v>
      </c>
      <c r="D1259" s="2">
        <v>2005</v>
      </c>
      <c r="E1259" s="2">
        <v>2000</v>
      </c>
      <c r="F1259" s="2">
        <v>0</v>
      </c>
      <c r="G1259" s="2">
        <v>0</v>
      </c>
      <c r="H1259" s="3" t="s">
        <v>27</v>
      </c>
      <c r="I1259" s="3" t="s">
        <v>4698</v>
      </c>
      <c r="J1259" s="3" t="s">
        <v>3356</v>
      </c>
      <c r="K1259" s="21" t="s">
        <v>3357</v>
      </c>
      <c r="L1259" s="10">
        <v>31404</v>
      </c>
      <c r="M1259" s="4">
        <f>5+(19*12)</f>
        <v>233</v>
      </c>
      <c r="N1259" s="2">
        <v>99</v>
      </c>
      <c r="O1259" s="2">
        <v>2</v>
      </c>
      <c r="Q1259" s="2">
        <v>0</v>
      </c>
      <c r="R1259" s="2">
        <v>0</v>
      </c>
      <c r="S1259" s="2">
        <v>1</v>
      </c>
      <c r="T1259" s="2">
        <v>1</v>
      </c>
      <c r="U1259" s="2">
        <v>0</v>
      </c>
      <c r="V1259" s="2">
        <v>0</v>
      </c>
      <c r="W1259" s="2">
        <v>1</v>
      </c>
      <c r="X1259" s="2">
        <v>3</v>
      </c>
      <c r="Y1259" s="2">
        <v>1</v>
      </c>
      <c r="Z1259" s="27">
        <v>2004.047</v>
      </c>
      <c r="AA1259" s="31">
        <v>2005.05</v>
      </c>
    </row>
    <row r="1260" spans="1:27" x14ac:dyDescent="0.2">
      <c r="A1260" s="3" t="s">
        <v>3347</v>
      </c>
      <c r="B1260" s="2" t="s">
        <v>3348</v>
      </c>
      <c r="C1260" s="8">
        <v>38503</v>
      </c>
      <c r="D1260" s="2">
        <v>2005</v>
      </c>
      <c r="E1260" s="2">
        <v>2000</v>
      </c>
      <c r="F1260" s="2">
        <v>0</v>
      </c>
      <c r="G1260" s="2">
        <v>0</v>
      </c>
      <c r="H1260" s="3" t="s">
        <v>27</v>
      </c>
      <c r="I1260" s="3" t="s">
        <v>4697</v>
      </c>
      <c r="J1260" s="3" t="s">
        <v>3349</v>
      </c>
      <c r="K1260" s="21" t="s">
        <v>3350</v>
      </c>
      <c r="L1260" s="10">
        <v>36791</v>
      </c>
      <c r="M1260" s="4">
        <f>8+48</f>
        <v>56</v>
      </c>
      <c r="N1260" s="2">
        <v>106</v>
      </c>
      <c r="O1260" s="2">
        <v>2</v>
      </c>
      <c r="Q1260" s="2">
        <v>0</v>
      </c>
      <c r="R1260" s="2">
        <v>0</v>
      </c>
      <c r="S1260" s="2">
        <v>1</v>
      </c>
      <c r="T1260" s="2">
        <v>1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  <c r="Z1260" s="27">
        <v>2004.0519999999999</v>
      </c>
      <c r="AA1260" s="31">
        <v>2005.06</v>
      </c>
    </row>
    <row r="1261" spans="1:27" x14ac:dyDescent="0.2">
      <c r="A1261" s="3" t="s">
        <v>3351</v>
      </c>
      <c r="B1261" s="2" t="s">
        <v>3352</v>
      </c>
      <c r="C1261" s="8">
        <v>38509</v>
      </c>
      <c r="D1261" s="2">
        <v>2005</v>
      </c>
      <c r="E1261" s="2">
        <v>2000</v>
      </c>
      <c r="F1261" s="2">
        <v>0</v>
      </c>
      <c r="G1261" s="2">
        <v>0</v>
      </c>
      <c r="H1261" s="3" t="s">
        <v>27</v>
      </c>
      <c r="I1261" s="3" t="s">
        <v>4696</v>
      </c>
      <c r="J1261" s="3" t="s">
        <v>3353</v>
      </c>
      <c r="K1261" s="21" t="s">
        <v>2839</v>
      </c>
      <c r="L1261" s="10">
        <v>25868</v>
      </c>
      <c r="M1261" s="4">
        <f>8+(34*12)</f>
        <v>416</v>
      </c>
      <c r="N1261" s="2">
        <v>91</v>
      </c>
      <c r="O1261" s="2">
        <v>5</v>
      </c>
      <c r="Q1261" s="2">
        <v>1</v>
      </c>
      <c r="R1261" s="2">
        <v>0</v>
      </c>
      <c r="S1261" s="2">
        <v>1</v>
      </c>
      <c r="T1261" s="2">
        <v>1</v>
      </c>
      <c r="U1261" s="2">
        <v>0</v>
      </c>
      <c r="V1261" s="2">
        <v>0</v>
      </c>
      <c r="W1261" s="2">
        <v>1</v>
      </c>
      <c r="X1261" s="2">
        <v>3</v>
      </c>
      <c r="Y1261" s="2">
        <v>1</v>
      </c>
      <c r="Z1261" s="27">
        <v>2004.0540000000001</v>
      </c>
      <c r="AA1261" s="31">
        <v>2005.07</v>
      </c>
    </row>
    <row r="1262" spans="1:27" x14ac:dyDescent="0.2">
      <c r="A1262" s="3" t="s">
        <v>3364</v>
      </c>
      <c r="B1262" s="2" t="s">
        <v>3365</v>
      </c>
      <c r="C1262" s="8">
        <v>38727</v>
      </c>
      <c r="D1262" s="2">
        <v>2006</v>
      </c>
      <c r="E1262" s="2">
        <v>2000</v>
      </c>
      <c r="F1262" s="2">
        <v>0</v>
      </c>
      <c r="G1262" s="2">
        <v>0</v>
      </c>
      <c r="H1262" s="3" t="s">
        <v>27</v>
      </c>
      <c r="I1262" s="3" t="s">
        <v>3366</v>
      </c>
      <c r="J1262" s="3" t="s">
        <v>3367</v>
      </c>
      <c r="K1262" s="3" t="s">
        <v>3340</v>
      </c>
      <c r="L1262" s="10">
        <v>33080</v>
      </c>
      <c r="M1262" s="4">
        <f>5+(12*15)</f>
        <v>185</v>
      </c>
      <c r="N1262" s="2">
        <v>101</v>
      </c>
      <c r="O1262" s="2">
        <v>5</v>
      </c>
      <c r="Q1262" s="2">
        <v>1</v>
      </c>
      <c r="R1262" s="2">
        <v>0</v>
      </c>
      <c r="S1262" s="2">
        <v>1</v>
      </c>
      <c r="T1262" s="2">
        <v>1</v>
      </c>
      <c r="U1262" s="2">
        <v>1</v>
      </c>
      <c r="V1262" s="2">
        <v>0</v>
      </c>
      <c r="W1262" s="2">
        <v>1</v>
      </c>
      <c r="X1262" s="2">
        <v>0</v>
      </c>
      <c r="Y1262" s="2">
        <v>1</v>
      </c>
      <c r="Z1262" s="27">
        <v>2005.0139999999999</v>
      </c>
      <c r="AA1262" s="31">
        <v>2006.01</v>
      </c>
    </row>
    <row r="1263" spans="1:27" x14ac:dyDescent="0.2">
      <c r="A1263" s="3" t="s">
        <v>3358</v>
      </c>
      <c r="B1263" s="2" t="s">
        <v>5101</v>
      </c>
      <c r="C1263" s="8">
        <v>38740</v>
      </c>
      <c r="D1263" s="2">
        <v>2006</v>
      </c>
      <c r="E1263" s="2">
        <v>2000</v>
      </c>
      <c r="F1263" s="2">
        <v>0</v>
      </c>
      <c r="G1263" s="2">
        <v>0</v>
      </c>
      <c r="H1263" s="3" t="s">
        <v>27</v>
      </c>
      <c r="I1263" s="3" t="s">
        <v>5087</v>
      </c>
      <c r="J1263" s="3" t="s">
        <v>3359</v>
      </c>
      <c r="K1263" s="21" t="s">
        <v>3360</v>
      </c>
      <c r="L1263" s="10">
        <v>28800</v>
      </c>
      <c r="M1263" s="4">
        <f>2+(27*12)</f>
        <v>326</v>
      </c>
      <c r="N1263" s="2">
        <v>95</v>
      </c>
      <c r="O1263" s="2">
        <v>5</v>
      </c>
      <c r="Q1263" s="2">
        <v>1</v>
      </c>
      <c r="R1263" s="2">
        <v>0</v>
      </c>
      <c r="S1263" s="2">
        <v>0</v>
      </c>
      <c r="T1263" s="2">
        <v>1</v>
      </c>
      <c r="U1263" s="2">
        <v>0</v>
      </c>
      <c r="V1263" s="2">
        <v>0</v>
      </c>
      <c r="W1263" s="2">
        <v>0</v>
      </c>
      <c r="X1263" s="2">
        <v>4</v>
      </c>
      <c r="Y1263" s="2">
        <v>1</v>
      </c>
      <c r="Z1263" s="27">
        <v>2005.0229999999999</v>
      </c>
      <c r="AA1263" s="31">
        <v>2006.02</v>
      </c>
    </row>
    <row r="1264" spans="1:27" x14ac:dyDescent="0.2">
      <c r="A1264" s="3" t="s">
        <v>3361</v>
      </c>
      <c r="B1264" s="2" t="s">
        <v>5100</v>
      </c>
      <c r="C1264" s="8">
        <v>38782</v>
      </c>
      <c r="D1264" s="2">
        <v>2006</v>
      </c>
      <c r="E1264" s="2">
        <v>2000</v>
      </c>
      <c r="F1264" s="2">
        <v>0</v>
      </c>
      <c r="G1264" s="2">
        <v>0</v>
      </c>
      <c r="H1264" s="3" t="s">
        <v>27</v>
      </c>
      <c r="I1264" s="3" t="s">
        <v>4695</v>
      </c>
      <c r="J1264" s="3" t="s">
        <v>3362</v>
      </c>
      <c r="K1264" s="21" t="s">
        <v>3363</v>
      </c>
      <c r="L1264" s="10">
        <v>38288</v>
      </c>
      <c r="M1264" s="4">
        <f>5+12</f>
        <v>17</v>
      </c>
      <c r="N1264" s="2">
        <v>108</v>
      </c>
      <c r="O1264" s="2">
        <v>2</v>
      </c>
      <c r="Q1264" s="2">
        <v>0</v>
      </c>
      <c r="R1264" s="2">
        <v>0</v>
      </c>
      <c r="S1264" s="2">
        <v>1</v>
      </c>
      <c r="T1264" s="2">
        <v>1</v>
      </c>
      <c r="U1264" s="2">
        <v>1</v>
      </c>
      <c r="V1264" s="2">
        <v>0</v>
      </c>
      <c r="W1264" s="2">
        <v>1</v>
      </c>
      <c r="X1264" s="2">
        <v>0</v>
      </c>
      <c r="Y1264" s="2">
        <v>0</v>
      </c>
      <c r="Z1264" s="27">
        <v>2005.039</v>
      </c>
      <c r="AA1264" s="31">
        <v>2006.03</v>
      </c>
    </row>
    <row r="1265" spans="1:27" x14ac:dyDescent="0.2">
      <c r="A1265" s="3" t="s">
        <v>3373</v>
      </c>
      <c r="B1265" s="2" t="s">
        <v>3374</v>
      </c>
      <c r="C1265" s="8">
        <v>39189</v>
      </c>
      <c r="D1265" s="2">
        <v>2007</v>
      </c>
      <c r="E1265" s="2">
        <v>2000</v>
      </c>
      <c r="F1265" s="2">
        <v>0</v>
      </c>
      <c r="G1265" s="2">
        <v>0</v>
      </c>
      <c r="H1265" s="3" t="s">
        <v>27</v>
      </c>
      <c r="I1265" s="19" t="s">
        <v>3375</v>
      </c>
      <c r="J1265" s="19" t="s">
        <v>3376</v>
      </c>
      <c r="K1265" s="19" t="s">
        <v>3377</v>
      </c>
      <c r="L1265" s="10">
        <v>36476</v>
      </c>
      <c r="M1265" s="4">
        <f>7*12+6</f>
        <v>90</v>
      </c>
      <c r="N1265" s="2">
        <v>106</v>
      </c>
      <c r="O1265" s="2">
        <v>5</v>
      </c>
      <c r="Q1265" s="2">
        <v>1</v>
      </c>
      <c r="R1265" s="2">
        <v>0</v>
      </c>
      <c r="S1265" s="2">
        <v>1</v>
      </c>
      <c r="T1265" s="2">
        <v>1</v>
      </c>
      <c r="U1265" s="2">
        <v>0</v>
      </c>
      <c r="V1265" s="2">
        <v>0</v>
      </c>
      <c r="W1265" s="2">
        <v>0</v>
      </c>
      <c r="X1265" s="2">
        <v>3</v>
      </c>
      <c r="Y1265" s="2">
        <v>0</v>
      </c>
      <c r="Z1265" s="27">
        <v>2006.028</v>
      </c>
      <c r="AA1265" s="31">
        <v>2007.01</v>
      </c>
    </row>
    <row r="1266" spans="1:27" x14ac:dyDescent="0.2">
      <c r="A1266" s="3" t="s">
        <v>3368</v>
      </c>
      <c r="B1266" s="2" t="s">
        <v>3369</v>
      </c>
      <c r="C1266" s="8">
        <v>39190</v>
      </c>
      <c r="D1266" s="2">
        <v>2007</v>
      </c>
      <c r="E1266" s="2">
        <v>2000</v>
      </c>
      <c r="F1266" s="2">
        <v>0</v>
      </c>
      <c r="G1266" s="2">
        <v>0</v>
      </c>
      <c r="H1266" s="3" t="s">
        <v>27</v>
      </c>
      <c r="I1266" s="19" t="s">
        <v>3370</v>
      </c>
      <c r="J1266" s="19" t="s">
        <v>3371</v>
      </c>
      <c r="K1266" s="19" t="s">
        <v>3372</v>
      </c>
      <c r="L1266" s="10">
        <v>37930</v>
      </c>
      <c r="M1266" s="4">
        <f>6+3*12</f>
        <v>42</v>
      </c>
      <c r="N1266" s="2">
        <v>108</v>
      </c>
      <c r="O1266" s="2">
        <v>2</v>
      </c>
      <c r="Q1266" s="2">
        <v>1</v>
      </c>
      <c r="R1266" s="2">
        <v>1</v>
      </c>
      <c r="S1266" s="2">
        <v>1</v>
      </c>
      <c r="T1266" s="2">
        <v>1</v>
      </c>
      <c r="U1266" s="2">
        <v>1</v>
      </c>
      <c r="V1266" s="2">
        <v>0</v>
      </c>
      <c r="W1266" s="2">
        <v>1</v>
      </c>
      <c r="X1266" s="2">
        <v>4</v>
      </c>
      <c r="Y1266" s="2">
        <v>0</v>
      </c>
      <c r="Z1266" s="27">
        <v>2006.0309999999999</v>
      </c>
      <c r="AA1266" s="31">
        <v>2007.02</v>
      </c>
    </row>
    <row r="1267" spans="1:27" x14ac:dyDescent="0.2">
      <c r="A1267" s="3" t="s">
        <v>4469</v>
      </c>
      <c r="B1267" s="2" t="s">
        <v>4470</v>
      </c>
      <c r="C1267" s="8">
        <v>39258</v>
      </c>
      <c r="D1267" s="2">
        <v>2007</v>
      </c>
      <c r="E1267" s="2">
        <v>2000</v>
      </c>
      <c r="F1267" s="2">
        <v>1</v>
      </c>
      <c r="G1267" s="2">
        <v>1</v>
      </c>
      <c r="H1267" s="3" t="s">
        <v>3442</v>
      </c>
      <c r="I1267" s="19" t="s">
        <v>4453</v>
      </c>
      <c r="J1267" s="3" t="s">
        <v>4454</v>
      </c>
      <c r="K1267" s="21" t="s">
        <v>4455</v>
      </c>
      <c r="L1267" s="10">
        <v>37342</v>
      </c>
      <c r="M1267" s="4">
        <f>3+(12*5)</f>
        <v>63</v>
      </c>
      <c r="N1267" s="2">
        <v>107</v>
      </c>
      <c r="O1267" s="2">
        <v>2</v>
      </c>
      <c r="Q1267" s="2">
        <v>1</v>
      </c>
      <c r="R1267" s="2">
        <v>1</v>
      </c>
      <c r="S1267" s="2">
        <v>1</v>
      </c>
      <c r="T1267" s="2">
        <v>0</v>
      </c>
      <c r="U1267" s="2">
        <v>0</v>
      </c>
      <c r="V1267" s="2">
        <v>1</v>
      </c>
      <c r="W1267" s="2">
        <v>1</v>
      </c>
      <c r="X1267" s="2">
        <v>4</v>
      </c>
      <c r="Y1267" s="2">
        <v>0</v>
      </c>
      <c r="Z1267" s="27">
        <v>2006.069</v>
      </c>
      <c r="AA1267" s="31">
        <v>2007.03</v>
      </c>
    </row>
    <row r="1268" spans="1:27" x14ac:dyDescent="0.2">
      <c r="A1268" s="3" t="s">
        <v>3378</v>
      </c>
      <c r="B1268" s="2" t="s">
        <v>3379</v>
      </c>
      <c r="C1268" s="8">
        <v>39587</v>
      </c>
      <c r="D1268" s="2">
        <v>2008</v>
      </c>
      <c r="E1268" s="2">
        <v>2000</v>
      </c>
      <c r="F1268" s="2">
        <v>0</v>
      </c>
      <c r="G1268" s="2">
        <v>0</v>
      </c>
      <c r="H1268" s="3" t="s">
        <v>27</v>
      </c>
      <c r="I1268" s="3" t="s">
        <v>3380</v>
      </c>
      <c r="J1268" s="3" t="s">
        <v>3381</v>
      </c>
      <c r="K1268" s="19" t="s">
        <v>3382</v>
      </c>
      <c r="L1268" s="10">
        <v>37741</v>
      </c>
      <c r="M1268" s="4">
        <f>12+12*4</f>
        <v>60</v>
      </c>
      <c r="N1268" s="2">
        <v>108</v>
      </c>
      <c r="O1268" s="2">
        <v>2</v>
      </c>
      <c r="Q1268" s="2">
        <v>0</v>
      </c>
      <c r="R1268" s="2">
        <v>0</v>
      </c>
      <c r="S1268" s="2">
        <v>1</v>
      </c>
      <c r="T1268" s="2">
        <v>1</v>
      </c>
      <c r="U1268" s="2">
        <v>1</v>
      </c>
      <c r="V1268" s="2">
        <v>0</v>
      </c>
      <c r="W1268" s="2">
        <v>1</v>
      </c>
      <c r="X1268" s="2">
        <v>2</v>
      </c>
      <c r="Y1268" s="2">
        <v>0</v>
      </c>
      <c r="Z1268" s="27">
        <v>2007.038</v>
      </c>
      <c r="AA1268" s="31">
        <v>2008.01</v>
      </c>
    </row>
    <row r="1269" spans="1:27" x14ac:dyDescent="0.2">
      <c r="A1269" s="3" t="s">
        <v>4471</v>
      </c>
      <c r="B1269" s="2" t="s">
        <v>4472</v>
      </c>
      <c r="C1269" s="8">
        <v>39611</v>
      </c>
      <c r="D1269" s="2">
        <v>2008</v>
      </c>
      <c r="E1269" s="2">
        <v>2000</v>
      </c>
      <c r="F1269" s="2">
        <v>2</v>
      </c>
      <c r="G1269" s="2">
        <v>1</v>
      </c>
      <c r="H1269" s="3" t="s">
        <v>3434</v>
      </c>
      <c r="I1269" s="3" t="s">
        <v>4473</v>
      </c>
      <c r="J1269" s="19" t="s">
        <v>4474</v>
      </c>
      <c r="K1269" s="19" t="s">
        <v>4475</v>
      </c>
      <c r="L1269" s="10">
        <v>39007</v>
      </c>
      <c r="M1269" s="4">
        <f>8+12</f>
        <v>20</v>
      </c>
      <c r="N1269" s="2">
        <v>109</v>
      </c>
      <c r="O1269" s="2">
        <v>2</v>
      </c>
      <c r="Q1269" s="2">
        <v>1</v>
      </c>
      <c r="R1269" s="2">
        <v>1</v>
      </c>
      <c r="S1269" s="2">
        <v>1</v>
      </c>
      <c r="T1269" s="2">
        <v>1</v>
      </c>
      <c r="U1269" s="2">
        <v>1</v>
      </c>
      <c r="V1269" s="2">
        <v>1</v>
      </c>
      <c r="W1269" s="2">
        <v>1</v>
      </c>
      <c r="X1269" s="2">
        <v>4</v>
      </c>
      <c r="Y1269" s="2">
        <v>0</v>
      </c>
      <c r="Z1269" s="27">
        <v>2007.0530000000001</v>
      </c>
      <c r="AA1269" s="31">
        <v>2008.01</v>
      </c>
    </row>
    <row r="1270" spans="1:27" x14ac:dyDescent="0.2">
      <c r="A1270" s="3" t="s">
        <v>5099</v>
      </c>
      <c r="B1270" s="2" t="s">
        <v>4476</v>
      </c>
      <c r="C1270" s="8">
        <v>39625</v>
      </c>
      <c r="D1270" s="2">
        <v>2008</v>
      </c>
      <c r="E1270" s="2">
        <v>2000</v>
      </c>
      <c r="F1270" s="2">
        <v>2</v>
      </c>
      <c r="G1270" s="2">
        <v>1</v>
      </c>
      <c r="H1270" s="3" t="s">
        <v>3434</v>
      </c>
      <c r="I1270" s="19" t="s">
        <v>4453</v>
      </c>
      <c r="J1270" s="3" t="s">
        <v>4454</v>
      </c>
      <c r="K1270" s="21" t="s">
        <v>4455</v>
      </c>
      <c r="L1270" s="10">
        <v>37342</v>
      </c>
      <c r="M1270" s="4">
        <f>3+(12*6)</f>
        <v>75</v>
      </c>
      <c r="N1270" s="2">
        <v>107</v>
      </c>
      <c r="O1270" s="2">
        <v>2</v>
      </c>
      <c r="Q1270" s="2">
        <v>1</v>
      </c>
      <c r="R1270" s="2">
        <v>0</v>
      </c>
      <c r="S1270" s="2">
        <v>1</v>
      </c>
      <c r="T1270" s="2">
        <v>0</v>
      </c>
      <c r="U1270" s="2">
        <v>1</v>
      </c>
      <c r="V1270" s="2">
        <v>1</v>
      </c>
      <c r="W1270" s="2">
        <v>1</v>
      </c>
      <c r="X1270" s="2">
        <v>4</v>
      </c>
      <c r="Y1270" s="2">
        <v>0</v>
      </c>
      <c r="Z1270" s="27">
        <v>2007.0719999999999</v>
      </c>
      <c r="AA1270" s="31">
        <v>2008.02</v>
      </c>
    </row>
    <row r="1271" spans="1:27" x14ac:dyDescent="0.2">
      <c r="A1271" s="3" t="s">
        <v>4477</v>
      </c>
      <c r="B1271" s="2" t="s">
        <v>4478</v>
      </c>
      <c r="C1271" s="8">
        <v>40199</v>
      </c>
      <c r="D1271" s="2">
        <v>2010</v>
      </c>
      <c r="E1271" s="2">
        <v>2010</v>
      </c>
      <c r="F1271" s="2">
        <v>2</v>
      </c>
      <c r="G1271" s="2">
        <v>1</v>
      </c>
      <c r="H1271" s="3" t="s">
        <v>3434</v>
      </c>
      <c r="I1271" s="3" t="s">
        <v>4453</v>
      </c>
      <c r="J1271" s="19" t="s">
        <v>4454</v>
      </c>
      <c r="K1271" s="19" t="s">
        <v>4455</v>
      </c>
      <c r="L1271" s="10">
        <v>37342</v>
      </c>
      <c r="M1271" s="4">
        <f>9+12*7</f>
        <v>93</v>
      </c>
      <c r="N1271" s="2">
        <v>107</v>
      </c>
      <c r="O1271" s="2">
        <v>2</v>
      </c>
      <c r="Q1271" s="2">
        <v>1</v>
      </c>
      <c r="R1271" s="2">
        <v>1</v>
      </c>
      <c r="S1271" s="2">
        <v>1</v>
      </c>
      <c r="T1271" s="2">
        <v>0</v>
      </c>
      <c r="U1271" s="2">
        <v>1</v>
      </c>
      <c r="V1271" s="2">
        <v>1</v>
      </c>
      <c r="W1271" s="2">
        <v>1</v>
      </c>
      <c r="X1271" s="2">
        <v>5</v>
      </c>
      <c r="Y1271" s="2">
        <v>0</v>
      </c>
      <c r="Z1271" s="27">
        <v>2009.0119999999999</v>
      </c>
      <c r="AA1271" s="31">
        <v>2010.01</v>
      </c>
    </row>
    <row r="1272" spans="1:27" x14ac:dyDescent="0.2">
      <c r="A1272" s="3" t="s">
        <v>3387</v>
      </c>
      <c r="B1272" s="2" t="s">
        <v>3388</v>
      </c>
      <c r="C1272" s="8">
        <v>40245</v>
      </c>
      <c r="D1272" s="2">
        <v>2010</v>
      </c>
      <c r="E1272" s="2">
        <v>2010</v>
      </c>
      <c r="F1272" s="2">
        <v>0</v>
      </c>
      <c r="G1272" s="2">
        <v>0</v>
      </c>
      <c r="H1272" s="3" t="s">
        <v>27</v>
      </c>
      <c r="I1272" s="3" t="s">
        <v>3389</v>
      </c>
      <c r="J1272" s="19" t="s">
        <v>3390</v>
      </c>
      <c r="K1272" s="19" t="s">
        <v>3391</v>
      </c>
      <c r="L1272" s="10">
        <v>38462</v>
      </c>
      <c r="M1272" s="4">
        <f>10+12*4</f>
        <v>58</v>
      </c>
      <c r="N1272" s="2">
        <v>109</v>
      </c>
      <c r="O1272" s="2">
        <v>2</v>
      </c>
      <c r="Q1272" s="2">
        <v>1</v>
      </c>
      <c r="R1272" s="2">
        <v>0</v>
      </c>
      <c r="S1272" s="2">
        <v>1</v>
      </c>
      <c r="T1272" s="2">
        <v>1</v>
      </c>
      <c r="U1272" s="2">
        <v>1</v>
      </c>
      <c r="V1272" s="2">
        <v>0</v>
      </c>
      <c r="W1272" s="2">
        <v>1</v>
      </c>
      <c r="X1272" s="2">
        <v>0</v>
      </c>
      <c r="Y1272" s="2">
        <v>0</v>
      </c>
      <c r="Z1272" s="27">
        <v>2009.0309999999999</v>
      </c>
      <c r="AA1272" s="31">
        <v>2010.02</v>
      </c>
    </row>
    <row r="1273" spans="1:27" x14ac:dyDescent="0.2">
      <c r="A1273" s="3" t="s">
        <v>1780</v>
      </c>
      <c r="B1273" s="2" t="s">
        <v>4484</v>
      </c>
      <c r="C1273" s="8">
        <v>40288</v>
      </c>
      <c r="D1273" s="2">
        <v>2010</v>
      </c>
      <c r="E1273" s="2">
        <v>2010</v>
      </c>
      <c r="F1273" s="2">
        <v>2</v>
      </c>
      <c r="G1273" s="2">
        <v>1</v>
      </c>
      <c r="H1273" s="3" t="s">
        <v>3434</v>
      </c>
      <c r="I1273" s="3" t="s">
        <v>4485</v>
      </c>
      <c r="J1273" s="3" t="s">
        <v>4486</v>
      </c>
      <c r="K1273" s="3" t="s">
        <v>4487</v>
      </c>
      <c r="L1273" s="10">
        <v>36503</v>
      </c>
      <c r="M1273" s="4">
        <f>5+120</f>
        <v>125</v>
      </c>
      <c r="N1273" s="2">
        <v>106</v>
      </c>
      <c r="O1273" s="2">
        <v>2</v>
      </c>
      <c r="Q1273" s="2">
        <v>0</v>
      </c>
      <c r="R1273" s="2">
        <v>0</v>
      </c>
      <c r="S1273" s="2">
        <v>1</v>
      </c>
      <c r="T1273" s="2">
        <v>1</v>
      </c>
      <c r="U1273" s="2">
        <v>0</v>
      </c>
      <c r="V1273" s="2">
        <v>1</v>
      </c>
      <c r="W1273" s="2">
        <v>1</v>
      </c>
      <c r="X1273" s="2">
        <v>1</v>
      </c>
      <c r="Y1273" s="2">
        <v>0</v>
      </c>
      <c r="Z1273" s="27">
        <v>2009.047</v>
      </c>
      <c r="AA1273" s="31">
        <v>2010.03</v>
      </c>
    </row>
    <row r="1274" spans="1:27" x14ac:dyDescent="0.2">
      <c r="A1274" s="3" t="s">
        <v>3396</v>
      </c>
      <c r="B1274" s="2" t="s">
        <v>3397</v>
      </c>
      <c r="C1274" s="8">
        <v>40315</v>
      </c>
      <c r="D1274" s="2">
        <v>2010</v>
      </c>
      <c r="E1274" s="2">
        <v>2010</v>
      </c>
      <c r="F1274" s="2">
        <v>0</v>
      </c>
      <c r="G1274" s="2">
        <v>0</v>
      </c>
      <c r="H1274" s="3" t="s">
        <v>27</v>
      </c>
      <c r="I1274" s="25" t="s">
        <v>3398</v>
      </c>
      <c r="J1274" s="19" t="s">
        <v>3399</v>
      </c>
      <c r="K1274" s="19" t="s">
        <v>3400</v>
      </c>
      <c r="L1274" s="10">
        <v>38925</v>
      </c>
      <c r="M1274" s="4">
        <f>10+12*3</f>
        <v>46</v>
      </c>
      <c r="N1274" s="2">
        <v>109</v>
      </c>
      <c r="O1274" s="2">
        <v>5</v>
      </c>
      <c r="Q1274" s="2">
        <v>1</v>
      </c>
      <c r="R1274" s="2">
        <v>1</v>
      </c>
      <c r="S1274" s="2">
        <v>1</v>
      </c>
      <c r="T1274" s="2">
        <v>1</v>
      </c>
      <c r="U1274" s="2">
        <v>1</v>
      </c>
      <c r="V1274" s="2">
        <v>0</v>
      </c>
      <c r="W1274" s="2">
        <v>1</v>
      </c>
      <c r="X1274" s="2">
        <v>2</v>
      </c>
      <c r="Y1274" s="2">
        <v>0</v>
      </c>
      <c r="Z1274" s="27">
        <v>2009.05</v>
      </c>
      <c r="AA1274" s="31">
        <v>2010.04</v>
      </c>
    </row>
    <row r="1275" spans="1:27" x14ac:dyDescent="0.2">
      <c r="A1275" s="5" t="s">
        <v>3383</v>
      </c>
      <c r="B1275" s="12" t="s">
        <v>3384</v>
      </c>
      <c r="C1275" s="8">
        <v>40350</v>
      </c>
      <c r="D1275" s="2">
        <v>2010</v>
      </c>
      <c r="E1275" s="2">
        <v>2010</v>
      </c>
      <c r="F1275" s="2">
        <v>0</v>
      </c>
      <c r="G1275" s="2">
        <v>0</v>
      </c>
      <c r="H1275" s="5" t="s">
        <v>27</v>
      </c>
      <c r="I1275" s="25" t="s">
        <v>3385</v>
      </c>
      <c r="J1275" s="19" t="s">
        <v>3386</v>
      </c>
      <c r="K1275" s="19" t="s">
        <v>3206</v>
      </c>
      <c r="L1275" s="10">
        <v>35179</v>
      </c>
      <c r="M1275" s="4">
        <f>14+12*14</f>
        <v>182</v>
      </c>
      <c r="N1275" s="2">
        <v>104</v>
      </c>
      <c r="O1275" s="2">
        <v>1</v>
      </c>
      <c r="Q1275" s="2">
        <v>0</v>
      </c>
      <c r="R1275" s="2">
        <v>0</v>
      </c>
      <c r="S1275" s="2">
        <v>1</v>
      </c>
      <c r="T1275" s="2">
        <v>1</v>
      </c>
      <c r="U1275" s="2">
        <v>1</v>
      </c>
      <c r="V1275" s="2">
        <v>0</v>
      </c>
      <c r="W1275" s="2">
        <v>1</v>
      </c>
      <c r="X1275" s="2">
        <v>3</v>
      </c>
      <c r="Y1275" s="2">
        <v>0</v>
      </c>
      <c r="Z1275" s="27">
        <v>2009.077</v>
      </c>
      <c r="AA1275" s="31">
        <v>2010.05</v>
      </c>
    </row>
    <row r="1276" spans="1:27" x14ac:dyDescent="0.2">
      <c r="A1276" s="5" t="s">
        <v>3392</v>
      </c>
      <c r="B1276" s="12" t="s">
        <v>3393</v>
      </c>
      <c r="C1276" s="8">
        <v>40353</v>
      </c>
      <c r="D1276" s="2">
        <v>2010</v>
      </c>
      <c r="E1276" s="2">
        <v>2010</v>
      </c>
      <c r="F1276" s="2">
        <v>0</v>
      </c>
      <c r="G1276" s="2">
        <v>0</v>
      </c>
      <c r="H1276" s="5" t="s">
        <v>27</v>
      </c>
      <c r="I1276" s="19" t="s">
        <v>3394</v>
      </c>
      <c r="J1276" s="19" t="s">
        <v>3395</v>
      </c>
      <c r="K1276" s="19" t="s">
        <v>3241</v>
      </c>
      <c r="L1276" s="10">
        <v>32465</v>
      </c>
      <c r="M1276" s="4">
        <f>7+12*21</f>
        <v>259</v>
      </c>
      <c r="N1276" s="2">
        <v>100</v>
      </c>
      <c r="O1276" s="2">
        <v>1</v>
      </c>
      <c r="Q1276" s="2">
        <v>1</v>
      </c>
      <c r="R1276" s="2">
        <v>0</v>
      </c>
      <c r="S1276" s="2">
        <v>1</v>
      </c>
      <c r="T1276" s="2">
        <v>1</v>
      </c>
      <c r="U1276" s="2">
        <v>1</v>
      </c>
      <c r="V1276" s="2">
        <v>0</v>
      </c>
      <c r="W1276" s="2">
        <v>1</v>
      </c>
      <c r="X1276" s="2">
        <v>3</v>
      </c>
      <c r="Y1276" s="2">
        <v>1</v>
      </c>
      <c r="Z1276" s="27">
        <v>2009.085</v>
      </c>
      <c r="AA1276" s="31">
        <v>2010.06</v>
      </c>
    </row>
    <row r="1277" spans="1:27" x14ac:dyDescent="0.2">
      <c r="A1277" s="5" t="s">
        <v>4479</v>
      </c>
      <c r="B1277" s="12" t="s">
        <v>4480</v>
      </c>
      <c r="C1277" s="8">
        <v>40357</v>
      </c>
      <c r="D1277" s="2">
        <v>2010</v>
      </c>
      <c r="E1277" s="2">
        <v>2010</v>
      </c>
      <c r="F1277" s="2">
        <v>2</v>
      </c>
      <c r="G1277" s="2">
        <v>1</v>
      </c>
      <c r="H1277" s="5" t="s">
        <v>3434</v>
      </c>
      <c r="I1277" s="19" t="s">
        <v>4481</v>
      </c>
      <c r="J1277" s="19" t="s">
        <v>4482</v>
      </c>
      <c r="K1277" s="19" t="s">
        <v>4483</v>
      </c>
      <c r="L1277" s="10">
        <v>37467</v>
      </c>
      <c r="M1277" s="4">
        <f>11+7*12</f>
        <v>95</v>
      </c>
      <c r="N1277" s="2">
        <v>107</v>
      </c>
      <c r="O1277" s="2">
        <v>6</v>
      </c>
      <c r="Q1277" s="2">
        <v>1</v>
      </c>
      <c r="R1277" s="2">
        <v>0</v>
      </c>
      <c r="S1277" s="2">
        <v>1</v>
      </c>
      <c r="T1277" s="2">
        <v>1</v>
      </c>
      <c r="U1277" s="2">
        <v>1</v>
      </c>
      <c r="V1277" s="2">
        <v>1</v>
      </c>
      <c r="W1277" s="2">
        <v>1</v>
      </c>
      <c r="X1277" s="2">
        <v>4</v>
      </c>
      <c r="Y1277" s="2">
        <v>0</v>
      </c>
      <c r="Z1277" s="27">
        <v>2009.088</v>
      </c>
      <c r="AA1277" s="31">
        <v>2010.07</v>
      </c>
    </row>
    <row r="1278" spans="1:27" x14ac:dyDescent="0.2">
      <c r="A1278" s="5" t="s">
        <v>4488</v>
      </c>
      <c r="B1278" s="12" t="s">
        <v>4489</v>
      </c>
      <c r="C1278" s="8">
        <v>40604</v>
      </c>
      <c r="D1278" s="2">
        <v>2011</v>
      </c>
      <c r="E1278" s="2">
        <v>2010</v>
      </c>
      <c r="F1278" s="2">
        <v>2</v>
      </c>
      <c r="G1278" s="2">
        <v>1</v>
      </c>
      <c r="H1278" s="5" t="s">
        <v>3434</v>
      </c>
      <c r="I1278" s="19" t="s">
        <v>3380</v>
      </c>
      <c r="J1278" s="19" t="s">
        <v>4490</v>
      </c>
      <c r="K1278" s="19" t="s">
        <v>3382</v>
      </c>
      <c r="L1278" s="10">
        <v>37741</v>
      </c>
      <c r="M1278" s="4">
        <f>10+12*7</f>
        <v>94</v>
      </c>
      <c r="N1278" s="2">
        <v>108</v>
      </c>
      <c r="O1278" s="2">
        <v>1</v>
      </c>
      <c r="Q1278" s="2">
        <v>0</v>
      </c>
      <c r="R1278" s="2">
        <v>0</v>
      </c>
      <c r="S1278" s="2">
        <v>1</v>
      </c>
      <c r="T1278" s="2">
        <v>1</v>
      </c>
      <c r="U1278" s="2">
        <v>1</v>
      </c>
      <c r="V1278" s="2">
        <v>1</v>
      </c>
      <c r="W1278" s="2">
        <v>1</v>
      </c>
      <c r="X1278" s="2">
        <v>2</v>
      </c>
      <c r="Y1278" s="2">
        <v>0</v>
      </c>
      <c r="Z1278" s="27">
        <v>2010.0239999999999</v>
      </c>
      <c r="AA1278" s="31">
        <v>2011.01</v>
      </c>
    </row>
    <row r="1279" spans="1:27" x14ac:dyDescent="0.2">
      <c r="A1279" s="5" t="s">
        <v>3401</v>
      </c>
      <c r="B1279" s="12" t="s">
        <v>5102</v>
      </c>
      <c r="C1279" s="8">
        <v>40652</v>
      </c>
      <c r="D1279" s="2">
        <v>2011</v>
      </c>
      <c r="E1279" s="2">
        <v>2010</v>
      </c>
      <c r="F1279" s="2">
        <v>0</v>
      </c>
      <c r="G1279" s="2">
        <v>0</v>
      </c>
      <c r="H1279" s="5" t="s">
        <v>27</v>
      </c>
      <c r="I1279" s="19" t="s">
        <v>3402</v>
      </c>
      <c r="J1279" s="19" t="s">
        <v>3403</v>
      </c>
      <c r="K1279" s="19" t="s">
        <v>3404</v>
      </c>
      <c r="L1279" s="10">
        <v>36829</v>
      </c>
      <c r="M1279" s="4">
        <f>8+12*10</f>
        <v>128</v>
      </c>
      <c r="N1279" s="2">
        <v>106</v>
      </c>
      <c r="O1279" s="2">
        <v>5</v>
      </c>
      <c r="Q1279" s="2">
        <v>0</v>
      </c>
      <c r="R1279" s="2">
        <v>0</v>
      </c>
      <c r="S1279" s="2">
        <v>1</v>
      </c>
      <c r="T1279" s="2">
        <v>1</v>
      </c>
      <c r="U1279" s="2">
        <v>1</v>
      </c>
      <c r="V1279" s="2">
        <v>0</v>
      </c>
      <c r="W1279" s="2">
        <v>0</v>
      </c>
      <c r="X1279" s="2">
        <v>2</v>
      </c>
      <c r="Y1279" s="2">
        <v>0</v>
      </c>
      <c r="Z1279" s="27">
        <v>2010.037</v>
      </c>
      <c r="AA1279" s="31">
        <v>2011.02</v>
      </c>
    </row>
    <row r="1280" spans="1:27" x14ac:dyDescent="0.2">
      <c r="A1280" s="5" t="s">
        <v>4491</v>
      </c>
      <c r="B1280" s="12" t="s">
        <v>4492</v>
      </c>
      <c r="C1280" s="8">
        <v>40653</v>
      </c>
      <c r="D1280" s="2">
        <v>2011</v>
      </c>
      <c r="E1280" s="2">
        <v>2010</v>
      </c>
      <c r="F1280" s="2">
        <v>1</v>
      </c>
      <c r="G1280" s="2">
        <v>1</v>
      </c>
      <c r="H1280" s="5" t="s">
        <v>3442</v>
      </c>
      <c r="I1280" s="19" t="s">
        <v>4493</v>
      </c>
      <c r="J1280" s="19" t="s">
        <v>4494</v>
      </c>
      <c r="K1280" s="19" t="s">
        <v>3350</v>
      </c>
      <c r="L1280" s="10">
        <v>36791</v>
      </c>
      <c r="M1280" s="4">
        <f>9+12*10</f>
        <v>129</v>
      </c>
      <c r="N1280" s="2">
        <v>106</v>
      </c>
      <c r="O1280" s="2">
        <v>5</v>
      </c>
      <c r="Q1280" s="2">
        <v>0</v>
      </c>
      <c r="R1280" s="2">
        <v>0</v>
      </c>
      <c r="S1280" s="2">
        <v>0</v>
      </c>
      <c r="T1280" s="2">
        <v>1</v>
      </c>
      <c r="U1280" s="2">
        <v>0</v>
      </c>
      <c r="V1280" s="2">
        <v>0</v>
      </c>
      <c r="W1280" s="2">
        <v>0</v>
      </c>
      <c r="X1280" s="2">
        <v>2</v>
      </c>
      <c r="Y1280" s="2">
        <v>1</v>
      </c>
      <c r="Z1280" s="27">
        <v>2010.0360000000001</v>
      </c>
      <c r="AA1280" s="31">
        <v>2011.03</v>
      </c>
    </row>
    <row r="1281" spans="1:27" x14ac:dyDescent="0.2">
      <c r="A1281" s="5" t="s">
        <v>4495</v>
      </c>
      <c r="B1281" s="12" t="s">
        <v>5103</v>
      </c>
      <c r="C1281" s="8">
        <v>40717</v>
      </c>
      <c r="D1281" s="2">
        <v>2011</v>
      </c>
      <c r="E1281" s="2">
        <v>2010</v>
      </c>
      <c r="F1281" s="2">
        <v>1</v>
      </c>
      <c r="G1281" s="2">
        <v>1</v>
      </c>
      <c r="H1281" s="5" t="s">
        <v>3442</v>
      </c>
      <c r="I1281" s="19" t="s">
        <v>3415</v>
      </c>
      <c r="J1281" s="19" t="s">
        <v>3416</v>
      </c>
      <c r="K1281" s="19" t="s">
        <v>3417</v>
      </c>
      <c r="L1281" s="10">
        <v>30873</v>
      </c>
      <c r="M1281" s="4">
        <f>10+12*27</f>
        <v>334</v>
      </c>
      <c r="N1281" s="2">
        <v>98</v>
      </c>
      <c r="O1281" s="2">
        <v>6</v>
      </c>
      <c r="P1281" s="2">
        <v>5</v>
      </c>
      <c r="Q1281" s="2">
        <v>1</v>
      </c>
      <c r="R1281" s="2">
        <v>0</v>
      </c>
      <c r="S1281" s="2">
        <v>1</v>
      </c>
      <c r="T1281" s="2">
        <v>1</v>
      </c>
      <c r="U1281" s="2">
        <v>0</v>
      </c>
      <c r="V1281" s="2">
        <v>1</v>
      </c>
      <c r="W1281" s="2">
        <v>0</v>
      </c>
      <c r="X1281" s="2">
        <v>4</v>
      </c>
      <c r="Y1281" s="2">
        <v>0</v>
      </c>
      <c r="Z1281" s="27">
        <v>2010.079</v>
      </c>
      <c r="AA1281" s="31">
        <v>2011.04</v>
      </c>
    </row>
    <row r="1282" spans="1:27" x14ac:dyDescent="0.2">
      <c r="A1282" s="5" t="s">
        <v>4499</v>
      </c>
      <c r="B1282" s="12" t="s">
        <v>5107</v>
      </c>
      <c r="C1282" s="8">
        <v>40919</v>
      </c>
      <c r="D1282" s="2">
        <v>2012</v>
      </c>
      <c r="E1282" s="2">
        <v>2010</v>
      </c>
      <c r="F1282" s="2">
        <v>1</v>
      </c>
      <c r="G1282" s="2">
        <v>1</v>
      </c>
      <c r="H1282" s="5" t="s">
        <v>3442</v>
      </c>
      <c r="I1282" s="19" t="s">
        <v>3366</v>
      </c>
      <c r="J1282" s="19" t="s">
        <v>3339</v>
      </c>
      <c r="K1282" s="19" t="s">
        <v>3340</v>
      </c>
      <c r="L1282" s="10">
        <v>33080</v>
      </c>
      <c r="M1282" s="4">
        <f>5+12*21</f>
        <v>257</v>
      </c>
      <c r="N1282" s="2">
        <v>101</v>
      </c>
      <c r="O1282" s="2">
        <v>2</v>
      </c>
      <c r="Q1282" s="2">
        <v>1</v>
      </c>
      <c r="R1282" s="2">
        <v>0</v>
      </c>
      <c r="S1282" s="2">
        <v>1</v>
      </c>
      <c r="T1282" s="2">
        <v>1</v>
      </c>
      <c r="U1282" s="2">
        <v>1</v>
      </c>
      <c r="V1282" s="2">
        <v>1</v>
      </c>
      <c r="W1282" s="2">
        <v>1</v>
      </c>
      <c r="X1282" s="2">
        <v>0</v>
      </c>
      <c r="Y1282" s="2">
        <v>1</v>
      </c>
      <c r="Z1282" s="27">
        <v>2011.011</v>
      </c>
      <c r="AA1282" s="31">
        <v>2012.01</v>
      </c>
    </row>
    <row r="1283" spans="1:27" x14ac:dyDescent="0.2">
      <c r="A1283" s="5" t="s">
        <v>4496</v>
      </c>
      <c r="B1283" s="12" t="s">
        <v>5104</v>
      </c>
      <c r="C1283" s="8">
        <v>40988</v>
      </c>
      <c r="D1283" s="2">
        <v>2012</v>
      </c>
      <c r="E1283" s="2">
        <v>2010</v>
      </c>
      <c r="F1283" s="2">
        <v>1</v>
      </c>
      <c r="G1283" s="2">
        <v>1</v>
      </c>
      <c r="H1283" s="5" t="s">
        <v>3442</v>
      </c>
      <c r="I1283" s="19" t="s">
        <v>4497</v>
      </c>
      <c r="J1283" s="19" t="s">
        <v>4498</v>
      </c>
      <c r="K1283" s="19" t="s">
        <v>3320</v>
      </c>
      <c r="L1283" s="10">
        <v>34005</v>
      </c>
      <c r="M1283" s="4">
        <f>13+12*18</f>
        <v>229</v>
      </c>
      <c r="N1283" s="2">
        <v>103</v>
      </c>
      <c r="O1283" s="2">
        <v>5</v>
      </c>
      <c r="Q1283" s="2">
        <v>1</v>
      </c>
      <c r="R1283" s="2">
        <v>0</v>
      </c>
      <c r="S1283" s="2">
        <v>0</v>
      </c>
      <c r="T1283" s="2">
        <v>1</v>
      </c>
      <c r="U1283" s="2">
        <v>0</v>
      </c>
      <c r="V1283" s="2">
        <v>1</v>
      </c>
      <c r="W1283" s="2">
        <v>0</v>
      </c>
      <c r="X1283" s="2">
        <v>4</v>
      </c>
      <c r="Y1283" s="2">
        <v>1</v>
      </c>
      <c r="Z1283" s="27">
        <v>2011.0319999999999</v>
      </c>
      <c r="AA1283" s="31">
        <v>2012.02</v>
      </c>
    </row>
    <row r="1284" spans="1:27" x14ac:dyDescent="0.2">
      <c r="A1284" s="5" t="s">
        <v>4500</v>
      </c>
      <c r="B1284" s="12" t="s">
        <v>5106</v>
      </c>
      <c r="C1284" s="8">
        <v>41088</v>
      </c>
      <c r="D1284" s="2">
        <v>2012</v>
      </c>
      <c r="E1284" s="2">
        <v>2010</v>
      </c>
      <c r="F1284" s="2">
        <v>1</v>
      </c>
      <c r="G1284" s="2">
        <v>1</v>
      </c>
      <c r="H1284" s="5" t="s">
        <v>3442</v>
      </c>
      <c r="I1284" s="19" t="s">
        <v>4501</v>
      </c>
      <c r="J1284" s="19" t="s">
        <v>4502</v>
      </c>
      <c r="K1284" s="19" t="s">
        <v>4503</v>
      </c>
      <c r="L1284" s="10">
        <v>40260</v>
      </c>
      <c r="M1284" s="4">
        <f>14+12</f>
        <v>26</v>
      </c>
      <c r="N1284" s="2">
        <v>111</v>
      </c>
      <c r="O1284" s="2">
        <v>5</v>
      </c>
      <c r="Q1284" s="2">
        <v>1</v>
      </c>
      <c r="R1284" s="2">
        <v>1</v>
      </c>
      <c r="S1284" s="2">
        <v>1</v>
      </c>
      <c r="T1284" s="2">
        <v>1</v>
      </c>
      <c r="U1284" s="2">
        <v>1</v>
      </c>
      <c r="V1284" s="2">
        <v>1</v>
      </c>
      <c r="W1284" s="2">
        <v>1</v>
      </c>
      <c r="X1284" s="2">
        <v>4</v>
      </c>
      <c r="Y1284" s="2">
        <v>1</v>
      </c>
      <c r="Z1284" s="27">
        <v>2011.077</v>
      </c>
      <c r="AA1284" s="31">
        <v>2012.03</v>
      </c>
    </row>
    <row r="1285" spans="1:27" x14ac:dyDescent="0.2">
      <c r="A1285" s="5" t="s">
        <v>4504</v>
      </c>
      <c r="B1285" s="12" t="s">
        <v>5105</v>
      </c>
      <c r="C1285" s="8">
        <v>41088</v>
      </c>
      <c r="D1285" s="2">
        <v>2012</v>
      </c>
      <c r="E1285" s="2">
        <v>2010</v>
      </c>
      <c r="F1285" s="2">
        <v>2</v>
      </c>
      <c r="G1285" s="2">
        <v>1</v>
      </c>
      <c r="H1285" s="5" t="s">
        <v>3434</v>
      </c>
      <c r="I1285" s="19" t="s">
        <v>4505</v>
      </c>
      <c r="J1285" s="19" t="s">
        <v>4506</v>
      </c>
      <c r="K1285" s="19" t="s">
        <v>4507</v>
      </c>
      <c r="L1285" s="10">
        <v>39071</v>
      </c>
      <c r="M1285" s="4">
        <f>7+12*5</f>
        <v>67</v>
      </c>
      <c r="N1285" s="2">
        <v>109</v>
      </c>
      <c r="O1285" s="2">
        <v>2</v>
      </c>
      <c r="Q1285" s="2">
        <v>0</v>
      </c>
      <c r="R1285" s="2">
        <v>0</v>
      </c>
      <c r="S1285" s="2">
        <v>1</v>
      </c>
      <c r="T1285" s="2">
        <v>1</v>
      </c>
      <c r="U1285" s="2">
        <v>0</v>
      </c>
      <c r="V1285" s="2">
        <v>1</v>
      </c>
      <c r="W1285" s="2">
        <v>1</v>
      </c>
      <c r="X1285" s="2">
        <v>3</v>
      </c>
      <c r="Y1285" s="2">
        <v>0</v>
      </c>
      <c r="Z1285" s="27">
        <v>2011.076</v>
      </c>
      <c r="AA1285" s="31">
        <v>2012.04</v>
      </c>
    </row>
    <row r="1286" spans="1:27" x14ac:dyDescent="0.2">
      <c r="A1286" s="5" t="s">
        <v>4508</v>
      </c>
      <c r="B1286" s="12" t="s">
        <v>5108</v>
      </c>
      <c r="C1286" s="8">
        <v>41435</v>
      </c>
      <c r="D1286" s="2">
        <v>2013</v>
      </c>
      <c r="E1286" s="2">
        <v>2010</v>
      </c>
      <c r="F1286" s="2">
        <v>2</v>
      </c>
      <c r="G1286" s="2">
        <v>1</v>
      </c>
      <c r="H1286" s="5" t="s">
        <v>3434</v>
      </c>
      <c r="I1286" s="19" t="s">
        <v>3380</v>
      </c>
      <c r="J1286" s="19" t="s">
        <v>3381</v>
      </c>
      <c r="K1286" s="19" t="s">
        <v>3382</v>
      </c>
      <c r="L1286" s="10">
        <v>37741</v>
      </c>
      <c r="M1286" s="4">
        <f>13+12*9</f>
        <v>121</v>
      </c>
      <c r="N1286" s="2">
        <v>108</v>
      </c>
      <c r="O1286" s="2">
        <v>1</v>
      </c>
      <c r="Q1286" s="2">
        <v>0</v>
      </c>
      <c r="R1286" s="2">
        <v>0</v>
      </c>
      <c r="S1286" s="2">
        <v>1</v>
      </c>
      <c r="T1286" s="2">
        <v>1</v>
      </c>
      <c r="U1286" s="2">
        <v>1</v>
      </c>
      <c r="V1286" s="2">
        <v>0</v>
      </c>
      <c r="W1286" s="2">
        <v>1</v>
      </c>
      <c r="X1286" s="2">
        <v>4</v>
      </c>
      <c r="Y1286" s="2">
        <v>0</v>
      </c>
      <c r="Z1286" s="27">
        <v>2012.0540000000001</v>
      </c>
      <c r="AA1286" s="31">
        <v>2013.01</v>
      </c>
    </row>
    <row r="1287" spans="1:27" x14ac:dyDescent="0.2">
      <c r="A1287" s="5" t="s">
        <v>4509</v>
      </c>
      <c r="B1287" s="12" t="s">
        <v>5168</v>
      </c>
      <c r="C1287" s="8">
        <v>41445</v>
      </c>
      <c r="D1287" s="2">
        <v>2013</v>
      </c>
      <c r="E1287" s="2">
        <v>2010</v>
      </c>
      <c r="F1287" s="2">
        <v>2</v>
      </c>
      <c r="G1287" s="2">
        <v>1</v>
      </c>
      <c r="H1287" s="5" t="s">
        <v>3434</v>
      </c>
      <c r="I1287" s="19" t="s">
        <v>4510</v>
      </c>
      <c r="J1287" s="19" t="s">
        <v>4511</v>
      </c>
      <c r="K1287" s="19" t="s">
        <v>4512</v>
      </c>
      <c r="L1287" s="10">
        <v>37768</v>
      </c>
      <c r="M1287" s="4">
        <v>121</v>
      </c>
      <c r="N1287" s="2">
        <v>108</v>
      </c>
      <c r="O1287" s="2">
        <v>2</v>
      </c>
      <c r="Q1287" s="2">
        <v>1</v>
      </c>
      <c r="R1287" s="2">
        <v>0</v>
      </c>
      <c r="S1287" s="2">
        <v>1</v>
      </c>
      <c r="T1287" s="2">
        <v>1</v>
      </c>
      <c r="U1287" s="2">
        <v>0</v>
      </c>
      <c r="V1287" s="2">
        <v>1</v>
      </c>
      <c r="W1287" s="2">
        <v>1</v>
      </c>
      <c r="X1287" s="2">
        <v>2</v>
      </c>
      <c r="Y1287" s="2">
        <v>0</v>
      </c>
      <c r="Z1287" s="27">
        <v>2012.0650000000001</v>
      </c>
      <c r="AA1287" s="31">
        <v>2013.02</v>
      </c>
    </row>
    <row r="1288" spans="1:27" x14ac:dyDescent="0.2">
      <c r="A1288" s="5" t="s">
        <v>3405</v>
      </c>
      <c r="B1288" s="12" t="s">
        <v>5169</v>
      </c>
      <c r="C1288" s="8">
        <v>41449</v>
      </c>
      <c r="D1288" s="2">
        <v>2013</v>
      </c>
      <c r="E1288" s="2">
        <v>2010</v>
      </c>
      <c r="F1288" s="2">
        <v>0</v>
      </c>
      <c r="G1288" s="2">
        <v>0</v>
      </c>
      <c r="H1288" s="5" t="s">
        <v>27</v>
      </c>
      <c r="I1288" s="19" t="s">
        <v>3406</v>
      </c>
      <c r="J1288" s="19" t="s">
        <v>3407</v>
      </c>
      <c r="K1288" s="19" t="s">
        <v>3400</v>
      </c>
      <c r="L1288" s="10">
        <v>38925</v>
      </c>
      <c r="M1288" s="4">
        <f>10+12*6</f>
        <v>82</v>
      </c>
      <c r="N1288" s="2">
        <v>109</v>
      </c>
      <c r="O1288" s="2">
        <v>5</v>
      </c>
      <c r="Q1288" s="2">
        <v>1</v>
      </c>
      <c r="R1288" s="2">
        <v>1</v>
      </c>
      <c r="S1288" s="2">
        <v>1</v>
      </c>
      <c r="T1288" s="2">
        <v>1</v>
      </c>
      <c r="U1288" s="2">
        <v>1</v>
      </c>
      <c r="V1288" s="2">
        <v>0</v>
      </c>
      <c r="W1288" s="2">
        <v>1</v>
      </c>
      <c r="X1288" s="2">
        <v>2</v>
      </c>
      <c r="Y1288" s="2">
        <v>0</v>
      </c>
      <c r="Z1288" s="27">
        <v>2012.0709999999999</v>
      </c>
      <c r="AA1288" s="31">
        <v>2013.03</v>
      </c>
    </row>
    <row r="1289" spans="1:27" x14ac:dyDescent="0.2">
      <c r="A1289" s="5" t="s">
        <v>4513</v>
      </c>
      <c r="B1289" s="12" t="s">
        <v>5170</v>
      </c>
      <c r="C1289" s="8">
        <v>41450</v>
      </c>
      <c r="D1289" s="2">
        <v>2013</v>
      </c>
      <c r="E1289" s="2">
        <v>2010</v>
      </c>
      <c r="F1289" s="2">
        <v>1</v>
      </c>
      <c r="G1289" s="2">
        <v>1</v>
      </c>
      <c r="H1289" s="5" t="s">
        <v>3442</v>
      </c>
      <c r="I1289" s="19" t="s">
        <v>4514</v>
      </c>
      <c r="J1289" s="19" t="s">
        <v>4515</v>
      </c>
      <c r="K1289" s="19" t="s">
        <v>4516</v>
      </c>
      <c r="L1289" s="10">
        <v>38925</v>
      </c>
      <c r="M1289" s="4">
        <v>82</v>
      </c>
      <c r="N1289" s="2">
        <v>109</v>
      </c>
      <c r="O1289" s="2">
        <v>5</v>
      </c>
      <c r="Q1289" s="2">
        <v>1</v>
      </c>
      <c r="R1289" s="2">
        <v>1</v>
      </c>
      <c r="S1289" s="2">
        <v>1</v>
      </c>
      <c r="T1289" s="2">
        <v>1</v>
      </c>
      <c r="U1289" s="2">
        <v>1</v>
      </c>
      <c r="V1289" s="2">
        <v>1</v>
      </c>
      <c r="W1289" s="2">
        <v>1</v>
      </c>
      <c r="X1289" s="2">
        <v>4</v>
      </c>
      <c r="Y1289" s="2">
        <v>0</v>
      </c>
      <c r="Z1289" s="27">
        <v>2012.0730000000001</v>
      </c>
      <c r="AA1289" s="31">
        <v>2013.04</v>
      </c>
    </row>
    <row r="1290" spans="1:27" x14ac:dyDescent="0.2">
      <c r="A1290" s="5" t="s">
        <v>4517</v>
      </c>
      <c r="B1290" s="12" t="s">
        <v>5171</v>
      </c>
      <c r="C1290" s="8">
        <v>41451</v>
      </c>
      <c r="D1290" s="2">
        <v>2013</v>
      </c>
      <c r="E1290" s="2">
        <v>2010</v>
      </c>
      <c r="F1290" s="2">
        <v>2</v>
      </c>
      <c r="G1290" s="2">
        <v>1</v>
      </c>
      <c r="H1290" s="5" t="s">
        <v>3434</v>
      </c>
      <c r="I1290" s="19" t="s">
        <v>4518</v>
      </c>
      <c r="J1290" s="19" t="s">
        <v>4519</v>
      </c>
      <c r="K1290" s="19" t="s">
        <v>4520</v>
      </c>
      <c r="L1290" s="10">
        <v>35329</v>
      </c>
      <c r="M1290" s="4">
        <f>9+12*16</f>
        <v>201</v>
      </c>
      <c r="N1290" s="2">
        <v>104</v>
      </c>
      <c r="O1290" s="2">
        <v>3</v>
      </c>
      <c r="Q1290" s="2">
        <v>0</v>
      </c>
      <c r="R1290" s="2">
        <v>0</v>
      </c>
      <c r="S1290" s="2">
        <v>1</v>
      </c>
      <c r="T1290" s="2">
        <v>1</v>
      </c>
      <c r="U1290" s="2">
        <v>0</v>
      </c>
      <c r="V1290" s="2">
        <v>1</v>
      </c>
      <c r="W1290" s="2">
        <v>1</v>
      </c>
      <c r="X1290" s="2">
        <v>4</v>
      </c>
      <c r="Y1290" s="2">
        <v>0</v>
      </c>
      <c r="Z1290" s="27">
        <v>2012.079</v>
      </c>
      <c r="AA1290" s="31">
        <v>2013.05</v>
      </c>
    </row>
    <row r="1291" spans="1:27" x14ac:dyDescent="0.2">
      <c r="A1291" s="3" t="s">
        <v>4521</v>
      </c>
      <c r="B1291" s="3" t="s">
        <v>5172</v>
      </c>
      <c r="C1291" s="8">
        <v>41731</v>
      </c>
      <c r="D1291" s="2">
        <v>2014</v>
      </c>
      <c r="E1291" s="2">
        <v>2010</v>
      </c>
      <c r="F1291" s="2">
        <v>2</v>
      </c>
      <c r="G1291" s="2">
        <v>1</v>
      </c>
      <c r="H1291" s="3" t="s">
        <v>3434</v>
      </c>
      <c r="I1291" s="3" t="s">
        <v>4453</v>
      </c>
      <c r="J1291" s="19" t="s">
        <v>4454</v>
      </c>
      <c r="K1291" s="19" t="s">
        <v>4455</v>
      </c>
      <c r="L1291" s="10">
        <v>37342</v>
      </c>
      <c r="M1291" s="4">
        <f>12+12*11</f>
        <v>144</v>
      </c>
      <c r="N1291" s="2">
        <v>107</v>
      </c>
      <c r="O1291" s="2">
        <v>2</v>
      </c>
      <c r="Q1291" s="2">
        <v>1</v>
      </c>
      <c r="R1291" s="2">
        <v>1</v>
      </c>
      <c r="S1291" s="2">
        <v>1</v>
      </c>
      <c r="T1291" s="2">
        <v>0</v>
      </c>
      <c r="U1291" s="2">
        <v>1</v>
      </c>
      <c r="V1291" s="2">
        <v>1</v>
      </c>
      <c r="W1291" s="2">
        <v>1</v>
      </c>
      <c r="X1291" s="2">
        <v>4</v>
      </c>
      <c r="Y1291" s="2">
        <v>0</v>
      </c>
      <c r="Z1291" s="27">
        <v>2013.0329999999999</v>
      </c>
      <c r="AA1291" s="31">
        <v>2014.01</v>
      </c>
    </row>
    <row r="1292" spans="1:27" x14ac:dyDescent="0.2">
      <c r="A1292" s="3" t="s">
        <v>3413</v>
      </c>
      <c r="B1292" s="2" t="s">
        <v>3414</v>
      </c>
      <c r="C1292" s="8">
        <v>42150</v>
      </c>
      <c r="D1292" s="2">
        <v>2015</v>
      </c>
      <c r="E1292" s="2">
        <v>2010</v>
      </c>
      <c r="F1292" s="2">
        <v>0</v>
      </c>
      <c r="G1292" s="2">
        <v>0</v>
      </c>
      <c r="H1292" s="3" t="s">
        <v>27</v>
      </c>
      <c r="I1292" s="3" t="s">
        <v>3415</v>
      </c>
      <c r="J1292" s="19" t="s">
        <v>3416</v>
      </c>
      <c r="K1292" s="19" t="s">
        <v>3417</v>
      </c>
      <c r="L1292" s="10">
        <v>30873</v>
      </c>
      <c r="M1292" s="4">
        <f>9+12*29</f>
        <v>357</v>
      </c>
      <c r="N1292" s="2">
        <v>98</v>
      </c>
      <c r="O1292" s="2">
        <v>6</v>
      </c>
      <c r="Q1292" s="2">
        <v>1</v>
      </c>
      <c r="R1292" s="2">
        <v>0</v>
      </c>
      <c r="S1292" s="2">
        <v>1</v>
      </c>
      <c r="T1292" s="2">
        <v>1</v>
      </c>
      <c r="U1292" s="2">
        <v>1</v>
      </c>
      <c r="V1292" s="2">
        <v>0</v>
      </c>
      <c r="W1292" s="2">
        <v>1</v>
      </c>
      <c r="X1292" s="2">
        <v>3</v>
      </c>
      <c r="Y1292" s="2">
        <v>1</v>
      </c>
      <c r="Z1292" s="27">
        <v>2014.038</v>
      </c>
      <c r="AA1292" s="31">
        <v>2015.01</v>
      </c>
    </row>
    <row r="1293" spans="1:27" x14ac:dyDescent="0.2">
      <c r="A1293" s="3" t="s">
        <v>4522</v>
      </c>
      <c r="B1293" s="12" t="s">
        <v>4523</v>
      </c>
      <c r="C1293" s="8">
        <v>42163</v>
      </c>
      <c r="D1293" s="2">
        <v>2015</v>
      </c>
      <c r="E1293" s="2">
        <v>2010</v>
      </c>
      <c r="F1293" s="2">
        <v>2</v>
      </c>
      <c r="G1293" s="2">
        <v>1</v>
      </c>
      <c r="H1293" s="3" t="s">
        <v>3434</v>
      </c>
      <c r="I1293" s="3" t="s">
        <v>4524</v>
      </c>
      <c r="J1293" s="3" t="s">
        <v>4525</v>
      </c>
      <c r="K1293" s="3" t="s">
        <v>4526</v>
      </c>
      <c r="L1293" s="10">
        <v>37529</v>
      </c>
      <c r="M1293" s="4">
        <f>9+12*11</f>
        <v>141</v>
      </c>
      <c r="N1293" s="2">
        <v>107</v>
      </c>
      <c r="O1293" s="2">
        <v>6</v>
      </c>
      <c r="Q1293" s="2">
        <v>0</v>
      </c>
      <c r="R1293" s="2">
        <v>0</v>
      </c>
      <c r="S1293" s="2">
        <v>1</v>
      </c>
      <c r="T1293" s="2">
        <v>1</v>
      </c>
      <c r="U1293" s="2">
        <v>0</v>
      </c>
      <c r="V1293" s="2">
        <v>1</v>
      </c>
      <c r="W1293" s="2">
        <v>1</v>
      </c>
      <c r="X1293" s="2">
        <v>4</v>
      </c>
      <c r="Y1293" s="2">
        <v>0</v>
      </c>
      <c r="Z1293" s="27">
        <v>2014.011</v>
      </c>
      <c r="AA1293" s="31">
        <v>2015.02</v>
      </c>
    </row>
    <row r="1294" spans="1:27" x14ac:dyDescent="0.2">
      <c r="A1294" s="3" t="s">
        <v>3408</v>
      </c>
      <c r="B1294" s="12" t="s">
        <v>3409</v>
      </c>
      <c r="C1294" s="8">
        <v>42170</v>
      </c>
      <c r="D1294" s="2">
        <v>2015</v>
      </c>
      <c r="E1294" s="2">
        <v>2010</v>
      </c>
      <c r="F1294" s="2">
        <v>0</v>
      </c>
      <c r="G1294" s="2">
        <v>0</v>
      </c>
      <c r="H1294" s="3" t="s">
        <v>27</v>
      </c>
      <c r="I1294" s="3" t="s">
        <v>3410</v>
      </c>
      <c r="J1294" s="3" t="s">
        <v>3411</v>
      </c>
      <c r="K1294" s="3" t="s">
        <v>3412</v>
      </c>
      <c r="L1294" s="10">
        <v>33206</v>
      </c>
      <c r="M1294" s="4">
        <f>7+12*23</f>
        <v>283</v>
      </c>
      <c r="N1294" s="2">
        <v>101</v>
      </c>
      <c r="O1294" s="2">
        <v>1</v>
      </c>
      <c r="Q1294" s="2">
        <v>1</v>
      </c>
      <c r="R1294" s="2">
        <v>0</v>
      </c>
      <c r="S1294" s="2">
        <v>1</v>
      </c>
      <c r="T1294" s="2">
        <v>1</v>
      </c>
      <c r="U1294" s="2">
        <v>1</v>
      </c>
      <c r="V1294" s="2">
        <v>0</v>
      </c>
      <c r="W1294" s="2">
        <v>1</v>
      </c>
      <c r="X1294" s="2">
        <v>0</v>
      </c>
      <c r="Y1294" s="2">
        <v>1</v>
      </c>
      <c r="Z1294" s="27">
        <v>2014.047</v>
      </c>
      <c r="AA1294" s="31">
        <v>2015.03</v>
      </c>
    </row>
    <row r="1295" spans="1:27" x14ac:dyDescent="0.2">
      <c r="A1295" s="3" t="s">
        <v>3261</v>
      </c>
      <c r="B1295" s="12" t="s">
        <v>4527</v>
      </c>
      <c r="C1295" s="8">
        <v>42181</v>
      </c>
      <c r="D1295" s="2">
        <v>2015</v>
      </c>
      <c r="E1295" s="2">
        <v>2010</v>
      </c>
      <c r="F1295" s="2">
        <v>2</v>
      </c>
      <c r="G1295" s="2">
        <v>1</v>
      </c>
      <c r="H1295" s="3" t="s">
        <v>3434</v>
      </c>
      <c r="I1295" s="3" t="s">
        <v>4528</v>
      </c>
      <c r="J1295" s="3" t="s">
        <v>4466</v>
      </c>
      <c r="K1295" s="3" t="s">
        <v>3047</v>
      </c>
      <c r="L1295" s="10">
        <v>30967</v>
      </c>
      <c r="M1295" s="4">
        <f>10+7+(12*29)</f>
        <v>365</v>
      </c>
      <c r="N1295" s="2">
        <v>98</v>
      </c>
      <c r="O1295" s="2">
        <v>1</v>
      </c>
      <c r="Q1295" s="2">
        <v>0</v>
      </c>
      <c r="R1295" s="2">
        <v>0</v>
      </c>
      <c r="S1295" s="2">
        <v>1</v>
      </c>
      <c r="T1295" s="2">
        <v>1</v>
      </c>
      <c r="U1295" s="2">
        <v>1</v>
      </c>
      <c r="V1295" s="2">
        <v>1</v>
      </c>
      <c r="W1295" s="2">
        <v>1</v>
      </c>
      <c r="X1295" s="2">
        <v>0</v>
      </c>
      <c r="Y1295" s="2">
        <v>1</v>
      </c>
      <c r="Z1295" s="27">
        <v>2014.0160000000001</v>
      </c>
      <c r="AA1295" s="31">
        <v>2015.04</v>
      </c>
    </row>
    <row r="1296" spans="1:27" x14ac:dyDescent="0.2">
      <c r="A1296" s="3" t="s">
        <v>4529</v>
      </c>
      <c r="B1296" s="2" t="s">
        <v>4530</v>
      </c>
      <c r="C1296" s="8">
        <v>42459</v>
      </c>
      <c r="D1296" s="2">
        <v>2016</v>
      </c>
      <c r="E1296" s="2">
        <v>2010</v>
      </c>
      <c r="F1296" s="2">
        <v>2</v>
      </c>
      <c r="G1296" s="2">
        <v>1</v>
      </c>
      <c r="H1296" s="3" t="s">
        <v>3434</v>
      </c>
      <c r="I1296" s="3" t="s">
        <v>4531</v>
      </c>
      <c r="J1296" s="3" t="s">
        <v>4532</v>
      </c>
      <c r="K1296" s="3" t="s">
        <v>4533</v>
      </c>
      <c r="L1296" s="10">
        <v>33206</v>
      </c>
      <c r="M1296" s="4">
        <f>4+(12*25)</f>
        <v>304</v>
      </c>
      <c r="N1296" s="2">
        <v>101</v>
      </c>
      <c r="O1296" s="2">
        <v>1</v>
      </c>
      <c r="Q1296" s="2">
        <v>0</v>
      </c>
      <c r="R1296" s="2">
        <v>0</v>
      </c>
      <c r="S1296" s="2">
        <v>1</v>
      </c>
      <c r="T1296" s="2">
        <v>1</v>
      </c>
      <c r="U1296" s="2">
        <v>1</v>
      </c>
      <c r="V1296" s="2">
        <v>1</v>
      </c>
      <c r="W1296" s="2">
        <v>1</v>
      </c>
      <c r="X1296" s="2">
        <v>3</v>
      </c>
      <c r="Y1296" s="2">
        <v>1</v>
      </c>
      <c r="Z1296" s="27">
        <v>2015.019</v>
      </c>
      <c r="AA1296" s="31">
        <v>2016.01</v>
      </c>
    </row>
    <row r="1297" spans="1:27" x14ac:dyDescent="0.2">
      <c r="A1297" s="3" t="s">
        <v>4534</v>
      </c>
      <c r="B1297" s="2" t="s">
        <v>4535</v>
      </c>
      <c r="C1297" s="8">
        <v>42478</v>
      </c>
      <c r="D1297" s="2">
        <v>2016</v>
      </c>
      <c r="E1297" s="2">
        <v>2010</v>
      </c>
      <c r="F1297" s="2">
        <v>2</v>
      </c>
      <c r="G1297" s="2">
        <v>1</v>
      </c>
      <c r="H1297" s="3" t="s">
        <v>3434</v>
      </c>
      <c r="I1297" s="3" t="s">
        <v>4528</v>
      </c>
      <c r="J1297" s="3" t="s">
        <v>4466</v>
      </c>
      <c r="K1297" s="3" t="s">
        <v>3047</v>
      </c>
      <c r="L1297" s="10">
        <v>30967</v>
      </c>
      <c r="M1297" s="4">
        <v>375</v>
      </c>
      <c r="N1297" s="2">
        <v>98</v>
      </c>
      <c r="O1297" s="2">
        <v>1</v>
      </c>
      <c r="Q1297" s="2">
        <v>0</v>
      </c>
      <c r="R1297" s="2">
        <v>0</v>
      </c>
      <c r="S1297" s="2">
        <v>1</v>
      </c>
      <c r="T1297" s="2">
        <v>1</v>
      </c>
      <c r="U1297" s="2">
        <v>1</v>
      </c>
      <c r="V1297" s="2">
        <v>0</v>
      </c>
      <c r="W1297" s="2">
        <v>1</v>
      </c>
      <c r="X1297" s="2">
        <v>1</v>
      </c>
      <c r="Y1297" s="2">
        <v>1</v>
      </c>
      <c r="Z1297" s="27">
        <v>2015.0550000000001</v>
      </c>
      <c r="AA1297" s="31">
        <v>2016.02</v>
      </c>
    </row>
    <row r="1298" spans="1:27" x14ac:dyDescent="0.2">
      <c r="A1298" s="3" t="s">
        <v>3418</v>
      </c>
      <c r="B1298" s="2" t="s">
        <v>3419</v>
      </c>
      <c r="C1298" s="8">
        <v>42480</v>
      </c>
      <c r="D1298" s="2">
        <v>2016</v>
      </c>
      <c r="E1298" s="2">
        <v>2010</v>
      </c>
      <c r="F1298" s="2">
        <v>0</v>
      </c>
      <c r="G1298" s="2">
        <v>0</v>
      </c>
      <c r="H1298" s="3" t="s">
        <v>27</v>
      </c>
      <c r="I1298" s="3" t="s">
        <v>3420</v>
      </c>
      <c r="J1298" s="3" t="s">
        <v>3421</v>
      </c>
      <c r="K1298" s="3" t="s">
        <v>3422</v>
      </c>
      <c r="L1298" s="10">
        <v>41131</v>
      </c>
      <c r="M1298" s="4">
        <f>36+5+4</f>
        <v>45</v>
      </c>
      <c r="N1298" s="2">
        <v>112</v>
      </c>
      <c r="O1298" s="2">
        <v>6</v>
      </c>
      <c r="Q1298" s="2">
        <v>0</v>
      </c>
      <c r="R1298" s="2">
        <v>0</v>
      </c>
      <c r="S1298" s="2">
        <v>1</v>
      </c>
      <c r="T1298" s="2">
        <v>1</v>
      </c>
      <c r="U1298" s="2">
        <v>0</v>
      </c>
      <c r="V1298" s="2">
        <v>0</v>
      </c>
      <c r="W1298" s="2">
        <v>0</v>
      </c>
      <c r="X1298" s="2">
        <v>2</v>
      </c>
      <c r="Y1298" s="2">
        <v>0</v>
      </c>
      <c r="Z1298" s="27">
        <v>2015.0329999999999</v>
      </c>
      <c r="AA1298" s="31">
        <v>2016.03</v>
      </c>
    </row>
    <row r="1299" spans="1:27" x14ac:dyDescent="0.2">
      <c r="A1299" s="3" t="s">
        <v>3423</v>
      </c>
      <c r="B1299" s="2" t="s">
        <v>3424</v>
      </c>
      <c r="C1299" s="8">
        <v>42534</v>
      </c>
      <c r="D1299" s="2">
        <v>2016</v>
      </c>
      <c r="E1299" s="2">
        <v>2010</v>
      </c>
      <c r="F1299" s="2">
        <v>0</v>
      </c>
      <c r="G1299" s="2">
        <v>0</v>
      </c>
      <c r="H1299" s="3" t="s">
        <v>27</v>
      </c>
      <c r="I1299" s="3" t="s">
        <v>3425</v>
      </c>
      <c r="J1299" s="3" t="s">
        <v>3426</v>
      </c>
      <c r="K1299" s="3" t="s">
        <v>3427</v>
      </c>
      <c r="L1299" s="10">
        <v>38722</v>
      </c>
      <c r="M1299" s="4">
        <f>12*10+6</f>
        <v>126</v>
      </c>
      <c r="N1299" s="2">
        <v>109</v>
      </c>
      <c r="O1299" s="2">
        <v>1</v>
      </c>
      <c r="Q1299" s="2">
        <v>0</v>
      </c>
      <c r="R1299" s="2">
        <v>0</v>
      </c>
      <c r="S1299" s="2">
        <v>1</v>
      </c>
      <c r="T1299" s="2">
        <v>1</v>
      </c>
      <c r="U1299" s="2">
        <v>1</v>
      </c>
      <c r="V1299" s="2">
        <v>0</v>
      </c>
      <c r="W1299" s="2">
        <v>1</v>
      </c>
      <c r="X1299" s="2">
        <v>0</v>
      </c>
      <c r="Y1299" s="2">
        <v>0</v>
      </c>
      <c r="Z1299" s="27">
        <v>2015.066</v>
      </c>
      <c r="AA1299" s="31">
        <v>2016.04</v>
      </c>
    </row>
    <row r="1300" spans="1:27" x14ac:dyDescent="0.2">
      <c r="A1300" s="3" t="s">
        <v>4536</v>
      </c>
      <c r="B1300" s="2" t="s">
        <v>4537</v>
      </c>
      <c r="C1300" s="8">
        <v>42898</v>
      </c>
      <c r="D1300" s="2">
        <v>2017</v>
      </c>
      <c r="E1300" s="2">
        <v>2010</v>
      </c>
      <c r="F1300" s="2">
        <v>2</v>
      </c>
      <c r="G1300" s="2">
        <v>1</v>
      </c>
      <c r="H1300" s="3" t="s">
        <v>3434</v>
      </c>
      <c r="I1300" s="3" t="s">
        <v>4538</v>
      </c>
      <c r="J1300" s="3" t="s">
        <v>2271</v>
      </c>
      <c r="K1300" s="3" t="s">
        <v>2238</v>
      </c>
      <c r="L1300" s="10">
        <v>19172</v>
      </c>
      <c r="M1300" s="4">
        <f>64*12+6+6</f>
        <v>780</v>
      </c>
      <c r="N1300" s="2">
        <v>82</v>
      </c>
      <c r="O1300" s="2">
        <v>3</v>
      </c>
      <c r="Q1300" s="2">
        <v>1</v>
      </c>
      <c r="R1300" s="2">
        <v>0</v>
      </c>
      <c r="S1300" s="2">
        <v>1</v>
      </c>
      <c r="T1300" s="2">
        <v>1</v>
      </c>
      <c r="U1300" s="2">
        <v>1</v>
      </c>
      <c r="V1300" s="2">
        <v>1</v>
      </c>
      <c r="W1300" s="2">
        <v>1</v>
      </c>
      <c r="X1300" s="2">
        <v>0</v>
      </c>
      <c r="Y1300" s="2">
        <v>1</v>
      </c>
      <c r="Z1300" s="27">
        <v>2016.0150000000001</v>
      </c>
      <c r="AA1300" s="31">
        <v>2017.01</v>
      </c>
    </row>
    <row r="1301" spans="1:27" x14ac:dyDescent="0.2">
      <c r="A1301" s="3" t="s">
        <v>4539</v>
      </c>
      <c r="B1301" s="2" t="s">
        <v>4540</v>
      </c>
      <c r="C1301" s="8">
        <v>42905</v>
      </c>
      <c r="D1301" s="2">
        <v>2017</v>
      </c>
      <c r="E1301" s="2">
        <v>2010</v>
      </c>
      <c r="F1301" s="2">
        <v>2</v>
      </c>
      <c r="G1301" s="2">
        <v>1</v>
      </c>
      <c r="H1301" s="3" t="s">
        <v>3434</v>
      </c>
      <c r="I1301" s="3" t="s">
        <v>4541</v>
      </c>
      <c r="J1301" s="3" t="s">
        <v>4542</v>
      </c>
      <c r="K1301" s="3" t="s">
        <v>4543</v>
      </c>
      <c r="L1301" s="10">
        <v>16988</v>
      </c>
      <c r="M1301" s="4">
        <f>70*12+6+6</f>
        <v>852</v>
      </c>
      <c r="N1301" s="2">
        <v>79</v>
      </c>
      <c r="O1301" s="2">
        <v>2</v>
      </c>
      <c r="Q1301" s="2">
        <v>1</v>
      </c>
      <c r="R1301" s="2">
        <v>0</v>
      </c>
      <c r="S1301" s="2">
        <v>1</v>
      </c>
      <c r="T1301" s="2">
        <v>1</v>
      </c>
      <c r="U1301" s="2">
        <v>0</v>
      </c>
      <c r="V1301" s="2">
        <v>1</v>
      </c>
      <c r="W1301" s="2">
        <v>1</v>
      </c>
      <c r="X1301" s="2">
        <v>0</v>
      </c>
      <c r="Y1301" s="2">
        <v>1</v>
      </c>
      <c r="Z1301" s="27">
        <v>2016.04</v>
      </c>
      <c r="AA1301" s="31">
        <v>2017.02</v>
      </c>
    </row>
    <row r="1302" spans="1:27" x14ac:dyDescent="0.2">
      <c r="A1302" s="3" t="s">
        <v>3428</v>
      </c>
      <c r="B1302" s="2" t="s">
        <v>3429</v>
      </c>
      <c r="C1302" s="8">
        <v>42800</v>
      </c>
      <c r="D1302" s="2">
        <v>2017</v>
      </c>
      <c r="E1302" s="2">
        <v>2010</v>
      </c>
      <c r="F1302" s="2">
        <v>0</v>
      </c>
      <c r="G1302" s="2">
        <v>0</v>
      </c>
      <c r="H1302" s="3" t="s">
        <v>27</v>
      </c>
      <c r="I1302" s="3" t="s">
        <v>3430</v>
      </c>
      <c r="J1302" s="3" t="s">
        <v>3237</v>
      </c>
      <c r="K1302" s="3" t="s">
        <v>3047</v>
      </c>
      <c r="L1302" s="10">
        <v>30967</v>
      </c>
      <c r="M1302" s="4">
        <f>32*12+2+3</f>
        <v>389</v>
      </c>
      <c r="N1302" s="2">
        <v>98</v>
      </c>
      <c r="O1302" s="2">
        <v>1</v>
      </c>
      <c r="Q1302" s="2">
        <v>1</v>
      </c>
      <c r="R1302" s="2">
        <v>0</v>
      </c>
      <c r="S1302" s="2">
        <v>1</v>
      </c>
      <c r="T1302" s="2">
        <v>1</v>
      </c>
      <c r="U1302" s="2">
        <v>0</v>
      </c>
      <c r="V1302" s="2">
        <v>0</v>
      </c>
      <c r="W1302" s="2">
        <v>1</v>
      </c>
      <c r="X1302" s="2">
        <v>0</v>
      </c>
      <c r="Y1302" s="2">
        <v>1</v>
      </c>
      <c r="Z1302" s="27">
        <v>2016.0260000000001</v>
      </c>
      <c r="AA1302" s="31">
        <v>2017.03</v>
      </c>
    </row>
    <row r="1303" spans="1:27" x14ac:dyDescent="0.2">
      <c r="A1303" s="3" t="s">
        <v>4551</v>
      </c>
      <c r="B1303" s="2" t="s">
        <v>4552</v>
      </c>
      <c r="C1303" s="8">
        <v>43207</v>
      </c>
      <c r="D1303" s="2">
        <v>2018</v>
      </c>
      <c r="E1303" s="2">
        <v>2010</v>
      </c>
      <c r="F1303" s="2">
        <v>2</v>
      </c>
      <c r="G1303" s="2">
        <v>1</v>
      </c>
      <c r="H1303" s="3" t="s">
        <v>3434</v>
      </c>
      <c r="I1303" s="3" t="s">
        <v>5074</v>
      </c>
      <c r="J1303" s="3" t="s">
        <v>4553</v>
      </c>
      <c r="K1303" s="3" t="s">
        <v>3047</v>
      </c>
      <c r="L1303" s="10">
        <v>30967</v>
      </c>
      <c r="M1303" s="4">
        <f>3+4+12*5+12*30+12*7</f>
        <v>511</v>
      </c>
      <c r="N1303" s="2">
        <v>98</v>
      </c>
      <c r="O1303" s="2">
        <v>1</v>
      </c>
      <c r="Q1303" s="2">
        <v>1</v>
      </c>
      <c r="R1303" s="2">
        <v>0</v>
      </c>
      <c r="S1303" s="2">
        <v>1</v>
      </c>
      <c r="T1303" s="2">
        <v>1</v>
      </c>
      <c r="U1303" s="2">
        <v>0</v>
      </c>
      <c r="V1303" s="2">
        <v>1</v>
      </c>
      <c r="W1303" s="2">
        <v>1</v>
      </c>
      <c r="X1303" s="2">
        <v>4</v>
      </c>
      <c r="Y1303" s="2">
        <v>1</v>
      </c>
      <c r="Z1303" s="27">
        <v>2017.001</v>
      </c>
      <c r="AA1303" s="31">
        <v>2018.01</v>
      </c>
    </row>
    <row r="1304" spans="1:27" x14ac:dyDescent="0.2">
      <c r="A1304" s="3" t="s">
        <v>4555</v>
      </c>
      <c r="B1304" s="2" t="s">
        <v>4554</v>
      </c>
      <c r="C1304" s="8">
        <v>43214</v>
      </c>
      <c r="D1304" s="2">
        <v>2018</v>
      </c>
      <c r="E1304" s="2">
        <v>2010</v>
      </c>
      <c r="F1304" s="2">
        <v>0</v>
      </c>
      <c r="G1304" s="2">
        <v>0</v>
      </c>
      <c r="H1304" s="3" t="s">
        <v>27</v>
      </c>
      <c r="I1304" s="3" t="s">
        <v>4556</v>
      </c>
      <c r="J1304" s="3" t="s">
        <v>4558</v>
      </c>
      <c r="K1304" s="3" t="s">
        <v>4557</v>
      </c>
      <c r="L1304" s="10">
        <v>40802</v>
      </c>
      <c r="M1304" s="4">
        <f>7+6*12</f>
        <v>79</v>
      </c>
      <c r="N1304" s="2">
        <v>112</v>
      </c>
      <c r="O1304" s="2">
        <v>6</v>
      </c>
      <c r="Q1304" s="2">
        <v>1</v>
      </c>
      <c r="R1304" s="2">
        <v>0</v>
      </c>
      <c r="S1304" s="2">
        <v>1</v>
      </c>
      <c r="T1304" s="2">
        <v>1</v>
      </c>
      <c r="U1304" s="2">
        <v>0</v>
      </c>
      <c r="V1304" s="2">
        <v>0</v>
      </c>
      <c r="W1304" s="2">
        <v>0</v>
      </c>
      <c r="X1304" s="2">
        <v>2</v>
      </c>
      <c r="Y1304" s="2">
        <v>0</v>
      </c>
      <c r="Z1304" s="27">
        <v>2017.0239999999999</v>
      </c>
      <c r="AA1304" s="31">
        <v>2018.02</v>
      </c>
    </row>
    <row r="1305" spans="1:27" x14ac:dyDescent="0.2">
      <c r="A1305" s="3" t="s">
        <v>4559</v>
      </c>
      <c r="B1305" s="2" t="s">
        <v>4560</v>
      </c>
      <c r="C1305" s="8">
        <v>43234</v>
      </c>
      <c r="D1305" s="2">
        <v>2018</v>
      </c>
      <c r="E1305" s="2">
        <v>2010</v>
      </c>
      <c r="F1305" s="2">
        <v>2</v>
      </c>
      <c r="G1305" s="2">
        <v>1</v>
      </c>
      <c r="H1305" s="3" t="s">
        <v>3434</v>
      </c>
      <c r="I1305" s="3" t="s">
        <v>4561</v>
      </c>
      <c r="J1305" s="3" t="s">
        <v>4562</v>
      </c>
      <c r="K1305" s="3" t="s">
        <v>4563</v>
      </c>
      <c r="L1305" s="10">
        <v>33905</v>
      </c>
      <c r="M1305" s="4">
        <f>2+5+12*7+12*7+12*20</f>
        <v>415</v>
      </c>
      <c r="N1305" s="2">
        <v>102</v>
      </c>
      <c r="O1305" s="2">
        <v>5</v>
      </c>
      <c r="Q1305" s="2">
        <v>0</v>
      </c>
      <c r="R1305" s="2">
        <v>0</v>
      </c>
      <c r="S1305" s="2">
        <v>1</v>
      </c>
      <c r="T1305" s="2">
        <v>1</v>
      </c>
      <c r="U1305" s="2">
        <v>1</v>
      </c>
      <c r="V1305" s="2">
        <v>1</v>
      </c>
      <c r="W1305" s="2">
        <v>0</v>
      </c>
      <c r="X1305" s="2">
        <v>3</v>
      </c>
      <c r="Y1305" s="2">
        <v>1</v>
      </c>
      <c r="Z1305" s="27">
        <v>2017.0219999999999</v>
      </c>
      <c r="AA1305" s="31">
        <v>2018.03</v>
      </c>
    </row>
    <row r="1306" spans="1:27" x14ac:dyDescent="0.2">
      <c r="A1306" s="3" t="s">
        <v>4564</v>
      </c>
      <c r="B1306" s="2" t="s">
        <v>4565</v>
      </c>
      <c r="C1306" s="8">
        <v>43273</v>
      </c>
      <c r="D1306" s="2">
        <v>2018</v>
      </c>
      <c r="E1306" s="2">
        <v>2010</v>
      </c>
      <c r="F1306" s="2">
        <v>1</v>
      </c>
      <c r="G1306" s="2">
        <v>1</v>
      </c>
      <c r="H1306" s="3" t="s">
        <v>3442</v>
      </c>
      <c r="I1306" s="3" t="s">
        <v>4566</v>
      </c>
      <c r="J1306" s="3" t="s">
        <v>4568</v>
      </c>
      <c r="K1306" s="3" t="s">
        <v>4567</v>
      </c>
      <c r="L1306" s="10">
        <v>37190</v>
      </c>
      <c r="M1306" s="4">
        <f>2+6+12*17</f>
        <v>212</v>
      </c>
      <c r="N1306" s="2">
        <v>107</v>
      </c>
      <c r="O1306" s="2">
        <v>1</v>
      </c>
      <c r="Q1306" s="2">
        <v>1</v>
      </c>
      <c r="R1306" s="2">
        <v>0</v>
      </c>
      <c r="S1306" s="2">
        <v>1</v>
      </c>
      <c r="T1306" s="2">
        <v>1</v>
      </c>
      <c r="U1306" s="2">
        <v>1</v>
      </c>
      <c r="V1306" s="2">
        <v>0</v>
      </c>
      <c r="W1306" s="2">
        <v>1</v>
      </c>
      <c r="X1306" s="2">
        <v>4</v>
      </c>
      <c r="Y1306" s="2">
        <v>0</v>
      </c>
      <c r="Z1306" s="27">
        <v>2017.021</v>
      </c>
      <c r="AA1306" s="31">
        <v>2018.04</v>
      </c>
    </row>
    <row r="1307" spans="1:27" x14ac:dyDescent="0.2">
      <c r="A1307" s="3" t="s">
        <v>4544</v>
      </c>
      <c r="B1307" s="2" t="s">
        <v>4545</v>
      </c>
      <c r="C1307" s="8">
        <v>43122</v>
      </c>
      <c r="D1307" s="2">
        <v>2018</v>
      </c>
      <c r="E1307" s="2">
        <v>2010</v>
      </c>
      <c r="F1307" s="2">
        <v>0</v>
      </c>
      <c r="G1307" s="2">
        <v>0</v>
      </c>
      <c r="H1307" s="3" t="s">
        <v>27</v>
      </c>
      <c r="I1307" s="3" t="s">
        <v>4709</v>
      </c>
      <c r="J1307" s="3" t="s">
        <v>3315</v>
      </c>
      <c r="K1307" s="3" t="s">
        <v>3316</v>
      </c>
      <c r="L1307" s="10">
        <v>33208</v>
      </c>
      <c r="M1307" s="4">
        <f>2+12*27</f>
        <v>326</v>
      </c>
      <c r="N1307" s="2">
        <v>101</v>
      </c>
      <c r="O1307" s="2">
        <v>5</v>
      </c>
      <c r="Q1307" s="2">
        <v>1</v>
      </c>
      <c r="R1307" s="2">
        <v>0</v>
      </c>
      <c r="S1307" s="2">
        <v>0</v>
      </c>
      <c r="T1307" s="2">
        <v>1</v>
      </c>
      <c r="U1307" s="2">
        <v>1</v>
      </c>
      <c r="V1307" s="2">
        <v>0</v>
      </c>
      <c r="W1307" s="2">
        <v>1</v>
      </c>
      <c r="X1307" s="2">
        <v>4</v>
      </c>
      <c r="Y1307" s="2">
        <v>1</v>
      </c>
      <c r="Z1307" s="27">
        <v>2017.0139999999999</v>
      </c>
      <c r="AA1307" s="31">
        <v>2018.05</v>
      </c>
    </row>
    <row r="1308" spans="1:27" x14ac:dyDescent="0.2">
      <c r="A1308" s="3" t="s">
        <v>4546</v>
      </c>
      <c r="B1308" s="2" t="s">
        <v>4547</v>
      </c>
      <c r="C1308" s="8">
        <v>43158</v>
      </c>
      <c r="D1308" s="2">
        <v>2018</v>
      </c>
      <c r="E1308" s="2">
        <v>2010</v>
      </c>
      <c r="F1308" s="2">
        <v>0</v>
      </c>
      <c r="G1308" s="2">
        <v>0</v>
      </c>
      <c r="H1308" s="3" t="s">
        <v>27</v>
      </c>
      <c r="I1308" s="3" t="s">
        <v>4548</v>
      </c>
      <c r="J1308" s="3" t="s">
        <v>4550</v>
      </c>
      <c r="K1308" s="3" t="s">
        <v>4549</v>
      </c>
      <c r="L1308" s="10">
        <v>41908</v>
      </c>
      <c r="M1308" s="4">
        <f>3*12+3+2</f>
        <v>41</v>
      </c>
      <c r="N1308" s="2">
        <v>113</v>
      </c>
      <c r="O1308" s="2">
        <v>6</v>
      </c>
      <c r="Q1308" s="2" t="s">
        <v>5165</v>
      </c>
      <c r="R1308" s="2" t="s">
        <v>5165</v>
      </c>
      <c r="S1308" s="2">
        <v>1</v>
      </c>
      <c r="T1308" s="2">
        <v>1</v>
      </c>
      <c r="U1308" s="2">
        <v>0</v>
      </c>
      <c r="V1308" s="2">
        <v>0</v>
      </c>
      <c r="W1308" s="2">
        <v>1</v>
      </c>
      <c r="X1308" s="2">
        <v>3</v>
      </c>
      <c r="Y1308" s="2">
        <v>0</v>
      </c>
      <c r="Z1308" s="27">
        <v>2017.0170000000001</v>
      </c>
      <c r="AA1308" s="31">
        <v>2018.06</v>
      </c>
    </row>
    <row r="1309" spans="1:27" x14ac:dyDescent="0.2">
      <c r="A1309" s="3" t="s">
        <v>5112</v>
      </c>
      <c r="B1309" s="2" t="s">
        <v>5113</v>
      </c>
      <c r="C1309" s="8">
        <v>43636</v>
      </c>
      <c r="D1309" s="2">
        <v>2019</v>
      </c>
      <c r="E1309" s="2">
        <v>2010</v>
      </c>
      <c r="F1309" s="2">
        <v>0</v>
      </c>
      <c r="G1309" s="2">
        <v>0</v>
      </c>
      <c r="H1309" s="3" t="s">
        <v>27</v>
      </c>
      <c r="I1309" s="3" t="s">
        <v>3406</v>
      </c>
      <c r="J1309" s="19" t="s">
        <v>3407</v>
      </c>
      <c r="K1309" s="19" t="s">
        <v>3400</v>
      </c>
      <c r="L1309" s="10">
        <v>38925</v>
      </c>
      <c r="M1309" s="4">
        <f>12*18+11</f>
        <v>227</v>
      </c>
      <c r="N1309" s="2">
        <v>109</v>
      </c>
      <c r="O1309" s="2">
        <v>6</v>
      </c>
      <c r="Q1309" s="2">
        <v>1</v>
      </c>
      <c r="R1309" s="2">
        <v>1</v>
      </c>
      <c r="S1309" s="2">
        <v>1</v>
      </c>
      <c r="T1309" s="2">
        <v>1</v>
      </c>
      <c r="U1309" s="2">
        <v>0</v>
      </c>
      <c r="V1309" s="2">
        <v>0</v>
      </c>
      <c r="W1309" s="2">
        <v>1</v>
      </c>
      <c r="X1309" s="2">
        <v>3</v>
      </c>
      <c r="Y1309" s="2">
        <v>1</v>
      </c>
      <c r="Z1309" s="28">
        <v>2018.0029999999999</v>
      </c>
      <c r="AA1309" s="31">
        <v>2019.01</v>
      </c>
    </row>
    <row r="1310" spans="1:27" x14ac:dyDescent="0.2">
      <c r="A1310" s="3" t="s">
        <v>5119</v>
      </c>
      <c r="B1310" s="2" t="s">
        <v>5120</v>
      </c>
      <c r="C1310" s="8">
        <v>43570</v>
      </c>
      <c r="D1310" s="2">
        <v>2019</v>
      </c>
      <c r="E1310" s="2">
        <v>2010</v>
      </c>
      <c r="F1310" s="2">
        <v>1</v>
      </c>
      <c r="G1310" s="2">
        <v>2</v>
      </c>
      <c r="H1310" s="3" t="s">
        <v>3434</v>
      </c>
      <c r="I1310" s="3" t="s">
        <v>4541</v>
      </c>
      <c r="J1310" s="3" t="s">
        <v>4542</v>
      </c>
      <c r="K1310" s="3" t="s">
        <v>4543</v>
      </c>
      <c r="L1310" s="10">
        <v>16988</v>
      </c>
      <c r="M1310" s="4">
        <f>12*72+10</f>
        <v>874</v>
      </c>
      <c r="N1310" s="2">
        <v>79</v>
      </c>
      <c r="O1310" s="2">
        <v>2</v>
      </c>
      <c r="Q1310" s="2">
        <v>1</v>
      </c>
      <c r="R1310" s="2">
        <v>0</v>
      </c>
      <c r="S1310" s="2">
        <v>1</v>
      </c>
      <c r="T1310" s="2">
        <v>1</v>
      </c>
      <c r="U1310" s="2">
        <v>0</v>
      </c>
      <c r="V1310" s="2">
        <v>1</v>
      </c>
      <c r="W1310" s="2">
        <v>1</v>
      </c>
      <c r="X1310" s="2">
        <v>0</v>
      </c>
      <c r="Y1310" s="2">
        <v>0</v>
      </c>
      <c r="Z1310" s="27">
        <v>2018.0640000000001</v>
      </c>
      <c r="AA1310" s="31">
        <v>2019.02</v>
      </c>
    </row>
    <row r="1311" spans="1:27" x14ac:dyDescent="0.2">
      <c r="A1311" s="3" t="s">
        <v>5114</v>
      </c>
      <c r="B1311" s="2" t="s">
        <v>5115</v>
      </c>
      <c r="C1311" s="8">
        <v>43640</v>
      </c>
      <c r="D1311" s="2">
        <v>2019</v>
      </c>
      <c r="E1311" s="2">
        <v>2010</v>
      </c>
      <c r="F1311" s="2">
        <v>1</v>
      </c>
      <c r="G1311" s="2">
        <v>1</v>
      </c>
      <c r="H1311" s="3" t="s">
        <v>3442</v>
      </c>
      <c r="I1311" s="3" t="s">
        <v>5116</v>
      </c>
      <c r="J1311" s="3" t="s">
        <v>3046</v>
      </c>
      <c r="K1311" s="3" t="s">
        <v>3047</v>
      </c>
      <c r="L1311" s="10">
        <v>30967</v>
      </c>
      <c r="M1311" s="4">
        <f>12*34+8</f>
        <v>416</v>
      </c>
      <c r="N1311" s="2">
        <v>98</v>
      </c>
      <c r="O1311" s="2">
        <v>1</v>
      </c>
      <c r="Q1311" s="2">
        <v>1</v>
      </c>
      <c r="R1311" s="2">
        <v>0</v>
      </c>
      <c r="S1311" s="2">
        <v>1</v>
      </c>
      <c r="T1311" s="2">
        <v>1</v>
      </c>
      <c r="U1311" s="2">
        <v>0</v>
      </c>
      <c r="V1311" s="2">
        <v>1</v>
      </c>
      <c r="W1311" s="2">
        <v>1</v>
      </c>
      <c r="X1311" s="2">
        <v>4</v>
      </c>
      <c r="Y1311" s="2">
        <v>0</v>
      </c>
      <c r="Z1311" s="27">
        <v>2018.0719999999999</v>
      </c>
      <c r="AA1311" s="31">
        <v>2019.03</v>
      </c>
    </row>
    <row r="1312" spans="1:27" x14ac:dyDescent="0.2">
      <c r="A1312" s="3" t="s">
        <v>5117</v>
      </c>
      <c r="B1312" s="2" t="s">
        <v>5118</v>
      </c>
      <c r="C1312" s="8">
        <v>43522</v>
      </c>
      <c r="D1312" s="2">
        <v>2019</v>
      </c>
      <c r="E1312" s="2">
        <v>2010</v>
      </c>
      <c r="F1312" s="2">
        <v>1</v>
      </c>
      <c r="G1312" s="2">
        <v>1</v>
      </c>
      <c r="H1312" s="3" t="s">
        <v>3442</v>
      </c>
      <c r="I1312" s="3" t="s">
        <v>3406</v>
      </c>
      <c r="J1312" s="19" t="s">
        <v>3407</v>
      </c>
      <c r="K1312" s="19" t="s">
        <v>3400</v>
      </c>
      <c r="L1312" s="10">
        <v>38925</v>
      </c>
      <c r="M1312" s="4">
        <f>12*12+7</f>
        <v>151</v>
      </c>
      <c r="N1312" s="2">
        <v>109</v>
      </c>
      <c r="O1312" s="2">
        <v>1</v>
      </c>
      <c r="Q1312" s="2">
        <v>1</v>
      </c>
      <c r="R1312" s="2">
        <v>1</v>
      </c>
      <c r="S1312" s="2">
        <v>1</v>
      </c>
      <c r="T1312" s="2">
        <v>1</v>
      </c>
      <c r="U1312" s="2">
        <v>1</v>
      </c>
      <c r="V1312" s="2">
        <v>0</v>
      </c>
      <c r="W1312" s="2">
        <v>1</v>
      </c>
      <c r="X1312" s="2">
        <v>4</v>
      </c>
      <c r="Y1312" s="2">
        <v>1</v>
      </c>
      <c r="Z1312" s="27">
        <v>2018.0450000000001</v>
      </c>
      <c r="AA1312" s="31">
        <v>2019.04</v>
      </c>
    </row>
    <row r="1313" spans="1:27" x14ac:dyDescent="0.2">
      <c r="A1313" s="3" t="s">
        <v>5131</v>
      </c>
      <c r="B1313" s="2" t="s">
        <v>5132</v>
      </c>
      <c r="C1313" s="8">
        <v>43983</v>
      </c>
      <c r="D1313" s="2">
        <v>2020</v>
      </c>
      <c r="E1313" s="2">
        <v>2020</v>
      </c>
      <c r="F1313" s="2">
        <v>0</v>
      </c>
      <c r="G1313" s="2">
        <v>0</v>
      </c>
      <c r="H1313" s="3" t="s">
        <v>27</v>
      </c>
      <c r="I1313" s="3" t="s">
        <v>5133</v>
      </c>
      <c r="J1313" s="3" t="s">
        <v>5134</v>
      </c>
      <c r="K1313" s="3" t="s">
        <v>5135</v>
      </c>
      <c r="L1313" s="10">
        <v>42551</v>
      </c>
      <c r="M1313" s="4">
        <f>3*12+11</f>
        <v>47</v>
      </c>
      <c r="N1313" s="2">
        <v>114</v>
      </c>
      <c r="O1313" s="2">
        <v>6</v>
      </c>
      <c r="Q1313" s="2" t="s">
        <v>5165</v>
      </c>
      <c r="R1313" s="2" t="s">
        <v>5165</v>
      </c>
      <c r="S1313" s="2">
        <v>1</v>
      </c>
      <c r="T1313" s="2">
        <v>1</v>
      </c>
      <c r="U1313" s="2">
        <v>1</v>
      </c>
      <c r="V1313" s="2">
        <v>0</v>
      </c>
      <c r="W1313" s="2">
        <v>1</v>
      </c>
      <c r="X1313" s="2">
        <v>0</v>
      </c>
      <c r="Y1313" s="2">
        <v>1</v>
      </c>
      <c r="Z1313" s="27">
        <v>2019.0060000000001</v>
      </c>
      <c r="AA1313" s="31">
        <v>2020.01</v>
      </c>
    </row>
    <row r="1314" spans="1:27" x14ac:dyDescent="0.2">
      <c r="A1314" s="3" t="s">
        <v>5136</v>
      </c>
      <c r="B1314" s="2" t="s">
        <v>5137</v>
      </c>
      <c r="C1314" s="8">
        <v>44007</v>
      </c>
      <c r="D1314" s="2">
        <v>2020</v>
      </c>
      <c r="E1314" s="2">
        <v>2020</v>
      </c>
      <c r="F1314" s="2">
        <v>0</v>
      </c>
      <c r="G1314" s="2">
        <v>0</v>
      </c>
      <c r="H1314" s="3" t="s">
        <v>27</v>
      </c>
      <c r="I1314" s="3" t="s">
        <v>5138</v>
      </c>
      <c r="J1314" s="3" t="s">
        <v>3306</v>
      </c>
      <c r="K1314" s="3" t="s">
        <v>3260</v>
      </c>
      <c r="L1314" s="10">
        <v>35338</v>
      </c>
      <c r="M1314" s="4">
        <f>12*23+9</f>
        <v>285</v>
      </c>
      <c r="N1314" s="2">
        <v>104</v>
      </c>
      <c r="O1314" s="2">
        <v>1</v>
      </c>
      <c r="Q1314" s="2">
        <v>1</v>
      </c>
      <c r="R1314" s="2">
        <v>1</v>
      </c>
      <c r="S1314" s="2">
        <v>1</v>
      </c>
      <c r="T1314" s="2">
        <v>1</v>
      </c>
      <c r="U1314" s="2">
        <v>1</v>
      </c>
      <c r="V1314" s="2">
        <v>0</v>
      </c>
      <c r="W1314" s="2">
        <v>1</v>
      </c>
      <c r="X1314" s="2">
        <v>2</v>
      </c>
      <c r="Y1314" s="2">
        <v>1</v>
      </c>
      <c r="Z1314" s="27">
        <v>2019.07</v>
      </c>
      <c r="AA1314" s="31">
        <v>2020.02</v>
      </c>
    </row>
    <row r="1315" spans="1:27" x14ac:dyDescent="0.2">
      <c r="A1315" s="3" t="s">
        <v>4509</v>
      </c>
      <c r="B1315" s="2" t="s">
        <v>5144</v>
      </c>
      <c r="C1315" s="8">
        <v>44011</v>
      </c>
      <c r="D1315" s="2">
        <v>2020</v>
      </c>
      <c r="E1315" s="2">
        <v>2020</v>
      </c>
      <c r="F1315" s="2">
        <v>0</v>
      </c>
      <c r="G1315" s="2">
        <v>0</v>
      </c>
      <c r="H1315" s="3" t="s">
        <v>27</v>
      </c>
      <c r="I1315" s="3" t="s">
        <v>4510</v>
      </c>
      <c r="J1315" s="19" t="s">
        <v>4511</v>
      </c>
      <c r="K1315" s="19" t="s">
        <v>4512</v>
      </c>
      <c r="L1315" s="10">
        <v>37768</v>
      </c>
      <c r="M1315" s="4">
        <f>12*16+11</f>
        <v>203</v>
      </c>
      <c r="N1315" s="2">
        <v>108</v>
      </c>
      <c r="O1315" s="2">
        <v>2</v>
      </c>
      <c r="Q1315" s="2">
        <v>1</v>
      </c>
      <c r="R1315" s="2">
        <v>0</v>
      </c>
      <c r="S1315" s="2">
        <v>1</v>
      </c>
      <c r="T1315" s="2">
        <v>1</v>
      </c>
      <c r="U1315" s="2">
        <v>0</v>
      </c>
      <c r="V1315" s="2">
        <v>0</v>
      </c>
      <c r="W1315" s="2">
        <v>1</v>
      </c>
      <c r="X1315" s="2">
        <v>2</v>
      </c>
      <c r="Y1315" s="2">
        <v>1</v>
      </c>
      <c r="Z1315" s="28">
        <v>2019.0519999999999</v>
      </c>
      <c r="AA1315" s="31">
        <v>2020.03</v>
      </c>
    </row>
    <row r="1316" spans="1:27" x14ac:dyDescent="0.2">
      <c r="A1316" s="3" t="s">
        <v>5121</v>
      </c>
      <c r="B1316" s="2" t="s">
        <v>5122</v>
      </c>
      <c r="C1316" s="8">
        <v>43893</v>
      </c>
      <c r="D1316" s="2">
        <v>2020</v>
      </c>
      <c r="E1316" s="2">
        <v>2020</v>
      </c>
      <c r="F1316" s="2">
        <v>1</v>
      </c>
      <c r="G1316" s="2">
        <v>2</v>
      </c>
      <c r="H1316" s="3" t="s">
        <v>3434</v>
      </c>
      <c r="I1316" s="3" t="s">
        <v>5123</v>
      </c>
      <c r="J1316" s="3" t="s">
        <v>5124</v>
      </c>
      <c r="K1316" s="3" t="s">
        <v>5125</v>
      </c>
      <c r="L1316" s="10">
        <v>40380</v>
      </c>
      <c r="M1316" s="4">
        <f>9*12+8</f>
        <v>116</v>
      </c>
      <c r="N1316" s="2">
        <v>111</v>
      </c>
      <c r="O1316" s="2">
        <v>6</v>
      </c>
      <c r="Q1316" s="2">
        <v>1</v>
      </c>
      <c r="R1316" s="2">
        <v>0</v>
      </c>
      <c r="S1316" s="2">
        <v>1</v>
      </c>
      <c r="T1316" s="2">
        <v>1</v>
      </c>
      <c r="U1316" s="2">
        <v>1</v>
      </c>
      <c r="V1316" s="2">
        <v>1</v>
      </c>
      <c r="W1316" s="2">
        <v>1</v>
      </c>
      <c r="X1316" s="2">
        <v>4</v>
      </c>
      <c r="Y1316" s="2">
        <v>0</v>
      </c>
      <c r="Z1316" s="27">
        <v>2019.0709999999999</v>
      </c>
      <c r="AA1316" s="31">
        <v>2020.04</v>
      </c>
    </row>
    <row r="1317" spans="1:27" x14ac:dyDescent="0.2">
      <c r="A1317" s="3" t="s">
        <v>5139</v>
      </c>
      <c r="B1317" s="2" t="s">
        <v>5140</v>
      </c>
      <c r="C1317" s="8">
        <v>44018</v>
      </c>
      <c r="D1317" s="2">
        <v>2020</v>
      </c>
      <c r="E1317" s="2">
        <v>2020</v>
      </c>
      <c r="F1317" s="2">
        <v>1</v>
      </c>
      <c r="G1317" s="2">
        <v>2</v>
      </c>
      <c r="H1317" s="3" t="s">
        <v>3434</v>
      </c>
      <c r="I1317" s="3" t="s">
        <v>5141</v>
      </c>
      <c r="J1317" s="3" t="s">
        <v>5142</v>
      </c>
      <c r="K1317" s="3" t="s">
        <v>5143</v>
      </c>
      <c r="L1317" s="10">
        <v>42310</v>
      </c>
      <c r="M1317" s="4">
        <f>12*4+9</f>
        <v>57</v>
      </c>
      <c r="N1317" s="2">
        <v>111</v>
      </c>
      <c r="O1317" s="2">
        <v>2</v>
      </c>
      <c r="Q1317" s="2">
        <v>0</v>
      </c>
      <c r="R1317" s="2">
        <v>0</v>
      </c>
      <c r="S1317" s="2">
        <v>1</v>
      </c>
      <c r="T1317" s="2">
        <v>1</v>
      </c>
      <c r="U1317" s="2">
        <v>0</v>
      </c>
      <c r="V1317" s="2">
        <v>1</v>
      </c>
      <c r="W1317" s="2">
        <v>1</v>
      </c>
      <c r="X1317" s="2">
        <v>3</v>
      </c>
      <c r="Y1317" s="2">
        <v>0</v>
      </c>
      <c r="Z1317" s="28">
        <v>2019.0630000000001</v>
      </c>
      <c r="AA1317" s="31">
        <v>2020.05</v>
      </c>
    </row>
    <row r="1318" spans="1:27" x14ac:dyDescent="0.2">
      <c r="A1318" s="3" t="s">
        <v>5126</v>
      </c>
      <c r="B1318" s="2" t="s">
        <v>5127</v>
      </c>
      <c r="C1318" s="8">
        <v>43913</v>
      </c>
      <c r="D1318" s="2">
        <v>2020</v>
      </c>
      <c r="E1318" s="2">
        <v>2020</v>
      </c>
      <c r="F1318" s="2">
        <v>1</v>
      </c>
      <c r="G1318" s="2">
        <v>2</v>
      </c>
      <c r="H1318" s="3" t="s">
        <v>3434</v>
      </c>
      <c r="I1318" s="3" t="s">
        <v>5128</v>
      </c>
      <c r="J1318" s="3" t="s">
        <v>5129</v>
      </c>
      <c r="K1318" s="21" t="s">
        <v>5130</v>
      </c>
      <c r="L1318" s="10">
        <v>33192</v>
      </c>
      <c r="M1318" s="4">
        <f>12*29+4</f>
        <v>352</v>
      </c>
      <c r="N1318" s="2">
        <v>101</v>
      </c>
      <c r="O1318" s="2">
        <v>5</v>
      </c>
      <c r="Q1318" s="2">
        <v>0</v>
      </c>
      <c r="R1318" s="2">
        <v>0</v>
      </c>
      <c r="S1318" s="2">
        <v>0</v>
      </c>
      <c r="T1318" s="2">
        <v>1</v>
      </c>
      <c r="U1318" s="2">
        <v>0</v>
      </c>
      <c r="V1318" s="2">
        <v>1</v>
      </c>
      <c r="W1318" s="2">
        <v>0</v>
      </c>
      <c r="X1318" s="2">
        <v>0</v>
      </c>
      <c r="Y1318" s="2">
        <v>0</v>
      </c>
      <c r="Z1318" s="27">
        <v>2019.0119999999999</v>
      </c>
      <c r="AA1318" s="31">
        <v>2020.06</v>
      </c>
    </row>
    <row r="1319" spans="1:27" x14ac:dyDescent="0.2">
      <c r="A1319" s="3" t="s">
        <v>5152</v>
      </c>
      <c r="B1319" s="2" t="s">
        <v>5153</v>
      </c>
      <c r="C1319" s="8">
        <v>44370</v>
      </c>
      <c r="D1319" s="2">
        <v>2021</v>
      </c>
      <c r="E1319" s="2">
        <v>2020</v>
      </c>
      <c r="F1319" s="2">
        <v>1</v>
      </c>
      <c r="G1319" s="2">
        <v>2</v>
      </c>
      <c r="H1319" s="3" t="s">
        <v>3434</v>
      </c>
      <c r="I1319" t="s">
        <v>5154</v>
      </c>
      <c r="J1319" s="3" t="s">
        <v>5155</v>
      </c>
      <c r="K1319" s="3" t="s">
        <v>5156</v>
      </c>
      <c r="L1319" s="10">
        <v>39659</v>
      </c>
      <c r="M1319" s="4">
        <f>12*12+1</f>
        <v>145</v>
      </c>
      <c r="N1319" s="2">
        <v>110</v>
      </c>
      <c r="O1319" s="2">
        <v>6</v>
      </c>
      <c r="Q1319" s="2">
        <v>1</v>
      </c>
      <c r="R1319" s="2">
        <v>0</v>
      </c>
      <c r="S1319" s="2">
        <v>1</v>
      </c>
      <c r="T1319" s="2">
        <v>1</v>
      </c>
      <c r="U1319" s="2">
        <v>1</v>
      </c>
      <c r="V1319" s="2" t="s">
        <v>5165</v>
      </c>
      <c r="W1319" s="2">
        <v>1</v>
      </c>
      <c r="X1319" s="2">
        <v>2</v>
      </c>
      <c r="Y1319" s="2">
        <v>0</v>
      </c>
      <c r="Z1319" s="28">
        <v>2020.029</v>
      </c>
      <c r="AA1319" s="31">
        <v>2021.01</v>
      </c>
    </row>
    <row r="1320" spans="1:27" x14ac:dyDescent="0.2">
      <c r="A1320" s="3" t="s">
        <v>5150</v>
      </c>
      <c r="B1320" s="2" t="s">
        <v>5151</v>
      </c>
      <c r="C1320" s="8">
        <v>44368</v>
      </c>
      <c r="D1320" s="2">
        <v>2021</v>
      </c>
      <c r="E1320" s="2">
        <v>2020</v>
      </c>
      <c r="F1320" s="2">
        <v>1</v>
      </c>
      <c r="G1320" s="2">
        <v>2</v>
      </c>
      <c r="H1320" s="3" t="s">
        <v>3434</v>
      </c>
      <c r="I1320" s="3" t="s">
        <v>4556</v>
      </c>
      <c r="J1320" s="3" t="s">
        <v>4558</v>
      </c>
      <c r="K1320" s="3" t="s">
        <v>4557</v>
      </c>
      <c r="L1320" s="10">
        <v>40802</v>
      </c>
      <c r="M1320" s="4">
        <f>10*12+3</f>
        <v>123</v>
      </c>
      <c r="N1320" s="2">
        <v>112</v>
      </c>
      <c r="O1320" s="2">
        <v>6</v>
      </c>
      <c r="Q1320" s="2">
        <v>1</v>
      </c>
      <c r="R1320" s="2">
        <v>0</v>
      </c>
      <c r="S1320" s="2">
        <v>1</v>
      </c>
      <c r="T1320" s="2">
        <v>1</v>
      </c>
      <c r="U1320" s="2">
        <v>1</v>
      </c>
      <c r="V1320" s="2" t="s">
        <v>5165</v>
      </c>
      <c r="W1320" s="2">
        <v>1</v>
      </c>
      <c r="X1320" s="2">
        <v>4</v>
      </c>
      <c r="Y1320" s="2">
        <v>1</v>
      </c>
      <c r="Z1320" s="28">
        <v>2020.0440000000001</v>
      </c>
      <c r="AA1320" s="31">
        <v>2021.02</v>
      </c>
    </row>
    <row r="1321" spans="1:27" x14ac:dyDescent="0.2">
      <c r="A1321" s="3" t="s">
        <v>5145</v>
      </c>
      <c r="B1321" s="2" t="s">
        <v>5146</v>
      </c>
      <c r="C1321" s="8">
        <v>44376</v>
      </c>
      <c r="D1321" s="2">
        <v>2021</v>
      </c>
      <c r="E1321" s="2">
        <v>2020</v>
      </c>
      <c r="F1321" s="2">
        <v>0</v>
      </c>
      <c r="G1321" s="2">
        <v>0</v>
      </c>
      <c r="H1321" s="3" t="s">
        <v>27</v>
      </c>
      <c r="I1321" s="3" t="s">
        <v>5147</v>
      </c>
      <c r="J1321" s="3" t="s">
        <v>5148</v>
      </c>
      <c r="K1321" s="3" t="s">
        <v>5149</v>
      </c>
      <c r="L1321" s="10">
        <v>14052</v>
      </c>
      <c r="M1321" s="4">
        <f>12*83</f>
        <v>996</v>
      </c>
      <c r="N1321" s="2">
        <v>80</v>
      </c>
      <c r="O1321" s="2">
        <v>5</v>
      </c>
      <c r="P1321" s="2">
        <v>4</v>
      </c>
      <c r="Q1321" s="2">
        <v>0</v>
      </c>
      <c r="R1321" s="2">
        <v>0</v>
      </c>
      <c r="S1321" s="2">
        <v>1</v>
      </c>
      <c r="T1321" s="2">
        <v>1</v>
      </c>
      <c r="U1321" s="2">
        <v>1</v>
      </c>
      <c r="V1321" s="2" t="s">
        <v>5165</v>
      </c>
      <c r="W1321" s="2">
        <v>0</v>
      </c>
      <c r="X1321" s="2">
        <v>4</v>
      </c>
      <c r="Y1321" s="2">
        <v>1</v>
      </c>
      <c r="Z1321" s="28">
        <v>2020.068</v>
      </c>
      <c r="AA1321" s="31">
        <v>2021.03</v>
      </c>
    </row>
    <row r="1322" spans="1:27" x14ac:dyDescent="0.2">
      <c r="A1322" s="3" t="s">
        <v>5157</v>
      </c>
      <c r="B1322" s="2" t="s">
        <v>5158</v>
      </c>
      <c r="C1322" s="8">
        <v>44672</v>
      </c>
      <c r="D1322" s="2">
        <v>2022</v>
      </c>
      <c r="E1322" s="2">
        <v>2020</v>
      </c>
      <c r="F1322" s="2">
        <v>0</v>
      </c>
      <c r="G1322" s="2">
        <v>0</v>
      </c>
      <c r="H1322" s="3" t="s">
        <v>27</v>
      </c>
      <c r="I1322" s="3" t="s">
        <v>4876</v>
      </c>
      <c r="J1322" s="3" t="s">
        <v>2744</v>
      </c>
      <c r="K1322" s="21" t="s">
        <v>2741</v>
      </c>
      <c r="L1322" s="10">
        <v>26602</v>
      </c>
      <c r="M1322" s="4">
        <f>20*12+6</f>
        <v>246</v>
      </c>
      <c r="N1322" s="2">
        <v>92</v>
      </c>
      <c r="O1322" s="2">
        <v>3</v>
      </c>
      <c r="Q1322" s="2">
        <v>1</v>
      </c>
      <c r="R1322" s="2">
        <v>0</v>
      </c>
      <c r="S1322" s="2">
        <v>1</v>
      </c>
      <c r="T1322" s="2">
        <v>1</v>
      </c>
      <c r="U1322" s="2">
        <v>1</v>
      </c>
      <c r="V1322" s="2" t="s">
        <v>5165</v>
      </c>
      <c r="W1322" s="2">
        <v>1</v>
      </c>
      <c r="X1322" s="2">
        <v>1</v>
      </c>
      <c r="Y1322" s="2">
        <v>0</v>
      </c>
      <c r="Z1322" s="28" t="s">
        <v>5165</v>
      </c>
      <c r="AA1322" s="31">
        <v>2022.01</v>
      </c>
    </row>
    <row r="1323" spans="1:27" x14ac:dyDescent="0.2">
      <c r="A1323" s="3" t="s">
        <v>5159</v>
      </c>
      <c r="B1323" s="2" t="s">
        <v>5160</v>
      </c>
      <c r="C1323" s="8">
        <v>44697</v>
      </c>
      <c r="D1323" s="2">
        <v>2022</v>
      </c>
      <c r="E1323" s="2">
        <v>2020</v>
      </c>
      <c r="F1323" s="2">
        <v>1</v>
      </c>
      <c r="G1323" s="2">
        <v>2</v>
      </c>
      <c r="H1323" s="3" t="s">
        <v>3434</v>
      </c>
      <c r="I1323" s="3" t="s">
        <v>4453</v>
      </c>
      <c r="J1323" s="3" t="s">
        <v>4454</v>
      </c>
      <c r="K1323" s="21" t="s">
        <v>4455</v>
      </c>
      <c r="L1323" s="10">
        <v>37342</v>
      </c>
      <c r="M1323" s="4">
        <f>12*20+3</f>
        <v>243</v>
      </c>
      <c r="N1323" s="2">
        <v>107</v>
      </c>
      <c r="O1323" s="2">
        <v>2</v>
      </c>
      <c r="Q1323" s="2">
        <v>1</v>
      </c>
      <c r="R1323" s="2">
        <v>0</v>
      </c>
      <c r="S1323" s="2">
        <v>1</v>
      </c>
      <c r="T1323" s="2">
        <v>0</v>
      </c>
      <c r="U1323" s="2">
        <v>0</v>
      </c>
      <c r="V1323" s="2" t="s">
        <v>5165</v>
      </c>
      <c r="W1323" s="2">
        <v>1</v>
      </c>
      <c r="X1323" s="2">
        <v>3</v>
      </c>
      <c r="Y1323" s="2">
        <v>1</v>
      </c>
      <c r="Z1323" s="28" t="s">
        <v>5165</v>
      </c>
      <c r="AA1323" s="31">
        <v>2022.02</v>
      </c>
    </row>
    <row r="1324" spans="1:27" x14ac:dyDescent="0.2">
      <c r="A1324" s="3" t="s">
        <v>5161</v>
      </c>
      <c r="C1324" s="8">
        <v>44741</v>
      </c>
      <c r="D1324" s="2">
        <v>2022</v>
      </c>
      <c r="E1324" s="2">
        <v>2020</v>
      </c>
      <c r="F1324" s="2">
        <v>0</v>
      </c>
      <c r="G1324" s="2">
        <v>0</v>
      </c>
      <c r="H1324" s="3" t="s">
        <v>27</v>
      </c>
      <c r="I1324" s="3" t="s">
        <v>5162</v>
      </c>
      <c r="J1324" s="3" t="s">
        <v>5163</v>
      </c>
      <c r="K1324" s="3" t="s">
        <v>5164</v>
      </c>
      <c r="L1324" s="10">
        <v>34620</v>
      </c>
      <c r="M1324" s="4">
        <f>27*12+8</f>
        <v>332</v>
      </c>
      <c r="N1324" s="2">
        <v>103</v>
      </c>
      <c r="O1324" s="2">
        <v>5</v>
      </c>
      <c r="Q1324" s="2">
        <v>0</v>
      </c>
      <c r="R1324" s="2">
        <v>0</v>
      </c>
      <c r="S1324" s="2">
        <v>1</v>
      </c>
      <c r="T1324" s="2">
        <v>1</v>
      </c>
      <c r="U1324" s="2">
        <v>1</v>
      </c>
      <c r="V1324" s="2" t="s">
        <v>5165</v>
      </c>
      <c r="W1324" s="2">
        <v>0</v>
      </c>
      <c r="X1324" s="2">
        <v>4</v>
      </c>
      <c r="Y1324" s="2">
        <v>0</v>
      </c>
      <c r="Z1324" s="28" t="s">
        <v>5165</v>
      </c>
      <c r="AA1324" s="31">
        <v>2022.03</v>
      </c>
    </row>
  </sheetData>
  <sortState xmlns:xlrd2="http://schemas.microsoft.com/office/spreadsheetml/2017/richdata2" ref="A2:AC1326">
    <sortCondition ref="D2:D1326"/>
    <sortCondition ref="B2:B1326"/>
  </sortState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Whittington</dc:creator>
  <cp:lastModifiedBy>Zorn, Christopher</cp:lastModifiedBy>
  <dcterms:created xsi:type="dcterms:W3CDTF">2018-06-13T13:27:26Z</dcterms:created>
  <dcterms:modified xsi:type="dcterms:W3CDTF">2025-10-22T23:45:55Z</dcterms:modified>
</cp:coreProperties>
</file>